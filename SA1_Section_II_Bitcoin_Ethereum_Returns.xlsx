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TC_Data" sheetId="2" state="visible" r:id="rId4"/>
    <sheet name="BTC_Fit" sheetId="3" state="visible" r:id="rId5"/>
    <sheet name="ETH_Data" sheetId="4" state="visible" r:id="rId6"/>
    <sheet name="ETH_Normal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<sst xmlns="http://schemas.openxmlformats.org/spreadsheetml/2006/main" count="2112" uniqueCount="2097">
  <si>
    <t xml:space="preserve">SA1 Section II - Bitcoin &amp; Ethereum Return Analysis (Workbook)</t>
  </si>
  <si>
    <t xml:space="preserve">Purpose</t>
  </si>
  <si>
    <t xml:space="preserve">Spreadsheet companion to the Python program. Part 1: find the distribution that best fits BTC/USD 1-minute returns (Kolmogorov-Smirnov, as in the Medium article). Part 2: Shapiro-Wilk normality test on ETH/USD 5-minute returns.</t>
  </si>
  <si>
    <t xml:space="preserve">Source article</t>
  </si>
  <si>
    <t xml:space="preserve">Moro, P.G.F. (2021). Modelling Bitcoin Returns. Analytics Vidhya. https://medium.com/analytics-vidhya/modelling-bitcoin-returns-e6c3d286c00f</t>
  </si>
  <si>
    <t xml:space="preserve">Data (BTC)</t>
  </si>
  <si>
    <t xml:space="preserve">Kaggle 'Bitcoin Historical Data' (mczielinski), Bitstamp BTC/USD 1-minute OHLCV, as cited by the article.</t>
  </si>
  <si>
    <t xml:space="preserve">IMPORTANT - demo data</t>
  </si>
  <si>
    <t xml:space="preserve">BTC_Data and ETH_Data currently hold SYNTHETIC demo prices (random seed 42) so the formulas can be seen working. They are NOT real market data. Replace them before using any result in your report.</t>
  </si>
  <si>
    <t xml:space="preserve">Why a sample?</t>
  </si>
  <si>
    <t xml:space="preserve">Excel allows 1,048,576 rows per sheet; the full 1-minute BTC file has millions. This workbook handles up to 1,000 returns. Run the full dataset in Python and paste its output into the 'Python results' blocks.</t>
  </si>
  <si>
    <t xml:space="preserve">Colour legend</t>
  </si>
  <si>
    <t xml:space="preserve">Blue text = input you edit. Black = formula. Yellow fill = key assumption / paste area. Green fill = result.</t>
  </si>
  <si>
    <t xml:space="preserve">How to use</t>
  </si>
  <si>
    <t xml:space="preserve">1) Paste Datetime and Close price into BTC_Data columns A:B (row 2 onward, max 1,001 prices). 2) Read BTC_Fit: lowest KS statistic D = best fit. 3) Paste ETH prices into ETH_Data. 4) In ETH_Normality paste the Shapiro-Wilk statistic and p-value from your Python run.</t>
  </si>
  <si>
    <t xml:space="preserve">Method differences vs. article</t>
  </si>
  <si>
    <t xml:space="preserve">The article draws a random sample from each distribution and runs a two-sample KS test, and uses mid-price daily returns. Here returns are simple returns of Close at the data frequency (as your Python code does), and D is the one-sample KS distance between the empirical CDF and the fitted theoretical CDF (parameters estimated from the data). This avoids random-sample noise.</t>
  </si>
  <si>
    <t xml:space="preserve">Limitations</t>
  </si>
  <si>
    <t xml:space="preserve">With parameters estimated from the same data, standard KS critical values are conservative (Lilliefors issue). Use D mainly to RANK distributions. Excel's TDIST needs integer degrees of freedom, so df is rounded. Shapiro-Wilk is only reliable for n &lt;= 5,000 (SciPy warns above that).</t>
  </si>
  <si>
    <t xml:space="preserve">Distributions tested</t>
  </si>
  <si>
    <t xml:space="preserve">Normal, Student-t (location-scale), Laplace, Logistic. Tsallis and power law from the article are omitted because they have no native spreadsheet CDF; add them in Python (scipy / 'fitter').</t>
  </si>
  <si>
    <t xml:space="preserve">Datetime</t>
  </si>
  <si>
    <t xml:space="preserve">Close (USD)</t>
  </si>
  <si>
    <t xml:space="preserve">Return</t>
  </si>
  <si>
    <t xml:space="preserve">(unused)</t>
  </si>
  <si>
    <t xml:space="preserve">Paste real Close prices over the blue cells (A:B). Max 1,001 rows.</t>
  </si>
  <si>
    <t xml:space="preserve">2012-01-01 00:00</t>
  </si>
  <si>
    <t xml:space="preserve">2012-01-01 00:01</t>
  </si>
  <si>
    <t xml:space="preserve">2012-01-01 00:02</t>
  </si>
  <si>
    <t xml:space="preserve">2012-01-01 00:03</t>
  </si>
  <si>
    <t xml:space="preserve">2012-01-01 00:04</t>
  </si>
  <si>
    <t xml:space="preserve">2012-01-01 00:05</t>
  </si>
  <si>
    <t xml:space="preserve">2012-01-01 00:06</t>
  </si>
  <si>
    <t xml:space="preserve">2012-01-01 00:07</t>
  </si>
  <si>
    <t xml:space="preserve">2012-01-01 00:08</t>
  </si>
  <si>
    <t xml:space="preserve">2012-01-01 00:09</t>
  </si>
  <si>
    <t xml:space="preserve">2012-01-01 00:10</t>
  </si>
  <si>
    <t xml:space="preserve">2012-01-01 00:11</t>
  </si>
  <si>
    <t xml:space="preserve">2012-01-01 00:12</t>
  </si>
  <si>
    <t xml:space="preserve">2012-01-01 00:13</t>
  </si>
  <si>
    <t xml:space="preserve">2012-01-01 00:14</t>
  </si>
  <si>
    <t xml:space="preserve">2012-01-01 00:15</t>
  </si>
  <si>
    <t xml:space="preserve">2012-01-01 00:16</t>
  </si>
  <si>
    <t xml:space="preserve">2012-01-01 00:17</t>
  </si>
  <si>
    <t xml:space="preserve">2012-01-01 00:18</t>
  </si>
  <si>
    <t xml:space="preserve">2012-01-01 00:19</t>
  </si>
  <si>
    <t xml:space="preserve">2012-01-01 00:20</t>
  </si>
  <si>
    <t xml:space="preserve">2012-01-01 00:21</t>
  </si>
  <si>
    <t xml:space="preserve">2012-01-01 00:22</t>
  </si>
  <si>
    <t xml:space="preserve">2012-01-01 00:23</t>
  </si>
  <si>
    <t xml:space="preserve">2012-01-01 00:24</t>
  </si>
  <si>
    <t xml:space="preserve">2012-01-01 00:25</t>
  </si>
  <si>
    <t xml:space="preserve">2012-01-01 00:26</t>
  </si>
  <si>
    <t xml:space="preserve">2012-01-01 00:27</t>
  </si>
  <si>
    <t xml:space="preserve">2012-01-01 00:28</t>
  </si>
  <si>
    <t xml:space="preserve">2012-01-01 00:29</t>
  </si>
  <si>
    <t xml:space="preserve">2012-01-01 00:30</t>
  </si>
  <si>
    <t xml:space="preserve">2012-01-01 00:31</t>
  </si>
  <si>
    <t xml:space="preserve">2012-01-01 00:32</t>
  </si>
  <si>
    <t xml:space="preserve">2012-01-01 00:33</t>
  </si>
  <si>
    <t xml:space="preserve">2012-01-01 00:34</t>
  </si>
  <si>
    <t xml:space="preserve">2012-01-01 00:35</t>
  </si>
  <si>
    <t xml:space="preserve">2012-01-01 00:36</t>
  </si>
  <si>
    <t xml:space="preserve">2012-01-01 00:37</t>
  </si>
  <si>
    <t xml:space="preserve">2012-01-01 00:38</t>
  </si>
  <si>
    <t xml:space="preserve">2012-01-01 00:39</t>
  </si>
  <si>
    <t xml:space="preserve">2012-01-01 00:40</t>
  </si>
  <si>
    <t xml:space="preserve">2012-01-01 00:41</t>
  </si>
  <si>
    <t xml:space="preserve">2012-01-01 00:42</t>
  </si>
  <si>
    <t xml:space="preserve">2012-01-01 00:43</t>
  </si>
  <si>
    <t xml:space="preserve">2012-01-01 00:44</t>
  </si>
  <si>
    <t xml:space="preserve">2012-01-01 00:45</t>
  </si>
  <si>
    <t xml:space="preserve">2012-01-01 00:46</t>
  </si>
  <si>
    <t xml:space="preserve">2012-01-01 00:47</t>
  </si>
  <si>
    <t xml:space="preserve">2012-01-01 00:48</t>
  </si>
  <si>
    <t xml:space="preserve">2012-01-01 00:49</t>
  </si>
  <si>
    <t xml:space="preserve">2012-01-01 00:50</t>
  </si>
  <si>
    <t xml:space="preserve">2012-01-01 00:51</t>
  </si>
  <si>
    <t xml:space="preserve">2012-01-01 00:52</t>
  </si>
  <si>
    <t xml:space="preserve">2012-01-01 00:53</t>
  </si>
  <si>
    <t xml:space="preserve">2012-01-01 00:54</t>
  </si>
  <si>
    <t xml:space="preserve">2012-01-01 00:55</t>
  </si>
  <si>
    <t xml:space="preserve">2012-01-01 00:56</t>
  </si>
  <si>
    <t xml:space="preserve">2012-01-01 00:57</t>
  </si>
  <si>
    <t xml:space="preserve">2012-01-01 00:58</t>
  </si>
  <si>
    <t xml:space="preserve">2012-01-01 00:59</t>
  </si>
  <si>
    <t xml:space="preserve">2012-01-01 01:00</t>
  </si>
  <si>
    <t xml:space="preserve">2012-01-01 01:01</t>
  </si>
  <si>
    <t xml:space="preserve">2012-01-01 01:02</t>
  </si>
  <si>
    <t xml:space="preserve">2012-01-01 01:03</t>
  </si>
  <si>
    <t xml:space="preserve">2012-01-01 01:04</t>
  </si>
  <si>
    <t xml:space="preserve">2012-01-01 01:05</t>
  </si>
  <si>
    <t xml:space="preserve">2012-01-01 01:06</t>
  </si>
  <si>
    <t xml:space="preserve">2012-01-01 01:07</t>
  </si>
  <si>
    <t xml:space="preserve">2012-01-01 01:08</t>
  </si>
  <si>
    <t xml:space="preserve">2012-01-01 01:09</t>
  </si>
  <si>
    <t xml:space="preserve">2012-01-01 01:10</t>
  </si>
  <si>
    <t xml:space="preserve">2012-01-01 01:11</t>
  </si>
  <si>
    <t xml:space="preserve">2012-01-01 01:12</t>
  </si>
  <si>
    <t xml:space="preserve">2012-01-01 01:13</t>
  </si>
  <si>
    <t xml:space="preserve">2012-01-01 01:14</t>
  </si>
  <si>
    <t xml:space="preserve">2012-01-01 01:15</t>
  </si>
  <si>
    <t xml:space="preserve">2012-01-01 01:16</t>
  </si>
  <si>
    <t xml:space="preserve">2012-01-01 01:17</t>
  </si>
  <si>
    <t xml:space="preserve">2012-01-01 01:18</t>
  </si>
  <si>
    <t xml:space="preserve">2012-01-01 01:19</t>
  </si>
  <si>
    <t xml:space="preserve">2012-01-01 01:20</t>
  </si>
  <si>
    <t xml:space="preserve">2012-01-01 01:21</t>
  </si>
  <si>
    <t xml:space="preserve">2012-01-01 01:22</t>
  </si>
  <si>
    <t xml:space="preserve">2012-01-01 01:23</t>
  </si>
  <si>
    <t xml:space="preserve">2012-01-01 01:24</t>
  </si>
  <si>
    <t xml:space="preserve">2012-01-01 01:25</t>
  </si>
  <si>
    <t xml:space="preserve">2012-01-01 01:26</t>
  </si>
  <si>
    <t xml:space="preserve">2012-01-01 01:27</t>
  </si>
  <si>
    <t xml:space="preserve">2012-01-01 01:28</t>
  </si>
  <si>
    <t xml:space="preserve">2012-01-01 01:29</t>
  </si>
  <si>
    <t xml:space="preserve">2012-01-01 01:30</t>
  </si>
  <si>
    <t xml:space="preserve">2012-01-01 01:31</t>
  </si>
  <si>
    <t xml:space="preserve">2012-01-01 01:32</t>
  </si>
  <si>
    <t xml:space="preserve">2012-01-01 01:33</t>
  </si>
  <si>
    <t xml:space="preserve">2012-01-01 01:34</t>
  </si>
  <si>
    <t xml:space="preserve">2012-01-01 01:35</t>
  </si>
  <si>
    <t xml:space="preserve">2012-01-01 01:36</t>
  </si>
  <si>
    <t xml:space="preserve">2012-01-01 01:37</t>
  </si>
  <si>
    <t xml:space="preserve">2012-01-01 01:38</t>
  </si>
  <si>
    <t xml:space="preserve">2012-01-01 01:39</t>
  </si>
  <si>
    <t xml:space="preserve">2012-01-01 01:40</t>
  </si>
  <si>
    <t xml:space="preserve">2012-01-01 01:41</t>
  </si>
  <si>
    <t xml:space="preserve">2012-01-01 01:42</t>
  </si>
  <si>
    <t xml:space="preserve">2012-01-01 01:43</t>
  </si>
  <si>
    <t xml:space="preserve">2012-01-01 01:44</t>
  </si>
  <si>
    <t xml:space="preserve">2012-01-01 01:45</t>
  </si>
  <si>
    <t xml:space="preserve">2012-01-01 01:46</t>
  </si>
  <si>
    <t xml:space="preserve">2012-01-01 01:47</t>
  </si>
  <si>
    <t xml:space="preserve">2012-01-01 01:48</t>
  </si>
  <si>
    <t xml:space="preserve">2012-01-01 01:49</t>
  </si>
  <si>
    <t xml:space="preserve">2012-01-01 01:50</t>
  </si>
  <si>
    <t xml:space="preserve">2012-01-01 01:51</t>
  </si>
  <si>
    <t xml:space="preserve">2012-01-01 01:52</t>
  </si>
  <si>
    <t xml:space="preserve">2012-01-01 01:53</t>
  </si>
  <si>
    <t xml:space="preserve">2012-01-01 01:54</t>
  </si>
  <si>
    <t xml:space="preserve">2012-01-01 01:55</t>
  </si>
  <si>
    <t xml:space="preserve">2012-01-01 01:56</t>
  </si>
  <si>
    <t xml:space="preserve">2012-01-01 01:57</t>
  </si>
  <si>
    <t xml:space="preserve">2012-01-01 01:58</t>
  </si>
  <si>
    <t xml:space="preserve">2012-01-01 01:59</t>
  </si>
  <si>
    <t xml:space="preserve">2012-01-01 02:00</t>
  </si>
  <si>
    <t xml:space="preserve">2012-01-01 02:01</t>
  </si>
  <si>
    <t xml:space="preserve">2012-01-01 02:02</t>
  </si>
  <si>
    <t xml:space="preserve">2012-01-01 02:03</t>
  </si>
  <si>
    <t xml:space="preserve">2012-01-01 02:04</t>
  </si>
  <si>
    <t xml:space="preserve">2012-01-01 02:05</t>
  </si>
  <si>
    <t xml:space="preserve">2012-01-01 02:06</t>
  </si>
  <si>
    <t xml:space="preserve">2012-01-01 02:07</t>
  </si>
  <si>
    <t xml:space="preserve">2012-01-01 02:08</t>
  </si>
  <si>
    <t xml:space="preserve">2012-01-01 02:09</t>
  </si>
  <si>
    <t xml:space="preserve">2012-01-01 02:10</t>
  </si>
  <si>
    <t xml:space="preserve">2012-01-01 02:11</t>
  </si>
  <si>
    <t xml:space="preserve">2012-01-01 02:12</t>
  </si>
  <si>
    <t xml:space="preserve">2012-01-01 02:13</t>
  </si>
  <si>
    <t xml:space="preserve">2012-01-01 02:14</t>
  </si>
  <si>
    <t xml:space="preserve">2012-01-01 02:15</t>
  </si>
  <si>
    <t xml:space="preserve">2012-01-01 02:16</t>
  </si>
  <si>
    <t xml:space="preserve">2012-01-01 02:17</t>
  </si>
  <si>
    <t xml:space="preserve">2012-01-01 02:18</t>
  </si>
  <si>
    <t xml:space="preserve">2012-01-01 02:19</t>
  </si>
  <si>
    <t xml:space="preserve">2012-01-01 02:20</t>
  </si>
  <si>
    <t xml:space="preserve">2012-01-01 02:21</t>
  </si>
  <si>
    <t xml:space="preserve">2012-01-01 02:22</t>
  </si>
  <si>
    <t xml:space="preserve">2012-01-01 02:23</t>
  </si>
  <si>
    <t xml:space="preserve">2012-01-01 02:24</t>
  </si>
  <si>
    <t xml:space="preserve">2012-01-01 02:25</t>
  </si>
  <si>
    <t xml:space="preserve">2012-01-01 02:26</t>
  </si>
  <si>
    <t xml:space="preserve">2012-01-01 02:27</t>
  </si>
  <si>
    <t xml:space="preserve">2012-01-01 02:28</t>
  </si>
  <si>
    <t xml:space="preserve">2012-01-01 02:29</t>
  </si>
  <si>
    <t xml:space="preserve">2012-01-01 02:30</t>
  </si>
  <si>
    <t xml:space="preserve">2012-01-01 02:31</t>
  </si>
  <si>
    <t xml:space="preserve">2012-01-01 02:32</t>
  </si>
  <si>
    <t xml:space="preserve">2012-01-01 02:33</t>
  </si>
  <si>
    <t xml:space="preserve">2012-01-01 02:34</t>
  </si>
  <si>
    <t xml:space="preserve">2012-01-01 02:35</t>
  </si>
  <si>
    <t xml:space="preserve">2012-01-01 02:36</t>
  </si>
  <si>
    <t xml:space="preserve">2012-01-01 02:37</t>
  </si>
  <si>
    <t xml:space="preserve">2012-01-01 02:38</t>
  </si>
  <si>
    <t xml:space="preserve">2012-01-01 02:39</t>
  </si>
  <si>
    <t xml:space="preserve">2012-01-01 02:40</t>
  </si>
  <si>
    <t xml:space="preserve">2012-01-01 02:41</t>
  </si>
  <si>
    <t xml:space="preserve">2012-01-01 02:42</t>
  </si>
  <si>
    <t xml:space="preserve">2012-01-01 02:43</t>
  </si>
  <si>
    <t xml:space="preserve">2012-01-01 02:44</t>
  </si>
  <si>
    <t xml:space="preserve">2012-01-01 02:45</t>
  </si>
  <si>
    <t xml:space="preserve">2012-01-01 02:46</t>
  </si>
  <si>
    <t xml:space="preserve">2012-01-01 02:47</t>
  </si>
  <si>
    <t xml:space="preserve">2012-01-01 02:48</t>
  </si>
  <si>
    <t xml:space="preserve">2012-01-01 02:49</t>
  </si>
  <si>
    <t xml:space="preserve">2012-01-01 02:50</t>
  </si>
  <si>
    <t xml:space="preserve">2012-01-01 02:51</t>
  </si>
  <si>
    <t xml:space="preserve">2012-01-01 02:52</t>
  </si>
  <si>
    <t xml:space="preserve">2012-01-01 02:53</t>
  </si>
  <si>
    <t xml:space="preserve">2012-01-01 02:54</t>
  </si>
  <si>
    <t xml:space="preserve">2012-01-01 02:55</t>
  </si>
  <si>
    <t xml:space="preserve">2012-01-01 02:56</t>
  </si>
  <si>
    <t xml:space="preserve">2012-01-01 02:57</t>
  </si>
  <si>
    <t xml:space="preserve">2012-01-01 02:58</t>
  </si>
  <si>
    <t xml:space="preserve">2012-01-01 02:59</t>
  </si>
  <si>
    <t xml:space="preserve">2012-01-01 03:00</t>
  </si>
  <si>
    <t xml:space="preserve">2012-01-01 03:01</t>
  </si>
  <si>
    <t xml:space="preserve">2012-01-01 03:02</t>
  </si>
  <si>
    <t xml:space="preserve">2012-01-01 03:03</t>
  </si>
  <si>
    <t xml:space="preserve">2012-01-01 03:04</t>
  </si>
  <si>
    <t xml:space="preserve">2012-01-01 03:05</t>
  </si>
  <si>
    <t xml:space="preserve">2012-01-01 03:06</t>
  </si>
  <si>
    <t xml:space="preserve">2012-01-01 03:07</t>
  </si>
  <si>
    <t xml:space="preserve">2012-01-01 03:08</t>
  </si>
  <si>
    <t xml:space="preserve">2012-01-01 03:09</t>
  </si>
  <si>
    <t xml:space="preserve">2012-01-01 03:10</t>
  </si>
  <si>
    <t xml:space="preserve">2012-01-01 03:11</t>
  </si>
  <si>
    <t xml:space="preserve">2012-01-01 03:12</t>
  </si>
  <si>
    <t xml:space="preserve">2012-01-01 03:13</t>
  </si>
  <si>
    <t xml:space="preserve">2012-01-01 03:14</t>
  </si>
  <si>
    <t xml:space="preserve">2012-01-01 03:15</t>
  </si>
  <si>
    <t xml:space="preserve">2012-01-01 03:16</t>
  </si>
  <si>
    <t xml:space="preserve">2012-01-01 03:17</t>
  </si>
  <si>
    <t xml:space="preserve">2012-01-01 03:18</t>
  </si>
  <si>
    <t xml:space="preserve">2012-01-01 03:19</t>
  </si>
  <si>
    <t xml:space="preserve">2012-01-01 03:20</t>
  </si>
  <si>
    <t xml:space="preserve">2012-01-01 03:21</t>
  </si>
  <si>
    <t xml:space="preserve">2012-01-01 03:22</t>
  </si>
  <si>
    <t xml:space="preserve">2012-01-01 03:23</t>
  </si>
  <si>
    <t xml:space="preserve">2012-01-01 03:24</t>
  </si>
  <si>
    <t xml:space="preserve">2012-01-01 03:25</t>
  </si>
  <si>
    <t xml:space="preserve">2012-01-01 03:26</t>
  </si>
  <si>
    <t xml:space="preserve">2012-01-01 03:27</t>
  </si>
  <si>
    <t xml:space="preserve">2012-01-01 03:28</t>
  </si>
  <si>
    <t xml:space="preserve">2012-01-01 03:29</t>
  </si>
  <si>
    <t xml:space="preserve">2012-01-01 03:30</t>
  </si>
  <si>
    <t xml:space="preserve">2012-01-01 03:31</t>
  </si>
  <si>
    <t xml:space="preserve">2012-01-01 03:32</t>
  </si>
  <si>
    <t xml:space="preserve">2012-01-01 03:33</t>
  </si>
  <si>
    <t xml:space="preserve">2012-01-01 03:34</t>
  </si>
  <si>
    <t xml:space="preserve">2012-01-01 03:35</t>
  </si>
  <si>
    <t xml:space="preserve">2012-01-01 03:36</t>
  </si>
  <si>
    <t xml:space="preserve">2012-01-01 03:37</t>
  </si>
  <si>
    <t xml:space="preserve">2012-01-01 03:38</t>
  </si>
  <si>
    <t xml:space="preserve">2012-01-01 03:39</t>
  </si>
  <si>
    <t xml:space="preserve">2012-01-01 03:40</t>
  </si>
  <si>
    <t xml:space="preserve">2012-01-01 03:41</t>
  </si>
  <si>
    <t xml:space="preserve">2012-01-01 03:42</t>
  </si>
  <si>
    <t xml:space="preserve">2012-01-01 03:43</t>
  </si>
  <si>
    <t xml:space="preserve">2012-01-01 03:44</t>
  </si>
  <si>
    <t xml:space="preserve">2012-01-01 03:45</t>
  </si>
  <si>
    <t xml:space="preserve">2012-01-01 03:46</t>
  </si>
  <si>
    <t xml:space="preserve">2012-01-01 03:47</t>
  </si>
  <si>
    <t xml:space="preserve">2012-01-01 03:48</t>
  </si>
  <si>
    <t xml:space="preserve">2012-01-01 03:49</t>
  </si>
  <si>
    <t xml:space="preserve">2012-01-01 03:50</t>
  </si>
  <si>
    <t xml:space="preserve">2012-01-01 03:51</t>
  </si>
  <si>
    <t xml:space="preserve">2012-01-01 03:52</t>
  </si>
  <si>
    <t xml:space="preserve">2012-01-01 03:53</t>
  </si>
  <si>
    <t xml:space="preserve">2012-01-01 03:54</t>
  </si>
  <si>
    <t xml:space="preserve">2012-01-01 03:55</t>
  </si>
  <si>
    <t xml:space="preserve">2012-01-01 03:56</t>
  </si>
  <si>
    <t xml:space="preserve">2012-01-01 03:57</t>
  </si>
  <si>
    <t xml:space="preserve">2012-01-01 03:58</t>
  </si>
  <si>
    <t xml:space="preserve">2012-01-01 03:59</t>
  </si>
  <si>
    <t xml:space="preserve">2012-01-01 04:00</t>
  </si>
  <si>
    <t xml:space="preserve">2012-01-01 04:01</t>
  </si>
  <si>
    <t xml:space="preserve">2012-01-01 04:02</t>
  </si>
  <si>
    <t xml:space="preserve">2012-01-01 04:03</t>
  </si>
  <si>
    <t xml:space="preserve">2012-01-01 04:04</t>
  </si>
  <si>
    <t xml:space="preserve">2012-01-01 04:05</t>
  </si>
  <si>
    <t xml:space="preserve">2012-01-01 04:06</t>
  </si>
  <si>
    <t xml:space="preserve">2012-01-01 04:07</t>
  </si>
  <si>
    <t xml:space="preserve">2012-01-01 04:08</t>
  </si>
  <si>
    <t xml:space="preserve">2012-01-01 04:09</t>
  </si>
  <si>
    <t xml:space="preserve">2012-01-01 04:10</t>
  </si>
  <si>
    <t xml:space="preserve">2012-01-01 04:11</t>
  </si>
  <si>
    <t xml:space="preserve">2012-01-01 04:12</t>
  </si>
  <si>
    <t xml:space="preserve">2012-01-01 04:13</t>
  </si>
  <si>
    <t xml:space="preserve">2012-01-01 04:14</t>
  </si>
  <si>
    <t xml:space="preserve">2012-01-01 04:15</t>
  </si>
  <si>
    <t xml:space="preserve">2012-01-01 04:16</t>
  </si>
  <si>
    <t xml:space="preserve">2012-01-01 04:17</t>
  </si>
  <si>
    <t xml:space="preserve">2012-01-01 04:18</t>
  </si>
  <si>
    <t xml:space="preserve">2012-01-01 04:19</t>
  </si>
  <si>
    <t xml:space="preserve">2012-01-01 04:20</t>
  </si>
  <si>
    <t xml:space="preserve">2012-01-01 04:21</t>
  </si>
  <si>
    <t xml:space="preserve">2012-01-01 04:22</t>
  </si>
  <si>
    <t xml:space="preserve">2012-01-01 04:23</t>
  </si>
  <si>
    <t xml:space="preserve">2012-01-01 04:24</t>
  </si>
  <si>
    <t xml:space="preserve">2012-01-01 04:25</t>
  </si>
  <si>
    <t xml:space="preserve">2012-01-01 04:26</t>
  </si>
  <si>
    <t xml:space="preserve">2012-01-01 04:27</t>
  </si>
  <si>
    <t xml:space="preserve">2012-01-01 04:28</t>
  </si>
  <si>
    <t xml:space="preserve">2012-01-01 04:29</t>
  </si>
  <si>
    <t xml:space="preserve">2012-01-01 04:30</t>
  </si>
  <si>
    <t xml:space="preserve">2012-01-01 04:31</t>
  </si>
  <si>
    <t xml:space="preserve">2012-01-01 04:32</t>
  </si>
  <si>
    <t xml:space="preserve">2012-01-01 04:33</t>
  </si>
  <si>
    <t xml:space="preserve">2012-01-01 04:34</t>
  </si>
  <si>
    <t xml:space="preserve">2012-01-01 04:35</t>
  </si>
  <si>
    <t xml:space="preserve">2012-01-01 04:36</t>
  </si>
  <si>
    <t xml:space="preserve">2012-01-01 04:37</t>
  </si>
  <si>
    <t xml:space="preserve">2012-01-01 04:38</t>
  </si>
  <si>
    <t xml:space="preserve">2012-01-01 04:39</t>
  </si>
  <si>
    <t xml:space="preserve">2012-01-01 04:40</t>
  </si>
  <si>
    <t xml:space="preserve">2012-01-01 04:41</t>
  </si>
  <si>
    <t xml:space="preserve">2012-01-01 04:42</t>
  </si>
  <si>
    <t xml:space="preserve">2012-01-01 04:43</t>
  </si>
  <si>
    <t xml:space="preserve">2012-01-01 04:44</t>
  </si>
  <si>
    <t xml:space="preserve">2012-01-01 04:45</t>
  </si>
  <si>
    <t xml:space="preserve">2012-01-01 04:46</t>
  </si>
  <si>
    <t xml:space="preserve">2012-01-01 04:47</t>
  </si>
  <si>
    <t xml:space="preserve">2012-01-01 04:48</t>
  </si>
  <si>
    <t xml:space="preserve">2012-01-01 04:49</t>
  </si>
  <si>
    <t xml:space="preserve">2012-01-01 04:50</t>
  </si>
  <si>
    <t xml:space="preserve">2012-01-01 04:51</t>
  </si>
  <si>
    <t xml:space="preserve">2012-01-01 04:52</t>
  </si>
  <si>
    <t xml:space="preserve">2012-01-01 04:53</t>
  </si>
  <si>
    <t xml:space="preserve">2012-01-01 04:54</t>
  </si>
  <si>
    <t xml:space="preserve">2012-01-01 04:55</t>
  </si>
  <si>
    <t xml:space="preserve">2012-01-01 04:56</t>
  </si>
  <si>
    <t xml:space="preserve">2012-01-01 04:57</t>
  </si>
  <si>
    <t xml:space="preserve">2012-01-01 04:58</t>
  </si>
  <si>
    <t xml:space="preserve">2012-01-01 04:59</t>
  </si>
  <si>
    <t xml:space="preserve">2012-01-01 05:00</t>
  </si>
  <si>
    <t xml:space="preserve">2012-01-01 05:01</t>
  </si>
  <si>
    <t xml:space="preserve">2012-01-01 05:02</t>
  </si>
  <si>
    <t xml:space="preserve">2012-01-01 05:03</t>
  </si>
  <si>
    <t xml:space="preserve">2012-01-01 05:04</t>
  </si>
  <si>
    <t xml:space="preserve">2012-01-01 05:05</t>
  </si>
  <si>
    <t xml:space="preserve">2012-01-01 05:06</t>
  </si>
  <si>
    <t xml:space="preserve">2012-01-01 05:07</t>
  </si>
  <si>
    <t xml:space="preserve">2012-01-01 05:08</t>
  </si>
  <si>
    <t xml:space="preserve">2012-01-01 05:09</t>
  </si>
  <si>
    <t xml:space="preserve">2012-01-01 05:10</t>
  </si>
  <si>
    <t xml:space="preserve">2012-01-01 05:11</t>
  </si>
  <si>
    <t xml:space="preserve">2012-01-01 05:12</t>
  </si>
  <si>
    <t xml:space="preserve">2012-01-01 05:13</t>
  </si>
  <si>
    <t xml:space="preserve">2012-01-01 05:14</t>
  </si>
  <si>
    <t xml:space="preserve">2012-01-01 05:15</t>
  </si>
  <si>
    <t xml:space="preserve">2012-01-01 05:16</t>
  </si>
  <si>
    <t xml:space="preserve">2012-01-01 05:17</t>
  </si>
  <si>
    <t xml:space="preserve">2012-01-01 05:18</t>
  </si>
  <si>
    <t xml:space="preserve">2012-01-01 05:19</t>
  </si>
  <si>
    <t xml:space="preserve">2012-01-01 05:20</t>
  </si>
  <si>
    <t xml:space="preserve">2012-01-01 05:21</t>
  </si>
  <si>
    <t xml:space="preserve">2012-01-01 05:22</t>
  </si>
  <si>
    <t xml:space="preserve">2012-01-01 05:23</t>
  </si>
  <si>
    <t xml:space="preserve">2012-01-01 05:24</t>
  </si>
  <si>
    <t xml:space="preserve">2012-01-01 05:25</t>
  </si>
  <si>
    <t xml:space="preserve">2012-01-01 05:26</t>
  </si>
  <si>
    <t xml:space="preserve">2012-01-01 05:27</t>
  </si>
  <si>
    <t xml:space="preserve">2012-01-01 05:28</t>
  </si>
  <si>
    <t xml:space="preserve">2012-01-01 05:29</t>
  </si>
  <si>
    <t xml:space="preserve">2012-01-01 05:30</t>
  </si>
  <si>
    <t xml:space="preserve">2012-01-01 05:31</t>
  </si>
  <si>
    <t xml:space="preserve">2012-01-01 05:32</t>
  </si>
  <si>
    <t xml:space="preserve">2012-01-01 05:33</t>
  </si>
  <si>
    <t xml:space="preserve">2012-01-01 05:34</t>
  </si>
  <si>
    <t xml:space="preserve">2012-01-01 05:35</t>
  </si>
  <si>
    <t xml:space="preserve">2012-01-01 05:36</t>
  </si>
  <si>
    <t xml:space="preserve">2012-01-01 05:37</t>
  </si>
  <si>
    <t xml:space="preserve">2012-01-01 05:38</t>
  </si>
  <si>
    <t xml:space="preserve">2012-01-01 05:39</t>
  </si>
  <si>
    <t xml:space="preserve">2012-01-01 05:40</t>
  </si>
  <si>
    <t xml:space="preserve">2012-01-01 05:41</t>
  </si>
  <si>
    <t xml:space="preserve">2012-01-01 05:42</t>
  </si>
  <si>
    <t xml:space="preserve">2012-01-01 05:43</t>
  </si>
  <si>
    <t xml:space="preserve">2012-01-01 05:44</t>
  </si>
  <si>
    <t xml:space="preserve">2012-01-01 05:45</t>
  </si>
  <si>
    <t xml:space="preserve">2012-01-01 05:46</t>
  </si>
  <si>
    <t xml:space="preserve">2012-01-01 05:47</t>
  </si>
  <si>
    <t xml:space="preserve">2012-01-01 05:48</t>
  </si>
  <si>
    <t xml:space="preserve">2012-01-01 05:49</t>
  </si>
  <si>
    <t xml:space="preserve">2012-01-01 05:50</t>
  </si>
  <si>
    <t xml:space="preserve">2012-01-01 05:51</t>
  </si>
  <si>
    <t xml:space="preserve">2012-01-01 05:52</t>
  </si>
  <si>
    <t xml:space="preserve">2012-01-01 05:53</t>
  </si>
  <si>
    <t xml:space="preserve">2012-01-01 05:54</t>
  </si>
  <si>
    <t xml:space="preserve">2012-01-01 05:55</t>
  </si>
  <si>
    <t xml:space="preserve">2012-01-01 05:56</t>
  </si>
  <si>
    <t xml:space="preserve">2012-01-01 05:57</t>
  </si>
  <si>
    <t xml:space="preserve">2012-01-01 05:58</t>
  </si>
  <si>
    <t xml:space="preserve">2012-01-01 05:59</t>
  </si>
  <si>
    <t xml:space="preserve">2012-01-01 06:00</t>
  </si>
  <si>
    <t xml:space="preserve">2012-01-01 06:01</t>
  </si>
  <si>
    <t xml:space="preserve">2012-01-01 06:02</t>
  </si>
  <si>
    <t xml:space="preserve">2012-01-01 06:03</t>
  </si>
  <si>
    <t xml:space="preserve">2012-01-01 06:04</t>
  </si>
  <si>
    <t xml:space="preserve">2012-01-01 06:05</t>
  </si>
  <si>
    <t xml:space="preserve">2012-01-01 06:06</t>
  </si>
  <si>
    <t xml:space="preserve">2012-01-01 06:07</t>
  </si>
  <si>
    <t xml:space="preserve">2012-01-01 06:08</t>
  </si>
  <si>
    <t xml:space="preserve">2012-01-01 06:09</t>
  </si>
  <si>
    <t xml:space="preserve">2012-01-01 06:10</t>
  </si>
  <si>
    <t xml:space="preserve">2012-01-01 06:11</t>
  </si>
  <si>
    <t xml:space="preserve">2012-01-01 06:12</t>
  </si>
  <si>
    <t xml:space="preserve">2012-01-01 06:13</t>
  </si>
  <si>
    <t xml:space="preserve">2012-01-01 06:14</t>
  </si>
  <si>
    <t xml:space="preserve">2012-01-01 06:15</t>
  </si>
  <si>
    <t xml:space="preserve">2012-01-01 06:16</t>
  </si>
  <si>
    <t xml:space="preserve">2012-01-01 06:17</t>
  </si>
  <si>
    <t xml:space="preserve">2012-01-01 06:18</t>
  </si>
  <si>
    <t xml:space="preserve">2012-01-01 06:19</t>
  </si>
  <si>
    <t xml:space="preserve">2012-01-01 06:20</t>
  </si>
  <si>
    <t xml:space="preserve">2012-01-01 06:21</t>
  </si>
  <si>
    <t xml:space="preserve">2012-01-01 06:22</t>
  </si>
  <si>
    <t xml:space="preserve">2012-01-01 06:23</t>
  </si>
  <si>
    <t xml:space="preserve">2012-01-01 06:24</t>
  </si>
  <si>
    <t xml:space="preserve">2012-01-01 06:25</t>
  </si>
  <si>
    <t xml:space="preserve">2012-01-01 06:26</t>
  </si>
  <si>
    <t xml:space="preserve">2012-01-01 06:27</t>
  </si>
  <si>
    <t xml:space="preserve">2012-01-01 06:28</t>
  </si>
  <si>
    <t xml:space="preserve">2012-01-01 06:29</t>
  </si>
  <si>
    <t xml:space="preserve">2012-01-01 06:30</t>
  </si>
  <si>
    <t xml:space="preserve">2012-01-01 06:31</t>
  </si>
  <si>
    <t xml:space="preserve">2012-01-01 06:32</t>
  </si>
  <si>
    <t xml:space="preserve">2012-01-01 06:33</t>
  </si>
  <si>
    <t xml:space="preserve">2012-01-01 06:34</t>
  </si>
  <si>
    <t xml:space="preserve">2012-01-01 06:35</t>
  </si>
  <si>
    <t xml:space="preserve">2012-01-01 06:36</t>
  </si>
  <si>
    <t xml:space="preserve">2012-01-01 06:37</t>
  </si>
  <si>
    <t xml:space="preserve">2012-01-01 06:38</t>
  </si>
  <si>
    <t xml:space="preserve">2012-01-01 06:39</t>
  </si>
  <si>
    <t xml:space="preserve">2012-01-01 06:40</t>
  </si>
  <si>
    <t xml:space="preserve">2012-01-01 06:41</t>
  </si>
  <si>
    <t xml:space="preserve">2012-01-01 06:42</t>
  </si>
  <si>
    <t xml:space="preserve">2012-01-01 06:43</t>
  </si>
  <si>
    <t xml:space="preserve">2012-01-01 06:44</t>
  </si>
  <si>
    <t xml:space="preserve">2012-01-01 06:45</t>
  </si>
  <si>
    <t xml:space="preserve">2012-01-01 06:46</t>
  </si>
  <si>
    <t xml:space="preserve">2012-01-01 06:47</t>
  </si>
  <si>
    <t xml:space="preserve">2012-01-01 06:48</t>
  </si>
  <si>
    <t xml:space="preserve">2012-01-01 06:49</t>
  </si>
  <si>
    <t xml:space="preserve">2012-01-01 06:50</t>
  </si>
  <si>
    <t xml:space="preserve">2012-01-01 06:51</t>
  </si>
  <si>
    <t xml:space="preserve">2012-01-01 06:52</t>
  </si>
  <si>
    <t xml:space="preserve">2012-01-01 06:53</t>
  </si>
  <si>
    <t xml:space="preserve">2012-01-01 06:54</t>
  </si>
  <si>
    <t xml:space="preserve">2012-01-01 06:55</t>
  </si>
  <si>
    <t xml:space="preserve">2012-01-01 06:56</t>
  </si>
  <si>
    <t xml:space="preserve">2012-01-01 06:57</t>
  </si>
  <si>
    <t xml:space="preserve">2012-01-01 06:58</t>
  </si>
  <si>
    <t xml:space="preserve">2012-01-01 06:59</t>
  </si>
  <si>
    <t xml:space="preserve">2012-01-01 07:00</t>
  </si>
  <si>
    <t xml:space="preserve">2012-01-01 07:01</t>
  </si>
  <si>
    <t xml:space="preserve">2012-01-01 07:02</t>
  </si>
  <si>
    <t xml:space="preserve">2012-01-01 07:03</t>
  </si>
  <si>
    <t xml:space="preserve">2012-01-01 07:04</t>
  </si>
  <si>
    <t xml:space="preserve">2012-01-01 07:05</t>
  </si>
  <si>
    <t xml:space="preserve">2012-01-01 07:06</t>
  </si>
  <si>
    <t xml:space="preserve">2012-01-01 07:07</t>
  </si>
  <si>
    <t xml:space="preserve">2012-01-01 07:08</t>
  </si>
  <si>
    <t xml:space="preserve">2012-01-01 07:09</t>
  </si>
  <si>
    <t xml:space="preserve">2012-01-01 07:10</t>
  </si>
  <si>
    <t xml:space="preserve">2012-01-01 07:11</t>
  </si>
  <si>
    <t xml:space="preserve">2012-01-01 07:12</t>
  </si>
  <si>
    <t xml:space="preserve">2012-01-01 07:13</t>
  </si>
  <si>
    <t xml:space="preserve">2012-01-01 07:14</t>
  </si>
  <si>
    <t xml:space="preserve">2012-01-01 07:15</t>
  </si>
  <si>
    <t xml:space="preserve">2012-01-01 07:16</t>
  </si>
  <si>
    <t xml:space="preserve">2012-01-01 07:17</t>
  </si>
  <si>
    <t xml:space="preserve">2012-01-01 07:18</t>
  </si>
  <si>
    <t xml:space="preserve">2012-01-01 07:19</t>
  </si>
  <si>
    <t xml:space="preserve">2012-01-01 07:20</t>
  </si>
  <si>
    <t xml:space="preserve">2012-01-01 07:21</t>
  </si>
  <si>
    <t xml:space="preserve">2012-01-01 07:22</t>
  </si>
  <si>
    <t xml:space="preserve">2012-01-01 07:23</t>
  </si>
  <si>
    <t xml:space="preserve">2012-01-01 07:24</t>
  </si>
  <si>
    <t xml:space="preserve">2012-01-01 07:25</t>
  </si>
  <si>
    <t xml:space="preserve">2012-01-01 07:26</t>
  </si>
  <si>
    <t xml:space="preserve">2012-01-01 07:27</t>
  </si>
  <si>
    <t xml:space="preserve">2012-01-01 07:28</t>
  </si>
  <si>
    <t xml:space="preserve">2012-01-01 07:29</t>
  </si>
  <si>
    <t xml:space="preserve">2012-01-01 07:30</t>
  </si>
  <si>
    <t xml:space="preserve">2012-01-01 07:31</t>
  </si>
  <si>
    <t xml:space="preserve">2012-01-01 07:32</t>
  </si>
  <si>
    <t xml:space="preserve">2012-01-01 07:33</t>
  </si>
  <si>
    <t xml:space="preserve">2012-01-01 07:34</t>
  </si>
  <si>
    <t xml:space="preserve">2012-01-01 07:35</t>
  </si>
  <si>
    <t xml:space="preserve">2012-01-01 07:36</t>
  </si>
  <si>
    <t xml:space="preserve">2012-01-01 07:37</t>
  </si>
  <si>
    <t xml:space="preserve">2012-01-01 07:38</t>
  </si>
  <si>
    <t xml:space="preserve">2012-01-01 07:39</t>
  </si>
  <si>
    <t xml:space="preserve">2012-01-01 07:40</t>
  </si>
  <si>
    <t xml:space="preserve">2012-01-01 07:41</t>
  </si>
  <si>
    <t xml:space="preserve">2012-01-01 07:42</t>
  </si>
  <si>
    <t xml:space="preserve">2012-01-01 07:43</t>
  </si>
  <si>
    <t xml:space="preserve">2012-01-01 07:44</t>
  </si>
  <si>
    <t xml:space="preserve">2012-01-01 07:45</t>
  </si>
  <si>
    <t xml:space="preserve">2012-01-01 07:46</t>
  </si>
  <si>
    <t xml:space="preserve">2012-01-01 07:47</t>
  </si>
  <si>
    <t xml:space="preserve">2012-01-01 07:48</t>
  </si>
  <si>
    <t xml:space="preserve">2012-01-01 07:49</t>
  </si>
  <si>
    <t xml:space="preserve">2012-01-01 07:50</t>
  </si>
  <si>
    <t xml:space="preserve">2012-01-01 07:51</t>
  </si>
  <si>
    <t xml:space="preserve">2012-01-01 07:52</t>
  </si>
  <si>
    <t xml:space="preserve">2012-01-01 07:53</t>
  </si>
  <si>
    <t xml:space="preserve">2012-01-01 07:54</t>
  </si>
  <si>
    <t xml:space="preserve">2012-01-01 07:55</t>
  </si>
  <si>
    <t xml:space="preserve">2012-01-01 07:56</t>
  </si>
  <si>
    <t xml:space="preserve">2012-01-01 07:57</t>
  </si>
  <si>
    <t xml:space="preserve">2012-01-01 07:58</t>
  </si>
  <si>
    <t xml:space="preserve">2012-01-01 07:59</t>
  </si>
  <si>
    <t xml:space="preserve">2012-01-01 08:00</t>
  </si>
  <si>
    <t xml:space="preserve">2012-01-01 08:01</t>
  </si>
  <si>
    <t xml:space="preserve">2012-01-01 08:02</t>
  </si>
  <si>
    <t xml:space="preserve">2012-01-01 08:03</t>
  </si>
  <si>
    <t xml:space="preserve">2012-01-01 08:04</t>
  </si>
  <si>
    <t xml:space="preserve">2012-01-01 08:05</t>
  </si>
  <si>
    <t xml:space="preserve">2012-01-01 08:06</t>
  </si>
  <si>
    <t xml:space="preserve">2012-01-01 08:07</t>
  </si>
  <si>
    <t xml:space="preserve">2012-01-01 08:08</t>
  </si>
  <si>
    <t xml:space="preserve">2012-01-01 08:09</t>
  </si>
  <si>
    <t xml:space="preserve">2012-01-01 08:10</t>
  </si>
  <si>
    <t xml:space="preserve">2012-01-01 08:11</t>
  </si>
  <si>
    <t xml:space="preserve">2012-01-01 08:12</t>
  </si>
  <si>
    <t xml:space="preserve">2012-01-01 08:13</t>
  </si>
  <si>
    <t xml:space="preserve">2012-01-01 08:14</t>
  </si>
  <si>
    <t xml:space="preserve">2012-01-01 08:15</t>
  </si>
  <si>
    <t xml:space="preserve">2012-01-01 08:16</t>
  </si>
  <si>
    <t xml:space="preserve">2012-01-01 08:17</t>
  </si>
  <si>
    <t xml:space="preserve">2012-01-01 08:18</t>
  </si>
  <si>
    <t xml:space="preserve">2012-01-01 08:19</t>
  </si>
  <si>
    <t xml:space="preserve">2012-01-01 08:20</t>
  </si>
  <si>
    <t xml:space="preserve">2012-01-01 08:21</t>
  </si>
  <si>
    <t xml:space="preserve">2012-01-01 08:22</t>
  </si>
  <si>
    <t xml:space="preserve">2012-01-01 08:23</t>
  </si>
  <si>
    <t xml:space="preserve">2012-01-01 08:24</t>
  </si>
  <si>
    <t xml:space="preserve">2012-01-01 08:25</t>
  </si>
  <si>
    <t xml:space="preserve">2012-01-01 08:26</t>
  </si>
  <si>
    <t xml:space="preserve">2012-01-01 08:27</t>
  </si>
  <si>
    <t xml:space="preserve">2012-01-01 08:28</t>
  </si>
  <si>
    <t xml:space="preserve">2012-01-01 08:29</t>
  </si>
  <si>
    <t xml:space="preserve">2012-01-01 08:30</t>
  </si>
  <si>
    <t xml:space="preserve">2012-01-01 08:31</t>
  </si>
  <si>
    <t xml:space="preserve">2012-01-01 08:32</t>
  </si>
  <si>
    <t xml:space="preserve">2012-01-01 08:33</t>
  </si>
  <si>
    <t xml:space="preserve">2012-01-01 08:34</t>
  </si>
  <si>
    <t xml:space="preserve">2012-01-01 08:35</t>
  </si>
  <si>
    <t xml:space="preserve">2012-01-01 08:36</t>
  </si>
  <si>
    <t xml:space="preserve">2012-01-01 08:37</t>
  </si>
  <si>
    <t xml:space="preserve">2012-01-01 08:38</t>
  </si>
  <si>
    <t xml:space="preserve">2012-01-01 08:39</t>
  </si>
  <si>
    <t xml:space="preserve">2012-01-01 08:40</t>
  </si>
  <si>
    <t xml:space="preserve">2012-01-01 08:41</t>
  </si>
  <si>
    <t xml:space="preserve">2012-01-01 08:42</t>
  </si>
  <si>
    <t xml:space="preserve">2012-01-01 08:43</t>
  </si>
  <si>
    <t xml:space="preserve">2012-01-01 08:44</t>
  </si>
  <si>
    <t xml:space="preserve">2012-01-01 08:45</t>
  </si>
  <si>
    <t xml:space="preserve">2012-01-01 08:46</t>
  </si>
  <si>
    <t xml:space="preserve">2012-01-01 08:47</t>
  </si>
  <si>
    <t xml:space="preserve">2012-01-01 08:48</t>
  </si>
  <si>
    <t xml:space="preserve">2012-01-01 08:49</t>
  </si>
  <si>
    <t xml:space="preserve">2012-01-01 08:50</t>
  </si>
  <si>
    <t xml:space="preserve">2012-01-01 08:51</t>
  </si>
  <si>
    <t xml:space="preserve">2012-01-01 08:52</t>
  </si>
  <si>
    <t xml:space="preserve">2012-01-01 08:53</t>
  </si>
  <si>
    <t xml:space="preserve">2012-01-01 08:54</t>
  </si>
  <si>
    <t xml:space="preserve">2012-01-01 08:55</t>
  </si>
  <si>
    <t xml:space="preserve">2012-01-01 08:56</t>
  </si>
  <si>
    <t xml:space="preserve">2012-01-01 08:57</t>
  </si>
  <si>
    <t xml:space="preserve">2012-01-01 08:58</t>
  </si>
  <si>
    <t xml:space="preserve">2012-01-01 08:59</t>
  </si>
  <si>
    <t xml:space="preserve">2012-01-01 09:00</t>
  </si>
  <si>
    <t xml:space="preserve">2012-01-01 09:01</t>
  </si>
  <si>
    <t xml:space="preserve">2012-01-01 09:02</t>
  </si>
  <si>
    <t xml:space="preserve">2012-01-01 09:03</t>
  </si>
  <si>
    <t xml:space="preserve">2012-01-01 09:04</t>
  </si>
  <si>
    <t xml:space="preserve">2012-01-01 09:05</t>
  </si>
  <si>
    <t xml:space="preserve">2012-01-01 09:06</t>
  </si>
  <si>
    <t xml:space="preserve">2012-01-01 09:07</t>
  </si>
  <si>
    <t xml:space="preserve">2012-01-01 09:08</t>
  </si>
  <si>
    <t xml:space="preserve">2012-01-01 09:09</t>
  </si>
  <si>
    <t xml:space="preserve">2012-01-01 09:10</t>
  </si>
  <si>
    <t xml:space="preserve">2012-01-01 09:11</t>
  </si>
  <si>
    <t xml:space="preserve">2012-01-01 09:12</t>
  </si>
  <si>
    <t xml:space="preserve">2012-01-01 09:13</t>
  </si>
  <si>
    <t xml:space="preserve">2012-01-01 09:14</t>
  </si>
  <si>
    <t xml:space="preserve">2012-01-01 09:15</t>
  </si>
  <si>
    <t xml:space="preserve">2012-01-01 09:16</t>
  </si>
  <si>
    <t xml:space="preserve">2012-01-01 09:17</t>
  </si>
  <si>
    <t xml:space="preserve">2012-01-01 09:18</t>
  </si>
  <si>
    <t xml:space="preserve">2012-01-01 09:19</t>
  </si>
  <si>
    <t xml:space="preserve">2012-01-01 09:20</t>
  </si>
  <si>
    <t xml:space="preserve">2012-01-01 09:21</t>
  </si>
  <si>
    <t xml:space="preserve">2012-01-01 09:22</t>
  </si>
  <si>
    <t xml:space="preserve">2012-01-01 09:23</t>
  </si>
  <si>
    <t xml:space="preserve">2012-01-01 09:24</t>
  </si>
  <si>
    <t xml:space="preserve">2012-01-01 09:25</t>
  </si>
  <si>
    <t xml:space="preserve">2012-01-01 09:26</t>
  </si>
  <si>
    <t xml:space="preserve">2012-01-01 09:27</t>
  </si>
  <si>
    <t xml:space="preserve">2012-01-01 09:28</t>
  </si>
  <si>
    <t xml:space="preserve">2012-01-01 09:29</t>
  </si>
  <si>
    <t xml:space="preserve">2012-01-01 09:30</t>
  </si>
  <si>
    <t xml:space="preserve">2012-01-01 09:31</t>
  </si>
  <si>
    <t xml:space="preserve">2012-01-01 09:32</t>
  </si>
  <si>
    <t xml:space="preserve">2012-01-01 09:33</t>
  </si>
  <si>
    <t xml:space="preserve">2012-01-01 09:34</t>
  </si>
  <si>
    <t xml:space="preserve">2012-01-01 09:35</t>
  </si>
  <si>
    <t xml:space="preserve">2012-01-01 09:36</t>
  </si>
  <si>
    <t xml:space="preserve">2012-01-01 09:37</t>
  </si>
  <si>
    <t xml:space="preserve">2012-01-01 09:38</t>
  </si>
  <si>
    <t xml:space="preserve">2012-01-01 09:39</t>
  </si>
  <si>
    <t xml:space="preserve">2012-01-01 09:40</t>
  </si>
  <si>
    <t xml:space="preserve">2012-01-01 09:41</t>
  </si>
  <si>
    <t xml:space="preserve">2012-01-01 09:42</t>
  </si>
  <si>
    <t xml:space="preserve">2012-01-01 09:43</t>
  </si>
  <si>
    <t xml:space="preserve">2012-01-01 09:44</t>
  </si>
  <si>
    <t xml:space="preserve">2012-01-01 09:45</t>
  </si>
  <si>
    <t xml:space="preserve">2012-01-01 09:46</t>
  </si>
  <si>
    <t xml:space="preserve">2012-01-01 09:47</t>
  </si>
  <si>
    <t xml:space="preserve">2012-01-01 09:48</t>
  </si>
  <si>
    <t xml:space="preserve">2012-01-01 09:49</t>
  </si>
  <si>
    <t xml:space="preserve">2012-01-01 09:50</t>
  </si>
  <si>
    <t xml:space="preserve">2012-01-01 09:51</t>
  </si>
  <si>
    <t xml:space="preserve">2012-01-01 09:52</t>
  </si>
  <si>
    <t xml:space="preserve">2012-01-01 09:53</t>
  </si>
  <si>
    <t xml:space="preserve">2012-01-01 09:54</t>
  </si>
  <si>
    <t xml:space="preserve">2012-01-01 09:55</t>
  </si>
  <si>
    <t xml:space="preserve">2012-01-01 09:56</t>
  </si>
  <si>
    <t xml:space="preserve">2012-01-01 09:57</t>
  </si>
  <si>
    <t xml:space="preserve">2012-01-01 09:58</t>
  </si>
  <si>
    <t xml:space="preserve">2012-01-01 09:59</t>
  </si>
  <si>
    <t xml:space="preserve">2012-01-01 10:00</t>
  </si>
  <si>
    <t xml:space="preserve">2012-01-01 10:01</t>
  </si>
  <si>
    <t xml:space="preserve">2012-01-01 10:02</t>
  </si>
  <si>
    <t xml:space="preserve">2012-01-01 10:03</t>
  </si>
  <si>
    <t xml:space="preserve">2012-01-01 10:04</t>
  </si>
  <si>
    <t xml:space="preserve">2012-01-01 10:05</t>
  </si>
  <si>
    <t xml:space="preserve">2012-01-01 10:06</t>
  </si>
  <si>
    <t xml:space="preserve">2012-01-01 10:07</t>
  </si>
  <si>
    <t xml:space="preserve">2012-01-01 10:08</t>
  </si>
  <si>
    <t xml:space="preserve">2012-01-01 10:09</t>
  </si>
  <si>
    <t xml:space="preserve">2012-01-01 10:10</t>
  </si>
  <si>
    <t xml:space="preserve">2012-01-01 10:11</t>
  </si>
  <si>
    <t xml:space="preserve">2012-01-01 10:12</t>
  </si>
  <si>
    <t xml:space="preserve">2012-01-01 10:13</t>
  </si>
  <si>
    <t xml:space="preserve">2012-01-01 10:14</t>
  </si>
  <si>
    <t xml:space="preserve">2012-01-01 10:15</t>
  </si>
  <si>
    <t xml:space="preserve">2012-01-01 10:16</t>
  </si>
  <si>
    <t xml:space="preserve">2012-01-01 10:17</t>
  </si>
  <si>
    <t xml:space="preserve">2012-01-01 10:18</t>
  </si>
  <si>
    <t xml:space="preserve">2012-01-01 10:19</t>
  </si>
  <si>
    <t xml:space="preserve">2012-01-01 10:20</t>
  </si>
  <si>
    <t xml:space="preserve">2012-01-01 10:21</t>
  </si>
  <si>
    <t xml:space="preserve">2012-01-01 10:22</t>
  </si>
  <si>
    <t xml:space="preserve">2012-01-01 10:23</t>
  </si>
  <si>
    <t xml:space="preserve">2012-01-01 10:24</t>
  </si>
  <si>
    <t xml:space="preserve">2012-01-01 10:25</t>
  </si>
  <si>
    <t xml:space="preserve">2012-01-01 10:26</t>
  </si>
  <si>
    <t xml:space="preserve">2012-01-01 10:27</t>
  </si>
  <si>
    <t xml:space="preserve">2012-01-01 10:28</t>
  </si>
  <si>
    <t xml:space="preserve">2012-01-01 10:29</t>
  </si>
  <si>
    <t xml:space="preserve">2012-01-01 10:30</t>
  </si>
  <si>
    <t xml:space="preserve">2012-01-01 10:31</t>
  </si>
  <si>
    <t xml:space="preserve">2012-01-01 10:32</t>
  </si>
  <si>
    <t xml:space="preserve">2012-01-01 10:33</t>
  </si>
  <si>
    <t xml:space="preserve">2012-01-01 10:34</t>
  </si>
  <si>
    <t xml:space="preserve">2012-01-01 10:35</t>
  </si>
  <si>
    <t xml:space="preserve">2012-01-01 10:36</t>
  </si>
  <si>
    <t xml:space="preserve">2012-01-01 10:37</t>
  </si>
  <si>
    <t xml:space="preserve">2012-01-01 10:38</t>
  </si>
  <si>
    <t xml:space="preserve">2012-01-01 10:39</t>
  </si>
  <si>
    <t xml:space="preserve">2012-01-01 10:40</t>
  </si>
  <si>
    <t xml:space="preserve">2012-01-01 10:41</t>
  </si>
  <si>
    <t xml:space="preserve">2012-01-01 10:42</t>
  </si>
  <si>
    <t xml:space="preserve">2012-01-01 10:43</t>
  </si>
  <si>
    <t xml:space="preserve">2012-01-01 10:44</t>
  </si>
  <si>
    <t xml:space="preserve">2012-01-01 10:45</t>
  </si>
  <si>
    <t xml:space="preserve">2012-01-01 10:46</t>
  </si>
  <si>
    <t xml:space="preserve">2012-01-01 10:47</t>
  </si>
  <si>
    <t xml:space="preserve">2012-01-01 10:48</t>
  </si>
  <si>
    <t xml:space="preserve">2012-01-01 10:49</t>
  </si>
  <si>
    <t xml:space="preserve">2012-01-01 10:50</t>
  </si>
  <si>
    <t xml:space="preserve">2012-01-01 10:51</t>
  </si>
  <si>
    <t xml:space="preserve">2012-01-01 10:52</t>
  </si>
  <si>
    <t xml:space="preserve">2012-01-01 10:53</t>
  </si>
  <si>
    <t xml:space="preserve">2012-01-01 10:54</t>
  </si>
  <si>
    <t xml:space="preserve">2012-01-01 10:55</t>
  </si>
  <si>
    <t xml:space="preserve">2012-01-01 10:56</t>
  </si>
  <si>
    <t xml:space="preserve">2012-01-01 10:57</t>
  </si>
  <si>
    <t xml:space="preserve">2012-01-01 10:58</t>
  </si>
  <si>
    <t xml:space="preserve">2012-01-01 10:59</t>
  </si>
  <si>
    <t xml:space="preserve">2012-01-01 11:00</t>
  </si>
  <si>
    <t xml:space="preserve">2012-01-01 11:01</t>
  </si>
  <si>
    <t xml:space="preserve">2012-01-01 11:02</t>
  </si>
  <si>
    <t xml:space="preserve">2012-01-01 11:03</t>
  </si>
  <si>
    <t xml:space="preserve">2012-01-01 11:04</t>
  </si>
  <si>
    <t xml:space="preserve">2012-01-01 11:05</t>
  </si>
  <si>
    <t xml:space="preserve">2012-01-01 11:06</t>
  </si>
  <si>
    <t xml:space="preserve">2012-01-01 11:07</t>
  </si>
  <si>
    <t xml:space="preserve">2012-01-01 11:08</t>
  </si>
  <si>
    <t xml:space="preserve">2012-01-01 11:09</t>
  </si>
  <si>
    <t xml:space="preserve">2012-01-01 11:10</t>
  </si>
  <si>
    <t xml:space="preserve">2012-01-01 11:11</t>
  </si>
  <si>
    <t xml:space="preserve">2012-01-01 11:12</t>
  </si>
  <si>
    <t xml:space="preserve">2012-01-01 11:13</t>
  </si>
  <si>
    <t xml:space="preserve">2012-01-01 11:14</t>
  </si>
  <si>
    <t xml:space="preserve">2012-01-01 11:15</t>
  </si>
  <si>
    <t xml:space="preserve">2012-01-01 11:16</t>
  </si>
  <si>
    <t xml:space="preserve">2012-01-01 11:17</t>
  </si>
  <si>
    <t xml:space="preserve">2012-01-01 11:18</t>
  </si>
  <si>
    <t xml:space="preserve">2012-01-01 11:19</t>
  </si>
  <si>
    <t xml:space="preserve">2012-01-01 11:20</t>
  </si>
  <si>
    <t xml:space="preserve">2012-01-01 11:21</t>
  </si>
  <si>
    <t xml:space="preserve">2012-01-01 11:22</t>
  </si>
  <si>
    <t xml:space="preserve">2012-01-01 11:23</t>
  </si>
  <si>
    <t xml:space="preserve">2012-01-01 11:24</t>
  </si>
  <si>
    <t xml:space="preserve">2012-01-01 11:25</t>
  </si>
  <si>
    <t xml:space="preserve">2012-01-01 11:26</t>
  </si>
  <si>
    <t xml:space="preserve">2012-01-01 11:27</t>
  </si>
  <si>
    <t xml:space="preserve">2012-01-01 11:28</t>
  </si>
  <si>
    <t xml:space="preserve">2012-01-01 11:29</t>
  </si>
  <si>
    <t xml:space="preserve">2012-01-01 11:30</t>
  </si>
  <si>
    <t xml:space="preserve">2012-01-01 11:31</t>
  </si>
  <si>
    <t xml:space="preserve">2012-01-01 11:32</t>
  </si>
  <si>
    <t xml:space="preserve">2012-01-01 11:33</t>
  </si>
  <si>
    <t xml:space="preserve">2012-01-01 11:34</t>
  </si>
  <si>
    <t xml:space="preserve">2012-01-01 11:35</t>
  </si>
  <si>
    <t xml:space="preserve">2012-01-01 11:36</t>
  </si>
  <si>
    <t xml:space="preserve">2012-01-01 11:37</t>
  </si>
  <si>
    <t xml:space="preserve">2012-01-01 11:38</t>
  </si>
  <si>
    <t xml:space="preserve">2012-01-01 11:39</t>
  </si>
  <si>
    <t xml:space="preserve">2012-01-01 11:40</t>
  </si>
  <si>
    <t xml:space="preserve">2012-01-01 11:41</t>
  </si>
  <si>
    <t xml:space="preserve">2012-01-01 11:42</t>
  </si>
  <si>
    <t xml:space="preserve">2012-01-01 11:43</t>
  </si>
  <si>
    <t xml:space="preserve">2012-01-01 11:44</t>
  </si>
  <si>
    <t xml:space="preserve">2012-01-01 11:45</t>
  </si>
  <si>
    <t xml:space="preserve">2012-01-01 11:46</t>
  </si>
  <si>
    <t xml:space="preserve">2012-01-01 11:47</t>
  </si>
  <si>
    <t xml:space="preserve">2012-01-01 11:48</t>
  </si>
  <si>
    <t xml:space="preserve">2012-01-01 11:49</t>
  </si>
  <si>
    <t xml:space="preserve">2012-01-01 11:50</t>
  </si>
  <si>
    <t xml:space="preserve">2012-01-01 11:51</t>
  </si>
  <si>
    <t xml:space="preserve">2012-01-01 11:52</t>
  </si>
  <si>
    <t xml:space="preserve">2012-01-01 11:53</t>
  </si>
  <si>
    <t xml:space="preserve">2012-01-01 11:54</t>
  </si>
  <si>
    <t xml:space="preserve">2012-01-01 11:55</t>
  </si>
  <si>
    <t xml:space="preserve">2012-01-01 11:56</t>
  </si>
  <si>
    <t xml:space="preserve">2012-01-01 11:57</t>
  </si>
  <si>
    <t xml:space="preserve">2012-01-01 11:58</t>
  </si>
  <si>
    <t xml:space="preserve">2012-01-01 11:59</t>
  </si>
  <si>
    <t xml:space="preserve">2012-01-01 12:00</t>
  </si>
  <si>
    <t xml:space="preserve">2012-01-01 12:01</t>
  </si>
  <si>
    <t xml:space="preserve">2012-01-01 12:02</t>
  </si>
  <si>
    <t xml:space="preserve">2012-01-01 12:03</t>
  </si>
  <si>
    <t xml:space="preserve">2012-01-01 12:04</t>
  </si>
  <si>
    <t xml:space="preserve">2012-01-01 12:05</t>
  </si>
  <si>
    <t xml:space="preserve">2012-01-01 12:06</t>
  </si>
  <si>
    <t xml:space="preserve">2012-01-01 12:07</t>
  </si>
  <si>
    <t xml:space="preserve">2012-01-01 12:08</t>
  </si>
  <si>
    <t xml:space="preserve">2012-01-01 12:09</t>
  </si>
  <si>
    <t xml:space="preserve">2012-01-01 12:10</t>
  </si>
  <si>
    <t xml:space="preserve">2012-01-01 12:11</t>
  </si>
  <si>
    <t xml:space="preserve">2012-01-01 12:12</t>
  </si>
  <si>
    <t xml:space="preserve">2012-01-01 12:13</t>
  </si>
  <si>
    <t xml:space="preserve">2012-01-01 12:14</t>
  </si>
  <si>
    <t xml:space="preserve">2012-01-01 12:15</t>
  </si>
  <si>
    <t xml:space="preserve">2012-01-01 12:16</t>
  </si>
  <si>
    <t xml:space="preserve">2012-01-01 12:17</t>
  </si>
  <si>
    <t xml:space="preserve">2012-01-01 12:18</t>
  </si>
  <si>
    <t xml:space="preserve">2012-01-01 12:19</t>
  </si>
  <si>
    <t xml:space="preserve">2012-01-01 12:20</t>
  </si>
  <si>
    <t xml:space="preserve">2012-01-01 12:21</t>
  </si>
  <si>
    <t xml:space="preserve">2012-01-01 12:22</t>
  </si>
  <si>
    <t xml:space="preserve">2012-01-01 12:23</t>
  </si>
  <si>
    <t xml:space="preserve">2012-01-01 12:24</t>
  </si>
  <si>
    <t xml:space="preserve">2012-01-01 12:25</t>
  </si>
  <si>
    <t xml:space="preserve">2012-01-01 12:26</t>
  </si>
  <si>
    <t xml:space="preserve">2012-01-01 12:27</t>
  </si>
  <si>
    <t xml:space="preserve">2012-01-01 12:28</t>
  </si>
  <si>
    <t xml:space="preserve">2012-01-01 12:29</t>
  </si>
  <si>
    <t xml:space="preserve">2012-01-01 12:30</t>
  </si>
  <si>
    <t xml:space="preserve">2012-01-01 12:31</t>
  </si>
  <si>
    <t xml:space="preserve">2012-01-01 12:32</t>
  </si>
  <si>
    <t xml:space="preserve">2012-01-01 12:33</t>
  </si>
  <si>
    <t xml:space="preserve">2012-01-01 12:34</t>
  </si>
  <si>
    <t xml:space="preserve">2012-01-01 12:35</t>
  </si>
  <si>
    <t xml:space="preserve">2012-01-01 12:36</t>
  </si>
  <si>
    <t xml:space="preserve">2012-01-01 12:37</t>
  </si>
  <si>
    <t xml:space="preserve">2012-01-01 12:38</t>
  </si>
  <si>
    <t xml:space="preserve">2012-01-01 12:39</t>
  </si>
  <si>
    <t xml:space="preserve">2012-01-01 12:40</t>
  </si>
  <si>
    <t xml:space="preserve">2012-01-01 12:41</t>
  </si>
  <si>
    <t xml:space="preserve">2012-01-01 12:42</t>
  </si>
  <si>
    <t xml:space="preserve">2012-01-01 12:43</t>
  </si>
  <si>
    <t xml:space="preserve">2012-01-01 12:44</t>
  </si>
  <si>
    <t xml:space="preserve">2012-01-01 12:45</t>
  </si>
  <si>
    <t xml:space="preserve">2012-01-01 12:46</t>
  </si>
  <si>
    <t xml:space="preserve">2012-01-01 12:47</t>
  </si>
  <si>
    <t xml:space="preserve">2012-01-01 12:48</t>
  </si>
  <si>
    <t xml:space="preserve">2012-01-01 12:49</t>
  </si>
  <si>
    <t xml:space="preserve">2012-01-01 12:50</t>
  </si>
  <si>
    <t xml:space="preserve">2012-01-01 12:51</t>
  </si>
  <si>
    <t xml:space="preserve">2012-01-01 12:52</t>
  </si>
  <si>
    <t xml:space="preserve">2012-01-01 12:53</t>
  </si>
  <si>
    <t xml:space="preserve">2012-01-01 12:54</t>
  </si>
  <si>
    <t xml:space="preserve">2012-01-01 12:55</t>
  </si>
  <si>
    <t xml:space="preserve">2012-01-01 12:56</t>
  </si>
  <si>
    <t xml:space="preserve">2012-01-01 12:57</t>
  </si>
  <si>
    <t xml:space="preserve">2012-01-01 12:58</t>
  </si>
  <si>
    <t xml:space="preserve">2012-01-01 12:59</t>
  </si>
  <si>
    <t xml:space="preserve">2012-01-01 13:00</t>
  </si>
  <si>
    <t xml:space="preserve">2012-01-01 13:01</t>
  </si>
  <si>
    <t xml:space="preserve">2012-01-01 13:02</t>
  </si>
  <si>
    <t xml:space="preserve">2012-01-01 13:03</t>
  </si>
  <si>
    <t xml:space="preserve">2012-01-01 13:04</t>
  </si>
  <si>
    <t xml:space="preserve">2012-01-01 13:05</t>
  </si>
  <si>
    <t xml:space="preserve">2012-01-01 13:06</t>
  </si>
  <si>
    <t xml:space="preserve">2012-01-01 13:07</t>
  </si>
  <si>
    <t xml:space="preserve">2012-01-01 13:08</t>
  </si>
  <si>
    <t xml:space="preserve">2012-01-01 13:09</t>
  </si>
  <si>
    <t xml:space="preserve">2012-01-01 13:10</t>
  </si>
  <si>
    <t xml:space="preserve">2012-01-01 13:11</t>
  </si>
  <si>
    <t xml:space="preserve">2012-01-01 13:12</t>
  </si>
  <si>
    <t xml:space="preserve">2012-01-01 13:13</t>
  </si>
  <si>
    <t xml:space="preserve">2012-01-01 13:14</t>
  </si>
  <si>
    <t xml:space="preserve">2012-01-01 13:15</t>
  </si>
  <si>
    <t xml:space="preserve">2012-01-01 13:16</t>
  </si>
  <si>
    <t xml:space="preserve">2012-01-01 13:17</t>
  </si>
  <si>
    <t xml:space="preserve">2012-01-01 13:18</t>
  </si>
  <si>
    <t xml:space="preserve">2012-01-01 13:19</t>
  </si>
  <si>
    <t xml:space="preserve">2012-01-01 13:20</t>
  </si>
  <si>
    <t xml:space="preserve">2012-01-01 13:21</t>
  </si>
  <si>
    <t xml:space="preserve">2012-01-01 13:22</t>
  </si>
  <si>
    <t xml:space="preserve">2012-01-01 13:23</t>
  </si>
  <si>
    <t xml:space="preserve">2012-01-01 13:24</t>
  </si>
  <si>
    <t xml:space="preserve">2012-01-01 13:25</t>
  </si>
  <si>
    <t xml:space="preserve">2012-01-01 13:26</t>
  </si>
  <si>
    <t xml:space="preserve">2012-01-01 13:27</t>
  </si>
  <si>
    <t xml:space="preserve">2012-01-01 13:28</t>
  </si>
  <si>
    <t xml:space="preserve">2012-01-01 13:29</t>
  </si>
  <si>
    <t xml:space="preserve">2012-01-01 13:30</t>
  </si>
  <si>
    <t xml:space="preserve">2012-01-01 13:31</t>
  </si>
  <si>
    <t xml:space="preserve">2012-01-01 13:32</t>
  </si>
  <si>
    <t xml:space="preserve">2012-01-01 13:33</t>
  </si>
  <si>
    <t xml:space="preserve">2012-01-01 13:34</t>
  </si>
  <si>
    <t xml:space="preserve">2012-01-01 13:35</t>
  </si>
  <si>
    <t xml:space="preserve">2012-01-01 13:36</t>
  </si>
  <si>
    <t xml:space="preserve">2012-01-01 13:37</t>
  </si>
  <si>
    <t xml:space="preserve">2012-01-01 13:38</t>
  </si>
  <si>
    <t xml:space="preserve">2012-01-01 13:39</t>
  </si>
  <si>
    <t xml:space="preserve">2012-01-01 13:40</t>
  </si>
  <si>
    <t xml:space="preserve">2012-01-01 13:41</t>
  </si>
  <si>
    <t xml:space="preserve">2012-01-01 13:42</t>
  </si>
  <si>
    <t xml:space="preserve">2012-01-01 13:43</t>
  </si>
  <si>
    <t xml:space="preserve">2012-01-01 13:44</t>
  </si>
  <si>
    <t xml:space="preserve">2012-01-01 13:45</t>
  </si>
  <si>
    <t xml:space="preserve">2012-01-01 13:46</t>
  </si>
  <si>
    <t xml:space="preserve">2012-01-01 13:47</t>
  </si>
  <si>
    <t xml:space="preserve">2012-01-01 13:48</t>
  </si>
  <si>
    <t xml:space="preserve">2012-01-01 13:49</t>
  </si>
  <si>
    <t xml:space="preserve">2012-01-01 13:50</t>
  </si>
  <si>
    <t xml:space="preserve">2012-01-01 13:51</t>
  </si>
  <si>
    <t xml:space="preserve">2012-01-01 13:52</t>
  </si>
  <si>
    <t xml:space="preserve">2012-01-01 13:53</t>
  </si>
  <si>
    <t xml:space="preserve">2012-01-01 13:54</t>
  </si>
  <si>
    <t xml:space="preserve">2012-01-01 13:55</t>
  </si>
  <si>
    <t xml:space="preserve">2012-01-01 13:56</t>
  </si>
  <si>
    <t xml:space="preserve">2012-01-01 13:57</t>
  </si>
  <si>
    <t xml:space="preserve">2012-01-01 13:58</t>
  </si>
  <si>
    <t xml:space="preserve">2012-01-01 13:59</t>
  </si>
  <si>
    <t xml:space="preserve">2012-01-01 14:00</t>
  </si>
  <si>
    <t xml:space="preserve">2012-01-01 14:01</t>
  </si>
  <si>
    <t xml:space="preserve">2012-01-01 14:02</t>
  </si>
  <si>
    <t xml:space="preserve">2012-01-01 14:03</t>
  </si>
  <si>
    <t xml:space="preserve">2012-01-01 14:04</t>
  </si>
  <si>
    <t xml:space="preserve">2012-01-01 14:05</t>
  </si>
  <si>
    <t xml:space="preserve">2012-01-01 14:06</t>
  </si>
  <si>
    <t xml:space="preserve">2012-01-01 14:07</t>
  </si>
  <si>
    <t xml:space="preserve">2012-01-01 14:08</t>
  </si>
  <si>
    <t xml:space="preserve">2012-01-01 14:09</t>
  </si>
  <si>
    <t xml:space="preserve">2012-01-01 14:10</t>
  </si>
  <si>
    <t xml:space="preserve">2012-01-01 14:11</t>
  </si>
  <si>
    <t xml:space="preserve">2012-01-01 14:12</t>
  </si>
  <si>
    <t xml:space="preserve">2012-01-01 14:13</t>
  </si>
  <si>
    <t xml:space="preserve">2012-01-01 14:14</t>
  </si>
  <si>
    <t xml:space="preserve">2012-01-01 14:15</t>
  </si>
  <si>
    <t xml:space="preserve">2012-01-01 14:16</t>
  </si>
  <si>
    <t xml:space="preserve">2012-01-01 14:17</t>
  </si>
  <si>
    <t xml:space="preserve">2012-01-01 14:18</t>
  </si>
  <si>
    <t xml:space="preserve">2012-01-01 14:19</t>
  </si>
  <si>
    <t xml:space="preserve">2012-01-01 14:20</t>
  </si>
  <si>
    <t xml:space="preserve">2012-01-01 14:21</t>
  </si>
  <si>
    <t xml:space="preserve">2012-01-01 14:22</t>
  </si>
  <si>
    <t xml:space="preserve">2012-01-01 14:23</t>
  </si>
  <si>
    <t xml:space="preserve">2012-01-01 14:24</t>
  </si>
  <si>
    <t xml:space="preserve">2012-01-01 14:25</t>
  </si>
  <si>
    <t xml:space="preserve">2012-01-01 14:26</t>
  </si>
  <si>
    <t xml:space="preserve">2012-01-01 14:27</t>
  </si>
  <si>
    <t xml:space="preserve">2012-01-01 14:28</t>
  </si>
  <si>
    <t xml:space="preserve">2012-01-01 14:29</t>
  </si>
  <si>
    <t xml:space="preserve">2012-01-01 14:30</t>
  </si>
  <si>
    <t xml:space="preserve">2012-01-01 14:31</t>
  </si>
  <si>
    <t xml:space="preserve">2012-01-01 14:32</t>
  </si>
  <si>
    <t xml:space="preserve">2012-01-01 14:33</t>
  </si>
  <si>
    <t xml:space="preserve">2012-01-01 14:34</t>
  </si>
  <si>
    <t xml:space="preserve">2012-01-01 14:35</t>
  </si>
  <si>
    <t xml:space="preserve">2012-01-01 14:36</t>
  </si>
  <si>
    <t xml:space="preserve">2012-01-01 14:37</t>
  </si>
  <si>
    <t xml:space="preserve">2012-01-01 14:38</t>
  </si>
  <si>
    <t xml:space="preserve">2012-01-01 14:39</t>
  </si>
  <si>
    <t xml:space="preserve">2012-01-01 14:40</t>
  </si>
  <si>
    <t xml:space="preserve">2012-01-01 14:41</t>
  </si>
  <si>
    <t xml:space="preserve">2012-01-01 14:42</t>
  </si>
  <si>
    <t xml:space="preserve">2012-01-01 14:43</t>
  </si>
  <si>
    <t xml:space="preserve">2012-01-01 14:44</t>
  </si>
  <si>
    <t xml:space="preserve">2012-01-01 14:45</t>
  </si>
  <si>
    <t xml:space="preserve">2012-01-01 14:46</t>
  </si>
  <si>
    <t xml:space="preserve">2012-01-01 14:47</t>
  </si>
  <si>
    <t xml:space="preserve">2012-01-01 14:48</t>
  </si>
  <si>
    <t xml:space="preserve">2012-01-01 14:49</t>
  </si>
  <si>
    <t xml:space="preserve">2012-01-01 14:50</t>
  </si>
  <si>
    <t xml:space="preserve">2012-01-01 14:51</t>
  </si>
  <si>
    <t xml:space="preserve">2012-01-01 14:52</t>
  </si>
  <si>
    <t xml:space="preserve">2012-01-01 14:53</t>
  </si>
  <si>
    <t xml:space="preserve">2012-01-01 14:54</t>
  </si>
  <si>
    <t xml:space="preserve">2012-01-01 14:55</t>
  </si>
  <si>
    <t xml:space="preserve">2012-01-01 14:56</t>
  </si>
  <si>
    <t xml:space="preserve">2012-01-01 14:57</t>
  </si>
  <si>
    <t xml:space="preserve">2012-01-01 14:58</t>
  </si>
  <si>
    <t xml:space="preserve">2012-01-01 14:59</t>
  </si>
  <si>
    <t xml:space="preserve">2012-01-01 15:00</t>
  </si>
  <si>
    <t xml:space="preserve">2012-01-01 15:01</t>
  </si>
  <si>
    <t xml:space="preserve">2012-01-01 15:02</t>
  </si>
  <si>
    <t xml:space="preserve">2012-01-01 15:03</t>
  </si>
  <si>
    <t xml:space="preserve">2012-01-01 15:04</t>
  </si>
  <si>
    <t xml:space="preserve">2012-01-01 15:05</t>
  </si>
  <si>
    <t xml:space="preserve">2012-01-01 15:06</t>
  </si>
  <si>
    <t xml:space="preserve">2012-01-01 15:07</t>
  </si>
  <si>
    <t xml:space="preserve">2012-01-01 15:08</t>
  </si>
  <si>
    <t xml:space="preserve">2012-01-01 15:09</t>
  </si>
  <si>
    <t xml:space="preserve">2012-01-01 15:10</t>
  </si>
  <si>
    <t xml:space="preserve">2012-01-01 15:11</t>
  </si>
  <si>
    <t xml:space="preserve">2012-01-01 15:12</t>
  </si>
  <si>
    <t xml:space="preserve">2012-01-01 15:13</t>
  </si>
  <si>
    <t xml:space="preserve">2012-01-01 15:14</t>
  </si>
  <si>
    <t xml:space="preserve">2012-01-01 15:15</t>
  </si>
  <si>
    <t xml:space="preserve">2012-01-01 15:16</t>
  </si>
  <si>
    <t xml:space="preserve">2012-01-01 15:17</t>
  </si>
  <si>
    <t xml:space="preserve">2012-01-01 15:18</t>
  </si>
  <si>
    <t xml:space="preserve">2012-01-01 15:19</t>
  </si>
  <si>
    <t xml:space="preserve">2012-01-01 15:20</t>
  </si>
  <si>
    <t xml:space="preserve">2012-01-01 15:21</t>
  </si>
  <si>
    <t xml:space="preserve">2012-01-01 15:22</t>
  </si>
  <si>
    <t xml:space="preserve">2012-01-01 15:23</t>
  </si>
  <si>
    <t xml:space="preserve">2012-01-01 15:24</t>
  </si>
  <si>
    <t xml:space="preserve">2012-01-01 15:25</t>
  </si>
  <si>
    <t xml:space="preserve">2012-01-01 15:26</t>
  </si>
  <si>
    <t xml:space="preserve">2012-01-01 15:27</t>
  </si>
  <si>
    <t xml:space="preserve">2012-01-01 15:28</t>
  </si>
  <si>
    <t xml:space="preserve">2012-01-01 15:29</t>
  </si>
  <si>
    <t xml:space="preserve">2012-01-01 15:30</t>
  </si>
  <si>
    <t xml:space="preserve">2012-01-01 15:31</t>
  </si>
  <si>
    <t xml:space="preserve">2012-01-01 15:32</t>
  </si>
  <si>
    <t xml:space="preserve">2012-01-01 15:33</t>
  </si>
  <si>
    <t xml:space="preserve">2012-01-01 15:34</t>
  </si>
  <si>
    <t xml:space="preserve">2012-01-01 15:35</t>
  </si>
  <si>
    <t xml:space="preserve">2012-01-01 15:36</t>
  </si>
  <si>
    <t xml:space="preserve">2012-01-01 15:37</t>
  </si>
  <si>
    <t xml:space="preserve">2012-01-01 15:38</t>
  </si>
  <si>
    <t xml:space="preserve">2012-01-01 15:39</t>
  </si>
  <si>
    <t xml:space="preserve">2012-01-01 15:40</t>
  </si>
  <si>
    <t xml:space="preserve">2012-01-01 15:41</t>
  </si>
  <si>
    <t xml:space="preserve">2012-01-01 15:42</t>
  </si>
  <si>
    <t xml:space="preserve">2012-01-01 15:43</t>
  </si>
  <si>
    <t xml:space="preserve">2012-01-01 15:44</t>
  </si>
  <si>
    <t xml:space="preserve">2012-01-01 15:45</t>
  </si>
  <si>
    <t xml:space="preserve">2012-01-01 15:46</t>
  </si>
  <si>
    <t xml:space="preserve">2012-01-01 15:47</t>
  </si>
  <si>
    <t xml:space="preserve">2012-01-01 15:48</t>
  </si>
  <si>
    <t xml:space="preserve">2012-01-01 15:49</t>
  </si>
  <si>
    <t xml:space="preserve">2012-01-01 15:50</t>
  </si>
  <si>
    <t xml:space="preserve">2012-01-01 15:51</t>
  </si>
  <si>
    <t xml:space="preserve">2012-01-01 15:52</t>
  </si>
  <si>
    <t xml:space="preserve">2012-01-01 15:53</t>
  </si>
  <si>
    <t xml:space="preserve">2012-01-01 15:54</t>
  </si>
  <si>
    <t xml:space="preserve">2012-01-01 15:55</t>
  </si>
  <si>
    <t xml:space="preserve">2012-01-01 15:56</t>
  </si>
  <si>
    <t xml:space="preserve">2012-01-01 15:57</t>
  </si>
  <si>
    <t xml:space="preserve">2012-01-01 15:58</t>
  </si>
  <si>
    <t xml:space="preserve">2012-01-01 15:59</t>
  </si>
  <si>
    <t xml:space="preserve">2012-01-01 16:00</t>
  </si>
  <si>
    <t xml:space="preserve">2012-01-01 16:01</t>
  </si>
  <si>
    <t xml:space="preserve">2012-01-01 16:02</t>
  </si>
  <si>
    <t xml:space="preserve">2012-01-01 16:03</t>
  </si>
  <si>
    <t xml:space="preserve">2012-01-01 16:04</t>
  </si>
  <si>
    <t xml:space="preserve">2012-01-01 16:05</t>
  </si>
  <si>
    <t xml:space="preserve">2012-01-01 16:06</t>
  </si>
  <si>
    <t xml:space="preserve">2012-01-01 16:07</t>
  </si>
  <si>
    <t xml:space="preserve">2012-01-01 16:08</t>
  </si>
  <si>
    <t xml:space="preserve">2012-01-01 16:09</t>
  </si>
  <si>
    <t xml:space="preserve">2012-01-01 16:10</t>
  </si>
  <si>
    <t xml:space="preserve">2012-01-01 16:11</t>
  </si>
  <si>
    <t xml:space="preserve">2012-01-01 16:12</t>
  </si>
  <si>
    <t xml:space="preserve">2012-01-01 16:13</t>
  </si>
  <si>
    <t xml:space="preserve">2012-01-01 16:14</t>
  </si>
  <si>
    <t xml:space="preserve">2012-01-01 16:15</t>
  </si>
  <si>
    <t xml:space="preserve">2012-01-01 16:16</t>
  </si>
  <si>
    <t xml:space="preserve">2012-01-01 16:17</t>
  </si>
  <si>
    <t xml:space="preserve">2012-01-01 16:18</t>
  </si>
  <si>
    <t xml:space="preserve">2012-01-01 16:19</t>
  </si>
  <si>
    <t xml:space="preserve">2012-01-01 16:20</t>
  </si>
  <si>
    <t xml:space="preserve">2012-01-01 16:21</t>
  </si>
  <si>
    <t xml:space="preserve">2012-01-01 16:22</t>
  </si>
  <si>
    <t xml:space="preserve">2012-01-01 16:23</t>
  </si>
  <si>
    <t xml:space="preserve">2012-01-01 16:24</t>
  </si>
  <si>
    <t xml:space="preserve">2012-01-01 16:25</t>
  </si>
  <si>
    <t xml:space="preserve">2012-01-01 16:26</t>
  </si>
  <si>
    <t xml:space="preserve">2012-01-01 16:27</t>
  </si>
  <si>
    <t xml:space="preserve">2012-01-01 16:28</t>
  </si>
  <si>
    <t xml:space="preserve">2012-01-01 16:29</t>
  </si>
  <si>
    <t xml:space="preserve">2012-01-01 16:30</t>
  </si>
  <si>
    <t xml:space="preserve">2012-01-01 16:31</t>
  </si>
  <si>
    <t xml:space="preserve">2012-01-01 16:32</t>
  </si>
  <si>
    <t xml:space="preserve">2012-01-01 16:33</t>
  </si>
  <si>
    <t xml:space="preserve">2012-01-01 16:34</t>
  </si>
  <si>
    <t xml:space="preserve">2012-01-01 16:35</t>
  </si>
  <si>
    <t xml:space="preserve">2012-01-01 16:36</t>
  </si>
  <si>
    <t xml:space="preserve">2012-01-01 16:37</t>
  </si>
  <si>
    <t xml:space="preserve">2012-01-01 16:38</t>
  </si>
  <si>
    <t xml:space="preserve">2012-01-01 16:39</t>
  </si>
  <si>
    <t xml:space="preserve">2012-01-01 16:40</t>
  </si>
  <si>
    <t xml:space="preserve">Part 1 - Best-fitting distribution for BTC/USD 1-minute returns (KS test)</t>
  </si>
  <si>
    <t xml:space="preserve">Significance level (alpha)</t>
  </si>
  <si>
    <t xml:space="preserve">Assumption: conventional 5% level (input, editable).</t>
  </si>
  <si>
    <t xml:space="preserve">Sample statistic</t>
  </si>
  <si>
    <t xml:space="preserve">Value</t>
  </si>
  <si>
    <t xml:space="preserve">Distribution</t>
  </si>
  <si>
    <t xml:space="preserve">KS statistic D</t>
  </si>
  <si>
    <t xml:space="preserve">Critical D (approx)</t>
  </si>
  <si>
    <t xml:space="preserve">Reject fit?</t>
  </si>
  <si>
    <t xml:space="preserve">Rank</t>
  </si>
  <si>
    <t xml:space="preserve">n (returns)</t>
  </si>
  <si>
    <t xml:space="preserve">Normal</t>
  </si>
  <si>
    <t xml:space="preserve">Mean</t>
  </si>
  <si>
    <t xml:space="preserve">Student-t</t>
  </si>
  <si>
    <t xml:space="preserve">Std. deviation</t>
  </si>
  <si>
    <t xml:space="preserve">Laplace</t>
  </si>
  <si>
    <t xml:space="preserve">Median</t>
  </si>
  <si>
    <t xml:space="preserve">Logistic</t>
  </si>
  <si>
    <t xml:space="preserve">Skewness</t>
  </si>
  <si>
    <t xml:space="preserve">Excess kurtosis</t>
  </si>
  <si>
    <t xml:space="preserve">BEST-FITTING DISTRIBUTION</t>
  </si>
  <si>
    <t xml:space="preserve">Check: n &gt;= 30 required</t>
  </si>
  <si>
    <t xml:space="preserve">Lowest D</t>
  </si>
  <si>
    <t xml:space="preserve">Interpretation</t>
  </si>
  <si>
    <t xml:space="preserve">Fitted parameters</t>
  </si>
  <si>
    <t xml:space="preserve">Basis</t>
  </si>
  <si>
    <t xml:space="preserve">Normal: mean (mu)</t>
  </si>
  <si>
    <t xml:space="preserve">Sample mean (MLE)</t>
  </si>
  <si>
    <t xml:space="preserve">Full-dataset result from Python (paste)</t>
  </si>
  <si>
    <t xml:space="preserve">Normal: sd (sigma)</t>
  </si>
  <si>
    <t xml:space="preserve">Sample sd</t>
  </si>
  <si>
    <t xml:space="preserve">Best distribution (fitter)</t>
  </si>
  <si>
    <t xml:space="preserve">e.g. laplace</t>
  </si>
  <si>
    <t xml:space="preserve">Student-t: df (rounded)</t>
  </si>
  <si>
    <t xml:space="preserve">Moment match: excess kurt = 6/(df-4)</t>
  </si>
  <si>
    <t xml:space="preserve">Sum of squared error</t>
  </si>
  <si>
    <t xml:space="preserve">Student-t: scale</t>
  </si>
  <si>
    <t xml:space="preserve">Matches sample variance</t>
  </si>
  <si>
    <t xml:space="preserve">Rows used</t>
  </si>
  <si>
    <t xml:space="preserve">Laplace: location</t>
  </si>
  <si>
    <t xml:space="preserve">Median (MLE)</t>
  </si>
  <si>
    <t xml:space="preserve">Replace the example text with your actual Python output.</t>
  </si>
  <si>
    <t xml:space="preserve">Laplace: scale b</t>
  </si>
  <si>
    <t xml:space="preserve">Mean abs. deviation from median (MLE)</t>
  </si>
  <si>
    <t xml:space="preserve">Logistic: scale</t>
  </si>
  <si>
    <t xml:space="preserve">k</t>
  </si>
  <si>
    <t xml:space="preserve">Sorted return x(k)</t>
  </si>
  <si>
    <t xml:space="preserve">Empirical CDF</t>
  </si>
  <si>
    <t xml:space="preserve">Normal CDF</t>
  </si>
  <si>
    <t xml:space="preserve">Student-t CDF</t>
  </si>
  <si>
    <t xml:space="preserve">Laplace CDF</t>
  </si>
  <si>
    <t xml:space="preserve">Logistic CDF</t>
  </si>
  <si>
    <t xml:space="preserve">|D| Normal</t>
  </si>
  <si>
    <t xml:space="preserve">|D| Student-t</t>
  </si>
  <si>
    <t xml:space="preserve">|D| Laplace</t>
  </si>
  <si>
    <t xml:space="preserve">|D| Logistic</t>
  </si>
  <si>
    <t xml:space="preserve">2015-08-07 00:00</t>
  </si>
  <si>
    <t xml:space="preserve">2015-08-07 00:05</t>
  </si>
  <si>
    <t xml:space="preserve">2015-08-07 00:10</t>
  </si>
  <si>
    <t xml:space="preserve">2015-08-07 00:15</t>
  </si>
  <si>
    <t xml:space="preserve">2015-08-07 00:20</t>
  </si>
  <si>
    <t xml:space="preserve">2015-08-07 00:25</t>
  </si>
  <si>
    <t xml:space="preserve">2015-08-07 00:30</t>
  </si>
  <si>
    <t xml:space="preserve">2015-08-07 00:35</t>
  </si>
  <si>
    <t xml:space="preserve">2015-08-07 00:40</t>
  </si>
  <si>
    <t xml:space="preserve">2015-08-07 00:45</t>
  </si>
  <si>
    <t xml:space="preserve">2015-08-07 00:50</t>
  </si>
  <si>
    <t xml:space="preserve">2015-08-07 00:55</t>
  </si>
  <si>
    <t xml:space="preserve">2015-08-07 01:00</t>
  </si>
  <si>
    <t xml:space="preserve">2015-08-07 01:05</t>
  </si>
  <si>
    <t xml:space="preserve">2015-08-07 01:10</t>
  </si>
  <si>
    <t xml:space="preserve">2015-08-07 01:15</t>
  </si>
  <si>
    <t xml:space="preserve">2015-08-07 01:20</t>
  </si>
  <si>
    <t xml:space="preserve">2015-08-07 01:25</t>
  </si>
  <si>
    <t xml:space="preserve">2015-08-07 01:30</t>
  </si>
  <si>
    <t xml:space="preserve">2015-08-07 01:35</t>
  </si>
  <si>
    <t xml:space="preserve">2015-08-07 01:40</t>
  </si>
  <si>
    <t xml:space="preserve">2015-08-07 01:45</t>
  </si>
  <si>
    <t xml:space="preserve">2015-08-07 01:50</t>
  </si>
  <si>
    <t xml:space="preserve">2015-08-07 01:55</t>
  </si>
  <si>
    <t xml:space="preserve">2015-08-07 02:00</t>
  </si>
  <si>
    <t xml:space="preserve">2015-08-07 02:05</t>
  </si>
  <si>
    <t xml:space="preserve">2015-08-07 02:10</t>
  </si>
  <si>
    <t xml:space="preserve">2015-08-07 02:15</t>
  </si>
  <si>
    <t xml:space="preserve">2015-08-07 02:20</t>
  </si>
  <si>
    <t xml:space="preserve">2015-08-07 02:25</t>
  </si>
  <si>
    <t xml:space="preserve">2015-08-07 02:30</t>
  </si>
  <si>
    <t xml:space="preserve">2015-08-07 02:35</t>
  </si>
  <si>
    <t xml:space="preserve">2015-08-07 02:40</t>
  </si>
  <si>
    <t xml:space="preserve">2015-08-07 02:45</t>
  </si>
  <si>
    <t xml:space="preserve">2015-08-07 02:50</t>
  </si>
  <si>
    <t xml:space="preserve">2015-08-07 02:55</t>
  </si>
  <si>
    <t xml:space="preserve">2015-08-07 03:00</t>
  </si>
  <si>
    <t xml:space="preserve">2015-08-07 03:05</t>
  </si>
  <si>
    <t xml:space="preserve">2015-08-07 03:10</t>
  </si>
  <si>
    <t xml:space="preserve">2015-08-07 03:15</t>
  </si>
  <si>
    <t xml:space="preserve">2015-08-07 03:20</t>
  </si>
  <si>
    <t xml:space="preserve">2015-08-07 03:25</t>
  </si>
  <si>
    <t xml:space="preserve">2015-08-07 03:30</t>
  </si>
  <si>
    <t xml:space="preserve">2015-08-07 03:35</t>
  </si>
  <si>
    <t xml:space="preserve">2015-08-07 03:40</t>
  </si>
  <si>
    <t xml:space="preserve">2015-08-07 03:45</t>
  </si>
  <si>
    <t xml:space="preserve">2015-08-07 03:50</t>
  </si>
  <si>
    <t xml:space="preserve">2015-08-07 03:55</t>
  </si>
  <si>
    <t xml:space="preserve">2015-08-07 04:00</t>
  </si>
  <si>
    <t xml:space="preserve">2015-08-07 04:05</t>
  </si>
  <si>
    <t xml:space="preserve">2015-08-07 04:10</t>
  </si>
  <si>
    <t xml:space="preserve">2015-08-07 04:15</t>
  </si>
  <si>
    <t xml:space="preserve">2015-08-07 04:20</t>
  </si>
  <si>
    <t xml:space="preserve">2015-08-07 04:25</t>
  </si>
  <si>
    <t xml:space="preserve">2015-08-07 04:30</t>
  </si>
  <si>
    <t xml:space="preserve">2015-08-07 04:35</t>
  </si>
  <si>
    <t xml:space="preserve">2015-08-07 04:40</t>
  </si>
  <si>
    <t xml:space="preserve">2015-08-07 04:45</t>
  </si>
  <si>
    <t xml:space="preserve">2015-08-07 04:50</t>
  </si>
  <si>
    <t xml:space="preserve">2015-08-07 04:55</t>
  </si>
  <si>
    <t xml:space="preserve">2015-08-07 05:00</t>
  </si>
  <si>
    <t xml:space="preserve">2015-08-07 05:05</t>
  </si>
  <si>
    <t xml:space="preserve">2015-08-07 05:10</t>
  </si>
  <si>
    <t xml:space="preserve">2015-08-07 05:15</t>
  </si>
  <si>
    <t xml:space="preserve">2015-08-07 05:20</t>
  </si>
  <si>
    <t xml:space="preserve">2015-08-07 05:25</t>
  </si>
  <si>
    <t xml:space="preserve">2015-08-07 05:30</t>
  </si>
  <si>
    <t xml:space="preserve">2015-08-07 05:35</t>
  </si>
  <si>
    <t xml:space="preserve">2015-08-07 05:40</t>
  </si>
  <si>
    <t xml:space="preserve">2015-08-07 05:45</t>
  </si>
  <si>
    <t xml:space="preserve">2015-08-07 05:50</t>
  </si>
  <si>
    <t xml:space="preserve">2015-08-07 05:55</t>
  </si>
  <si>
    <t xml:space="preserve">2015-08-07 06:00</t>
  </si>
  <si>
    <t xml:space="preserve">2015-08-07 06:05</t>
  </si>
  <si>
    <t xml:space="preserve">2015-08-07 06:10</t>
  </si>
  <si>
    <t xml:space="preserve">2015-08-07 06:15</t>
  </si>
  <si>
    <t xml:space="preserve">2015-08-07 06:20</t>
  </si>
  <si>
    <t xml:space="preserve">2015-08-07 06:25</t>
  </si>
  <si>
    <t xml:space="preserve">2015-08-07 06:30</t>
  </si>
  <si>
    <t xml:space="preserve">2015-08-07 06:35</t>
  </si>
  <si>
    <t xml:space="preserve">2015-08-07 06:40</t>
  </si>
  <si>
    <t xml:space="preserve">2015-08-07 06:45</t>
  </si>
  <si>
    <t xml:space="preserve">2015-08-07 06:50</t>
  </si>
  <si>
    <t xml:space="preserve">2015-08-07 06:55</t>
  </si>
  <si>
    <t xml:space="preserve">2015-08-07 07:00</t>
  </si>
  <si>
    <t xml:space="preserve">2015-08-07 07:05</t>
  </si>
  <si>
    <t xml:space="preserve">2015-08-07 07:10</t>
  </si>
  <si>
    <t xml:space="preserve">2015-08-07 07:15</t>
  </si>
  <si>
    <t xml:space="preserve">2015-08-07 07:20</t>
  </si>
  <si>
    <t xml:space="preserve">2015-08-07 07:25</t>
  </si>
  <si>
    <t xml:space="preserve">2015-08-07 07:30</t>
  </si>
  <si>
    <t xml:space="preserve">2015-08-07 07:35</t>
  </si>
  <si>
    <t xml:space="preserve">2015-08-07 07:40</t>
  </si>
  <si>
    <t xml:space="preserve">2015-08-07 07:45</t>
  </si>
  <si>
    <t xml:space="preserve">2015-08-07 07:50</t>
  </si>
  <si>
    <t xml:space="preserve">2015-08-07 07:55</t>
  </si>
  <si>
    <t xml:space="preserve">2015-08-07 08:00</t>
  </si>
  <si>
    <t xml:space="preserve">2015-08-07 08:05</t>
  </si>
  <si>
    <t xml:space="preserve">2015-08-07 08:10</t>
  </si>
  <si>
    <t xml:space="preserve">2015-08-07 08:15</t>
  </si>
  <si>
    <t xml:space="preserve">2015-08-07 08:20</t>
  </si>
  <si>
    <t xml:space="preserve">2015-08-07 08:25</t>
  </si>
  <si>
    <t xml:space="preserve">2015-08-07 08:30</t>
  </si>
  <si>
    <t xml:space="preserve">2015-08-07 08:35</t>
  </si>
  <si>
    <t xml:space="preserve">2015-08-07 08:40</t>
  </si>
  <si>
    <t xml:space="preserve">2015-08-07 08:45</t>
  </si>
  <si>
    <t xml:space="preserve">2015-08-07 08:50</t>
  </si>
  <si>
    <t xml:space="preserve">2015-08-07 08:55</t>
  </si>
  <si>
    <t xml:space="preserve">2015-08-07 09:00</t>
  </si>
  <si>
    <t xml:space="preserve">2015-08-07 09:05</t>
  </si>
  <si>
    <t xml:space="preserve">2015-08-07 09:10</t>
  </si>
  <si>
    <t xml:space="preserve">2015-08-07 09:15</t>
  </si>
  <si>
    <t xml:space="preserve">2015-08-07 09:20</t>
  </si>
  <si>
    <t xml:space="preserve">2015-08-07 09:25</t>
  </si>
  <si>
    <t xml:space="preserve">2015-08-07 09:30</t>
  </si>
  <si>
    <t xml:space="preserve">2015-08-07 09:35</t>
  </si>
  <si>
    <t xml:space="preserve">2015-08-07 09:40</t>
  </si>
  <si>
    <t xml:space="preserve">2015-08-07 09:45</t>
  </si>
  <si>
    <t xml:space="preserve">2015-08-07 09:50</t>
  </si>
  <si>
    <t xml:space="preserve">2015-08-07 09:55</t>
  </si>
  <si>
    <t xml:space="preserve">2015-08-07 10:00</t>
  </si>
  <si>
    <t xml:space="preserve">2015-08-07 10:05</t>
  </si>
  <si>
    <t xml:space="preserve">2015-08-07 10:10</t>
  </si>
  <si>
    <t xml:space="preserve">2015-08-07 10:15</t>
  </si>
  <si>
    <t xml:space="preserve">2015-08-07 10:20</t>
  </si>
  <si>
    <t xml:space="preserve">2015-08-07 10:25</t>
  </si>
  <si>
    <t xml:space="preserve">2015-08-07 10:30</t>
  </si>
  <si>
    <t xml:space="preserve">2015-08-07 10:35</t>
  </si>
  <si>
    <t xml:space="preserve">2015-08-07 10:40</t>
  </si>
  <si>
    <t xml:space="preserve">2015-08-07 10:45</t>
  </si>
  <si>
    <t xml:space="preserve">2015-08-07 10:50</t>
  </si>
  <si>
    <t xml:space="preserve">2015-08-07 10:55</t>
  </si>
  <si>
    <t xml:space="preserve">2015-08-07 11:00</t>
  </si>
  <si>
    <t xml:space="preserve">2015-08-07 11:05</t>
  </si>
  <si>
    <t xml:space="preserve">2015-08-07 11:10</t>
  </si>
  <si>
    <t xml:space="preserve">2015-08-07 11:15</t>
  </si>
  <si>
    <t xml:space="preserve">2015-08-07 11:20</t>
  </si>
  <si>
    <t xml:space="preserve">2015-08-07 11:25</t>
  </si>
  <si>
    <t xml:space="preserve">2015-08-07 11:30</t>
  </si>
  <si>
    <t xml:space="preserve">2015-08-07 11:35</t>
  </si>
  <si>
    <t xml:space="preserve">2015-08-07 11:40</t>
  </si>
  <si>
    <t xml:space="preserve">2015-08-07 11:45</t>
  </si>
  <si>
    <t xml:space="preserve">2015-08-07 11:50</t>
  </si>
  <si>
    <t xml:space="preserve">2015-08-07 11:55</t>
  </si>
  <si>
    <t xml:space="preserve">2015-08-07 12:00</t>
  </si>
  <si>
    <t xml:space="preserve">2015-08-07 12:05</t>
  </si>
  <si>
    <t xml:space="preserve">2015-08-07 12:10</t>
  </si>
  <si>
    <t xml:space="preserve">2015-08-07 12:15</t>
  </si>
  <si>
    <t xml:space="preserve">2015-08-07 12:20</t>
  </si>
  <si>
    <t xml:space="preserve">2015-08-07 12:25</t>
  </si>
  <si>
    <t xml:space="preserve">2015-08-07 12:30</t>
  </si>
  <si>
    <t xml:space="preserve">2015-08-07 12:35</t>
  </si>
  <si>
    <t xml:space="preserve">2015-08-07 12:40</t>
  </si>
  <si>
    <t xml:space="preserve">2015-08-07 12:45</t>
  </si>
  <si>
    <t xml:space="preserve">2015-08-07 12:50</t>
  </si>
  <si>
    <t xml:space="preserve">2015-08-07 12:55</t>
  </si>
  <si>
    <t xml:space="preserve">2015-08-07 13:00</t>
  </si>
  <si>
    <t xml:space="preserve">2015-08-07 13:05</t>
  </si>
  <si>
    <t xml:space="preserve">2015-08-07 13:10</t>
  </si>
  <si>
    <t xml:space="preserve">2015-08-07 13:15</t>
  </si>
  <si>
    <t xml:space="preserve">2015-08-07 13:20</t>
  </si>
  <si>
    <t xml:space="preserve">2015-08-07 13:25</t>
  </si>
  <si>
    <t xml:space="preserve">2015-08-07 13:30</t>
  </si>
  <si>
    <t xml:space="preserve">2015-08-07 13:35</t>
  </si>
  <si>
    <t xml:space="preserve">2015-08-07 13:40</t>
  </si>
  <si>
    <t xml:space="preserve">2015-08-07 13:45</t>
  </si>
  <si>
    <t xml:space="preserve">2015-08-07 13:50</t>
  </si>
  <si>
    <t xml:space="preserve">2015-08-07 13:55</t>
  </si>
  <si>
    <t xml:space="preserve">2015-08-07 14:00</t>
  </si>
  <si>
    <t xml:space="preserve">2015-08-07 14:05</t>
  </si>
  <si>
    <t xml:space="preserve">2015-08-07 14:10</t>
  </si>
  <si>
    <t xml:space="preserve">2015-08-07 14:15</t>
  </si>
  <si>
    <t xml:space="preserve">2015-08-07 14:20</t>
  </si>
  <si>
    <t xml:space="preserve">2015-08-07 14:25</t>
  </si>
  <si>
    <t xml:space="preserve">2015-08-07 14:30</t>
  </si>
  <si>
    <t xml:space="preserve">2015-08-07 14:35</t>
  </si>
  <si>
    <t xml:space="preserve">2015-08-07 14:40</t>
  </si>
  <si>
    <t xml:space="preserve">2015-08-07 14:45</t>
  </si>
  <si>
    <t xml:space="preserve">2015-08-07 14:50</t>
  </si>
  <si>
    <t xml:space="preserve">2015-08-07 14:55</t>
  </si>
  <si>
    <t xml:space="preserve">2015-08-07 15:00</t>
  </si>
  <si>
    <t xml:space="preserve">2015-08-07 15:05</t>
  </si>
  <si>
    <t xml:space="preserve">2015-08-07 15:10</t>
  </si>
  <si>
    <t xml:space="preserve">2015-08-07 15:15</t>
  </si>
  <si>
    <t xml:space="preserve">2015-08-07 15:20</t>
  </si>
  <si>
    <t xml:space="preserve">2015-08-07 15:25</t>
  </si>
  <si>
    <t xml:space="preserve">2015-08-07 15:30</t>
  </si>
  <si>
    <t xml:space="preserve">2015-08-07 15:35</t>
  </si>
  <si>
    <t xml:space="preserve">2015-08-07 15:40</t>
  </si>
  <si>
    <t xml:space="preserve">2015-08-07 15:45</t>
  </si>
  <si>
    <t xml:space="preserve">2015-08-07 15:50</t>
  </si>
  <si>
    <t xml:space="preserve">2015-08-07 15:55</t>
  </si>
  <si>
    <t xml:space="preserve">2015-08-07 16:00</t>
  </si>
  <si>
    <t xml:space="preserve">2015-08-07 16:05</t>
  </si>
  <si>
    <t xml:space="preserve">2015-08-07 16:10</t>
  </si>
  <si>
    <t xml:space="preserve">2015-08-07 16:15</t>
  </si>
  <si>
    <t xml:space="preserve">2015-08-07 16:20</t>
  </si>
  <si>
    <t xml:space="preserve">2015-08-07 16:25</t>
  </si>
  <si>
    <t xml:space="preserve">2015-08-07 16:30</t>
  </si>
  <si>
    <t xml:space="preserve">2015-08-07 16:35</t>
  </si>
  <si>
    <t xml:space="preserve">2015-08-07 16:40</t>
  </si>
  <si>
    <t xml:space="preserve">2015-08-07 16:45</t>
  </si>
  <si>
    <t xml:space="preserve">2015-08-07 16:50</t>
  </si>
  <si>
    <t xml:space="preserve">2015-08-07 16:55</t>
  </si>
  <si>
    <t xml:space="preserve">2015-08-07 17:00</t>
  </si>
  <si>
    <t xml:space="preserve">2015-08-07 17:05</t>
  </si>
  <si>
    <t xml:space="preserve">2015-08-07 17:10</t>
  </si>
  <si>
    <t xml:space="preserve">2015-08-07 17:15</t>
  </si>
  <si>
    <t xml:space="preserve">2015-08-07 17:20</t>
  </si>
  <si>
    <t xml:space="preserve">2015-08-07 17:25</t>
  </si>
  <si>
    <t xml:space="preserve">2015-08-07 17:30</t>
  </si>
  <si>
    <t xml:space="preserve">2015-08-07 17:35</t>
  </si>
  <si>
    <t xml:space="preserve">2015-08-07 17:40</t>
  </si>
  <si>
    <t xml:space="preserve">2015-08-07 17:45</t>
  </si>
  <si>
    <t xml:space="preserve">2015-08-07 17:50</t>
  </si>
  <si>
    <t xml:space="preserve">2015-08-07 17:55</t>
  </si>
  <si>
    <t xml:space="preserve">2015-08-07 18:00</t>
  </si>
  <si>
    <t xml:space="preserve">2015-08-07 18:05</t>
  </si>
  <si>
    <t xml:space="preserve">2015-08-07 18:10</t>
  </si>
  <si>
    <t xml:space="preserve">2015-08-07 18:15</t>
  </si>
  <si>
    <t xml:space="preserve">2015-08-07 18:20</t>
  </si>
  <si>
    <t xml:space="preserve">2015-08-07 18:25</t>
  </si>
  <si>
    <t xml:space="preserve">2015-08-07 18:30</t>
  </si>
  <si>
    <t xml:space="preserve">2015-08-07 18:35</t>
  </si>
  <si>
    <t xml:space="preserve">2015-08-07 18:40</t>
  </si>
  <si>
    <t xml:space="preserve">2015-08-07 18:45</t>
  </si>
  <si>
    <t xml:space="preserve">2015-08-07 18:50</t>
  </si>
  <si>
    <t xml:space="preserve">2015-08-07 18:55</t>
  </si>
  <si>
    <t xml:space="preserve">2015-08-07 19:00</t>
  </si>
  <si>
    <t xml:space="preserve">2015-08-07 19:05</t>
  </si>
  <si>
    <t xml:space="preserve">2015-08-07 19:10</t>
  </si>
  <si>
    <t xml:space="preserve">2015-08-07 19:15</t>
  </si>
  <si>
    <t xml:space="preserve">2015-08-07 19:20</t>
  </si>
  <si>
    <t xml:space="preserve">2015-08-07 19:25</t>
  </si>
  <si>
    <t xml:space="preserve">2015-08-07 19:30</t>
  </si>
  <si>
    <t xml:space="preserve">2015-08-07 19:35</t>
  </si>
  <si>
    <t xml:space="preserve">2015-08-07 19:40</t>
  </si>
  <si>
    <t xml:space="preserve">2015-08-07 19:45</t>
  </si>
  <si>
    <t xml:space="preserve">2015-08-07 19:50</t>
  </si>
  <si>
    <t xml:space="preserve">2015-08-07 19:55</t>
  </si>
  <si>
    <t xml:space="preserve">2015-08-07 20:00</t>
  </si>
  <si>
    <t xml:space="preserve">2015-08-07 20:05</t>
  </si>
  <si>
    <t xml:space="preserve">2015-08-07 20:10</t>
  </si>
  <si>
    <t xml:space="preserve">2015-08-07 20:15</t>
  </si>
  <si>
    <t xml:space="preserve">2015-08-07 20:20</t>
  </si>
  <si>
    <t xml:space="preserve">2015-08-07 20:25</t>
  </si>
  <si>
    <t xml:space="preserve">2015-08-07 20:30</t>
  </si>
  <si>
    <t xml:space="preserve">2015-08-07 20:35</t>
  </si>
  <si>
    <t xml:space="preserve">2015-08-07 20:40</t>
  </si>
  <si>
    <t xml:space="preserve">2015-08-07 20:45</t>
  </si>
  <si>
    <t xml:space="preserve">2015-08-07 20:50</t>
  </si>
  <si>
    <t xml:space="preserve">2015-08-07 20:55</t>
  </si>
  <si>
    <t xml:space="preserve">2015-08-07 21:00</t>
  </si>
  <si>
    <t xml:space="preserve">2015-08-07 21:05</t>
  </si>
  <si>
    <t xml:space="preserve">2015-08-07 21:10</t>
  </si>
  <si>
    <t xml:space="preserve">2015-08-07 21:15</t>
  </si>
  <si>
    <t xml:space="preserve">2015-08-07 21:20</t>
  </si>
  <si>
    <t xml:space="preserve">2015-08-07 21:25</t>
  </si>
  <si>
    <t xml:space="preserve">2015-08-07 21:30</t>
  </si>
  <si>
    <t xml:space="preserve">2015-08-07 21:35</t>
  </si>
  <si>
    <t xml:space="preserve">2015-08-07 21:40</t>
  </si>
  <si>
    <t xml:space="preserve">2015-08-07 21:45</t>
  </si>
  <si>
    <t xml:space="preserve">2015-08-07 21:50</t>
  </si>
  <si>
    <t xml:space="preserve">2015-08-07 21:55</t>
  </si>
  <si>
    <t xml:space="preserve">2015-08-07 22:00</t>
  </si>
  <si>
    <t xml:space="preserve">2015-08-07 22:05</t>
  </si>
  <si>
    <t xml:space="preserve">2015-08-07 22:10</t>
  </si>
  <si>
    <t xml:space="preserve">2015-08-07 22:15</t>
  </si>
  <si>
    <t xml:space="preserve">2015-08-07 22:20</t>
  </si>
  <si>
    <t xml:space="preserve">2015-08-07 22:25</t>
  </si>
  <si>
    <t xml:space="preserve">2015-08-07 22:30</t>
  </si>
  <si>
    <t xml:space="preserve">2015-08-07 22:35</t>
  </si>
  <si>
    <t xml:space="preserve">2015-08-07 22:40</t>
  </si>
  <si>
    <t xml:space="preserve">2015-08-07 22:45</t>
  </si>
  <si>
    <t xml:space="preserve">2015-08-07 22:50</t>
  </si>
  <si>
    <t xml:space="preserve">2015-08-07 22:55</t>
  </si>
  <si>
    <t xml:space="preserve">2015-08-07 23:00</t>
  </si>
  <si>
    <t xml:space="preserve">2015-08-07 23:05</t>
  </si>
  <si>
    <t xml:space="preserve">2015-08-07 23:10</t>
  </si>
  <si>
    <t xml:space="preserve">2015-08-07 23:15</t>
  </si>
  <si>
    <t xml:space="preserve">2015-08-07 23:20</t>
  </si>
  <si>
    <t xml:space="preserve">2015-08-07 23:25</t>
  </si>
  <si>
    <t xml:space="preserve">2015-08-07 23:30</t>
  </si>
  <si>
    <t xml:space="preserve">2015-08-07 23:35</t>
  </si>
  <si>
    <t xml:space="preserve">2015-08-07 23:40</t>
  </si>
  <si>
    <t xml:space="preserve">2015-08-07 23:45</t>
  </si>
  <si>
    <t xml:space="preserve">2015-08-07 23:50</t>
  </si>
  <si>
    <t xml:space="preserve">2015-08-07 23:55</t>
  </si>
  <si>
    <t xml:space="preserve">2015-08-08 00:00</t>
  </si>
  <si>
    <t xml:space="preserve">2015-08-08 00:05</t>
  </si>
  <si>
    <t xml:space="preserve">2015-08-08 00:10</t>
  </si>
  <si>
    <t xml:space="preserve">2015-08-08 00:15</t>
  </si>
  <si>
    <t xml:space="preserve">2015-08-08 00:20</t>
  </si>
  <si>
    <t xml:space="preserve">2015-08-08 00:25</t>
  </si>
  <si>
    <t xml:space="preserve">2015-08-08 00:30</t>
  </si>
  <si>
    <t xml:space="preserve">2015-08-08 00:35</t>
  </si>
  <si>
    <t xml:space="preserve">2015-08-08 00:40</t>
  </si>
  <si>
    <t xml:space="preserve">2015-08-08 00:45</t>
  </si>
  <si>
    <t xml:space="preserve">2015-08-08 00:50</t>
  </si>
  <si>
    <t xml:space="preserve">2015-08-08 00:55</t>
  </si>
  <si>
    <t xml:space="preserve">2015-08-08 01:00</t>
  </si>
  <si>
    <t xml:space="preserve">2015-08-08 01:05</t>
  </si>
  <si>
    <t xml:space="preserve">2015-08-08 01:10</t>
  </si>
  <si>
    <t xml:space="preserve">2015-08-08 01:15</t>
  </si>
  <si>
    <t xml:space="preserve">2015-08-08 01:20</t>
  </si>
  <si>
    <t xml:space="preserve">2015-08-08 01:25</t>
  </si>
  <si>
    <t xml:space="preserve">2015-08-08 01:30</t>
  </si>
  <si>
    <t xml:space="preserve">2015-08-08 01:35</t>
  </si>
  <si>
    <t xml:space="preserve">2015-08-08 01:40</t>
  </si>
  <si>
    <t xml:space="preserve">2015-08-08 01:45</t>
  </si>
  <si>
    <t xml:space="preserve">2015-08-08 01:50</t>
  </si>
  <si>
    <t xml:space="preserve">2015-08-08 01:55</t>
  </si>
  <si>
    <t xml:space="preserve">2015-08-08 02:00</t>
  </si>
  <si>
    <t xml:space="preserve">2015-08-08 02:05</t>
  </si>
  <si>
    <t xml:space="preserve">2015-08-08 02:10</t>
  </si>
  <si>
    <t xml:space="preserve">2015-08-08 02:15</t>
  </si>
  <si>
    <t xml:space="preserve">2015-08-08 02:20</t>
  </si>
  <si>
    <t xml:space="preserve">2015-08-08 02:25</t>
  </si>
  <si>
    <t xml:space="preserve">2015-08-08 02:30</t>
  </si>
  <si>
    <t xml:space="preserve">2015-08-08 02:35</t>
  </si>
  <si>
    <t xml:space="preserve">2015-08-08 02:40</t>
  </si>
  <si>
    <t xml:space="preserve">2015-08-08 02:45</t>
  </si>
  <si>
    <t xml:space="preserve">2015-08-08 02:50</t>
  </si>
  <si>
    <t xml:space="preserve">2015-08-08 02:55</t>
  </si>
  <si>
    <t xml:space="preserve">2015-08-08 03:00</t>
  </si>
  <si>
    <t xml:space="preserve">2015-08-08 03:05</t>
  </si>
  <si>
    <t xml:space="preserve">2015-08-08 03:10</t>
  </si>
  <si>
    <t xml:space="preserve">2015-08-08 03:15</t>
  </si>
  <si>
    <t xml:space="preserve">2015-08-08 03:20</t>
  </si>
  <si>
    <t xml:space="preserve">2015-08-08 03:25</t>
  </si>
  <si>
    <t xml:space="preserve">2015-08-08 03:30</t>
  </si>
  <si>
    <t xml:space="preserve">2015-08-08 03:35</t>
  </si>
  <si>
    <t xml:space="preserve">2015-08-08 03:40</t>
  </si>
  <si>
    <t xml:space="preserve">2015-08-08 03:45</t>
  </si>
  <si>
    <t xml:space="preserve">2015-08-08 03:50</t>
  </si>
  <si>
    <t xml:space="preserve">2015-08-08 03:55</t>
  </si>
  <si>
    <t xml:space="preserve">2015-08-08 04:00</t>
  </si>
  <si>
    <t xml:space="preserve">2015-08-08 04:05</t>
  </si>
  <si>
    <t xml:space="preserve">2015-08-08 04:10</t>
  </si>
  <si>
    <t xml:space="preserve">2015-08-08 04:15</t>
  </si>
  <si>
    <t xml:space="preserve">2015-08-08 04:20</t>
  </si>
  <si>
    <t xml:space="preserve">2015-08-08 04:25</t>
  </si>
  <si>
    <t xml:space="preserve">2015-08-08 04:30</t>
  </si>
  <si>
    <t xml:space="preserve">2015-08-08 04:35</t>
  </si>
  <si>
    <t xml:space="preserve">2015-08-08 04:40</t>
  </si>
  <si>
    <t xml:space="preserve">2015-08-08 04:45</t>
  </si>
  <si>
    <t xml:space="preserve">2015-08-08 04:50</t>
  </si>
  <si>
    <t xml:space="preserve">2015-08-08 04:55</t>
  </si>
  <si>
    <t xml:space="preserve">2015-08-08 05:00</t>
  </si>
  <si>
    <t xml:space="preserve">2015-08-08 05:05</t>
  </si>
  <si>
    <t xml:space="preserve">2015-08-08 05:10</t>
  </si>
  <si>
    <t xml:space="preserve">2015-08-08 05:15</t>
  </si>
  <si>
    <t xml:space="preserve">2015-08-08 05:20</t>
  </si>
  <si>
    <t xml:space="preserve">2015-08-08 05:25</t>
  </si>
  <si>
    <t xml:space="preserve">2015-08-08 05:30</t>
  </si>
  <si>
    <t xml:space="preserve">2015-08-08 05:35</t>
  </si>
  <si>
    <t xml:space="preserve">2015-08-08 05:40</t>
  </si>
  <si>
    <t xml:space="preserve">2015-08-08 05:45</t>
  </si>
  <si>
    <t xml:space="preserve">2015-08-08 05:50</t>
  </si>
  <si>
    <t xml:space="preserve">2015-08-08 05:55</t>
  </si>
  <si>
    <t xml:space="preserve">2015-08-08 06:00</t>
  </si>
  <si>
    <t xml:space="preserve">2015-08-08 06:05</t>
  </si>
  <si>
    <t xml:space="preserve">2015-08-08 06:10</t>
  </si>
  <si>
    <t xml:space="preserve">2015-08-08 06:15</t>
  </si>
  <si>
    <t xml:space="preserve">2015-08-08 06:20</t>
  </si>
  <si>
    <t xml:space="preserve">2015-08-08 06:25</t>
  </si>
  <si>
    <t xml:space="preserve">2015-08-08 06:30</t>
  </si>
  <si>
    <t xml:space="preserve">2015-08-08 06:35</t>
  </si>
  <si>
    <t xml:space="preserve">2015-08-08 06:40</t>
  </si>
  <si>
    <t xml:space="preserve">2015-08-08 06:45</t>
  </si>
  <si>
    <t xml:space="preserve">2015-08-08 06:50</t>
  </si>
  <si>
    <t xml:space="preserve">2015-08-08 06:55</t>
  </si>
  <si>
    <t xml:space="preserve">2015-08-08 07:00</t>
  </si>
  <si>
    <t xml:space="preserve">2015-08-08 07:05</t>
  </si>
  <si>
    <t xml:space="preserve">2015-08-08 07:10</t>
  </si>
  <si>
    <t xml:space="preserve">2015-08-08 07:15</t>
  </si>
  <si>
    <t xml:space="preserve">2015-08-08 07:20</t>
  </si>
  <si>
    <t xml:space="preserve">2015-08-08 07:25</t>
  </si>
  <si>
    <t xml:space="preserve">2015-08-08 07:30</t>
  </si>
  <si>
    <t xml:space="preserve">2015-08-08 07:35</t>
  </si>
  <si>
    <t xml:space="preserve">2015-08-08 07:40</t>
  </si>
  <si>
    <t xml:space="preserve">2015-08-08 07:45</t>
  </si>
  <si>
    <t xml:space="preserve">2015-08-08 07:50</t>
  </si>
  <si>
    <t xml:space="preserve">2015-08-08 07:55</t>
  </si>
  <si>
    <t xml:space="preserve">2015-08-08 08:00</t>
  </si>
  <si>
    <t xml:space="preserve">2015-08-08 08:05</t>
  </si>
  <si>
    <t xml:space="preserve">2015-08-08 08:10</t>
  </si>
  <si>
    <t xml:space="preserve">2015-08-08 08:15</t>
  </si>
  <si>
    <t xml:space="preserve">2015-08-08 08:20</t>
  </si>
  <si>
    <t xml:space="preserve">2015-08-08 08:25</t>
  </si>
  <si>
    <t xml:space="preserve">2015-08-08 08:30</t>
  </si>
  <si>
    <t xml:space="preserve">2015-08-08 08:35</t>
  </si>
  <si>
    <t xml:space="preserve">2015-08-08 08:40</t>
  </si>
  <si>
    <t xml:space="preserve">2015-08-08 08:45</t>
  </si>
  <si>
    <t xml:space="preserve">2015-08-08 08:50</t>
  </si>
  <si>
    <t xml:space="preserve">2015-08-08 08:55</t>
  </si>
  <si>
    <t xml:space="preserve">2015-08-08 09:00</t>
  </si>
  <si>
    <t xml:space="preserve">2015-08-08 09:05</t>
  </si>
  <si>
    <t xml:space="preserve">2015-08-08 09:10</t>
  </si>
  <si>
    <t xml:space="preserve">2015-08-08 09:15</t>
  </si>
  <si>
    <t xml:space="preserve">2015-08-08 09:20</t>
  </si>
  <si>
    <t xml:space="preserve">2015-08-08 09:25</t>
  </si>
  <si>
    <t xml:space="preserve">2015-08-08 09:30</t>
  </si>
  <si>
    <t xml:space="preserve">2015-08-08 09:35</t>
  </si>
  <si>
    <t xml:space="preserve">2015-08-08 09:40</t>
  </si>
  <si>
    <t xml:space="preserve">2015-08-08 09:45</t>
  </si>
  <si>
    <t xml:space="preserve">2015-08-08 09:50</t>
  </si>
  <si>
    <t xml:space="preserve">2015-08-08 09:55</t>
  </si>
  <si>
    <t xml:space="preserve">2015-08-08 10:00</t>
  </si>
  <si>
    <t xml:space="preserve">2015-08-08 10:05</t>
  </si>
  <si>
    <t xml:space="preserve">2015-08-08 10:10</t>
  </si>
  <si>
    <t xml:space="preserve">2015-08-08 10:15</t>
  </si>
  <si>
    <t xml:space="preserve">2015-08-08 10:20</t>
  </si>
  <si>
    <t xml:space="preserve">2015-08-08 10:25</t>
  </si>
  <si>
    <t xml:space="preserve">2015-08-08 10:30</t>
  </si>
  <si>
    <t xml:space="preserve">2015-08-08 10:35</t>
  </si>
  <si>
    <t xml:space="preserve">2015-08-08 10:40</t>
  </si>
  <si>
    <t xml:space="preserve">2015-08-08 10:45</t>
  </si>
  <si>
    <t xml:space="preserve">2015-08-08 10:50</t>
  </si>
  <si>
    <t xml:space="preserve">2015-08-08 10:55</t>
  </si>
  <si>
    <t xml:space="preserve">2015-08-08 11:00</t>
  </si>
  <si>
    <t xml:space="preserve">2015-08-08 11:05</t>
  </si>
  <si>
    <t xml:space="preserve">2015-08-08 11:10</t>
  </si>
  <si>
    <t xml:space="preserve">2015-08-08 11:15</t>
  </si>
  <si>
    <t xml:space="preserve">2015-08-08 11:20</t>
  </si>
  <si>
    <t xml:space="preserve">2015-08-08 11:25</t>
  </si>
  <si>
    <t xml:space="preserve">2015-08-08 11:30</t>
  </si>
  <si>
    <t xml:space="preserve">2015-08-08 11:35</t>
  </si>
  <si>
    <t xml:space="preserve">2015-08-08 11:40</t>
  </si>
  <si>
    <t xml:space="preserve">2015-08-08 11:45</t>
  </si>
  <si>
    <t xml:space="preserve">2015-08-08 11:50</t>
  </si>
  <si>
    <t xml:space="preserve">2015-08-08 11:55</t>
  </si>
  <si>
    <t xml:space="preserve">2015-08-08 12:00</t>
  </si>
  <si>
    <t xml:space="preserve">2015-08-08 12:05</t>
  </si>
  <si>
    <t xml:space="preserve">2015-08-08 12:10</t>
  </si>
  <si>
    <t xml:space="preserve">2015-08-08 12:15</t>
  </si>
  <si>
    <t xml:space="preserve">2015-08-08 12:20</t>
  </si>
  <si>
    <t xml:space="preserve">2015-08-08 12:25</t>
  </si>
  <si>
    <t xml:space="preserve">2015-08-08 12:30</t>
  </si>
  <si>
    <t xml:space="preserve">2015-08-08 12:35</t>
  </si>
  <si>
    <t xml:space="preserve">2015-08-08 12:40</t>
  </si>
  <si>
    <t xml:space="preserve">2015-08-08 12:45</t>
  </si>
  <si>
    <t xml:space="preserve">2015-08-08 12:50</t>
  </si>
  <si>
    <t xml:space="preserve">2015-08-08 12:55</t>
  </si>
  <si>
    <t xml:space="preserve">2015-08-08 13:00</t>
  </si>
  <si>
    <t xml:space="preserve">2015-08-08 13:05</t>
  </si>
  <si>
    <t xml:space="preserve">2015-08-08 13:10</t>
  </si>
  <si>
    <t xml:space="preserve">2015-08-08 13:15</t>
  </si>
  <si>
    <t xml:space="preserve">2015-08-08 13:20</t>
  </si>
  <si>
    <t xml:space="preserve">2015-08-08 13:25</t>
  </si>
  <si>
    <t xml:space="preserve">2015-08-08 13:30</t>
  </si>
  <si>
    <t xml:space="preserve">2015-08-08 13:35</t>
  </si>
  <si>
    <t xml:space="preserve">2015-08-08 13:40</t>
  </si>
  <si>
    <t xml:space="preserve">2015-08-08 13:45</t>
  </si>
  <si>
    <t xml:space="preserve">2015-08-08 13:50</t>
  </si>
  <si>
    <t xml:space="preserve">2015-08-08 13:55</t>
  </si>
  <si>
    <t xml:space="preserve">2015-08-08 14:00</t>
  </si>
  <si>
    <t xml:space="preserve">2015-08-08 14:05</t>
  </si>
  <si>
    <t xml:space="preserve">2015-08-08 14:10</t>
  </si>
  <si>
    <t xml:space="preserve">2015-08-08 14:15</t>
  </si>
  <si>
    <t xml:space="preserve">2015-08-08 14:20</t>
  </si>
  <si>
    <t xml:space="preserve">2015-08-08 14:25</t>
  </si>
  <si>
    <t xml:space="preserve">2015-08-08 14:30</t>
  </si>
  <si>
    <t xml:space="preserve">2015-08-08 14:35</t>
  </si>
  <si>
    <t xml:space="preserve">2015-08-08 14:40</t>
  </si>
  <si>
    <t xml:space="preserve">2015-08-08 14:45</t>
  </si>
  <si>
    <t xml:space="preserve">2015-08-08 14:50</t>
  </si>
  <si>
    <t xml:space="preserve">2015-08-08 14:55</t>
  </si>
  <si>
    <t xml:space="preserve">2015-08-08 15:00</t>
  </si>
  <si>
    <t xml:space="preserve">2015-08-08 15:05</t>
  </si>
  <si>
    <t xml:space="preserve">2015-08-08 15:10</t>
  </si>
  <si>
    <t xml:space="preserve">2015-08-08 15:15</t>
  </si>
  <si>
    <t xml:space="preserve">2015-08-08 15:20</t>
  </si>
  <si>
    <t xml:space="preserve">2015-08-08 15:25</t>
  </si>
  <si>
    <t xml:space="preserve">2015-08-08 15:30</t>
  </si>
  <si>
    <t xml:space="preserve">2015-08-08 15:35</t>
  </si>
  <si>
    <t xml:space="preserve">2015-08-08 15:40</t>
  </si>
  <si>
    <t xml:space="preserve">2015-08-08 15:45</t>
  </si>
  <si>
    <t xml:space="preserve">2015-08-08 15:50</t>
  </si>
  <si>
    <t xml:space="preserve">2015-08-08 15:55</t>
  </si>
  <si>
    <t xml:space="preserve">2015-08-08 16:00</t>
  </si>
  <si>
    <t xml:space="preserve">2015-08-08 16:05</t>
  </si>
  <si>
    <t xml:space="preserve">2015-08-08 16:10</t>
  </si>
  <si>
    <t xml:space="preserve">2015-08-08 16:15</t>
  </si>
  <si>
    <t xml:space="preserve">2015-08-08 16:20</t>
  </si>
  <si>
    <t xml:space="preserve">2015-08-08 16:25</t>
  </si>
  <si>
    <t xml:space="preserve">2015-08-08 16:30</t>
  </si>
  <si>
    <t xml:space="preserve">2015-08-08 16:35</t>
  </si>
  <si>
    <t xml:space="preserve">2015-08-08 16:40</t>
  </si>
  <si>
    <t xml:space="preserve">2015-08-08 16:45</t>
  </si>
  <si>
    <t xml:space="preserve">2015-08-08 16:50</t>
  </si>
  <si>
    <t xml:space="preserve">2015-08-08 16:55</t>
  </si>
  <si>
    <t xml:space="preserve">2015-08-08 17:00</t>
  </si>
  <si>
    <t xml:space="preserve">2015-08-08 17:05</t>
  </si>
  <si>
    <t xml:space="preserve">2015-08-08 17:10</t>
  </si>
  <si>
    <t xml:space="preserve">2015-08-08 17:15</t>
  </si>
  <si>
    <t xml:space="preserve">2015-08-08 17:20</t>
  </si>
  <si>
    <t xml:space="preserve">2015-08-08 17:25</t>
  </si>
  <si>
    <t xml:space="preserve">2015-08-08 17:30</t>
  </si>
  <si>
    <t xml:space="preserve">2015-08-08 17:35</t>
  </si>
  <si>
    <t xml:space="preserve">2015-08-08 17:40</t>
  </si>
  <si>
    <t xml:space="preserve">2015-08-08 17:45</t>
  </si>
  <si>
    <t xml:space="preserve">2015-08-08 17:50</t>
  </si>
  <si>
    <t xml:space="preserve">2015-08-08 17:55</t>
  </si>
  <si>
    <t xml:space="preserve">2015-08-08 18:00</t>
  </si>
  <si>
    <t xml:space="preserve">2015-08-08 18:05</t>
  </si>
  <si>
    <t xml:space="preserve">2015-08-08 18:10</t>
  </si>
  <si>
    <t xml:space="preserve">2015-08-08 18:15</t>
  </si>
  <si>
    <t xml:space="preserve">2015-08-08 18:20</t>
  </si>
  <si>
    <t xml:space="preserve">2015-08-08 18:25</t>
  </si>
  <si>
    <t xml:space="preserve">2015-08-08 18:30</t>
  </si>
  <si>
    <t xml:space="preserve">2015-08-08 18:35</t>
  </si>
  <si>
    <t xml:space="preserve">2015-08-08 18:40</t>
  </si>
  <si>
    <t xml:space="preserve">2015-08-08 18:45</t>
  </si>
  <si>
    <t xml:space="preserve">2015-08-08 18:50</t>
  </si>
  <si>
    <t xml:space="preserve">2015-08-08 18:55</t>
  </si>
  <si>
    <t xml:space="preserve">2015-08-08 19:00</t>
  </si>
  <si>
    <t xml:space="preserve">2015-08-08 19:05</t>
  </si>
  <si>
    <t xml:space="preserve">2015-08-08 19:10</t>
  </si>
  <si>
    <t xml:space="preserve">2015-08-08 19:15</t>
  </si>
  <si>
    <t xml:space="preserve">2015-08-08 19:20</t>
  </si>
  <si>
    <t xml:space="preserve">2015-08-08 19:25</t>
  </si>
  <si>
    <t xml:space="preserve">2015-08-08 19:30</t>
  </si>
  <si>
    <t xml:space="preserve">2015-08-08 19:35</t>
  </si>
  <si>
    <t xml:space="preserve">2015-08-08 19:40</t>
  </si>
  <si>
    <t xml:space="preserve">2015-08-08 19:45</t>
  </si>
  <si>
    <t xml:space="preserve">2015-08-08 19:50</t>
  </si>
  <si>
    <t xml:space="preserve">2015-08-08 19:55</t>
  </si>
  <si>
    <t xml:space="preserve">2015-08-08 20:00</t>
  </si>
  <si>
    <t xml:space="preserve">2015-08-08 20:05</t>
  </si>
  <si>
    <t xml:space="preserve">2015-08-08 20:10</t>
  </si>
  <si>
    <t xml:space="preserve">2015-08-08 20:15</t>
  </si>
  <si>
    <t xml:space="preserve">2015-08-08 20:20</t>
  </si>
  <si>
    <t xml:space="preserve">2015-08-08 20:25</t>
  </si>
  <si>
    <t xml:space="preserve">2015-08-08 20:30</t>
  </si>
  <si>
    <t xml:space="preserve">2015-08-08 20:35</t>
  </si>
  <si>
    <t xml:space="preserve">2015-08-08 20:40</t>
  </si>
  <si>
    <t xml:space="preserve">2015-08-08 20:45</t>
  </si>
  <si>
    <t xml:space="preserve">2015-08-08 20:50</t>
  </si>
  <si>
    <t xml:space="preserve">2015-08-08 20:55</t>
  </si>
  <si>
    <t xml:space="preserve">2015-08-08 21:00</t>
  </si>
  <si>
    <t xml:space="preserve">2015-08-08 21:05</t>
  </si>
  <si>
    <t xml:space="preserve">2015-08-08 21:10</t>
  </si>
  <si>
    <t xml:space="preserve">2015-08-08 21:15</t>
  </si>
  <si>
    <t xml:space="preserve">2015-08-08 21:20</t>
  </si>
  <si>
    <t xml:space="preserve">2015-08-08 21:25</t>
  </si>
  <si>
    <t xml:space="preserve">2015-08-08 21:30</t>
  </si>
  <si>
    <t xml:space="preserve">2015-08-08 21:35</t>
  </si>
  <si>
    <t xml:space="preserve">2015-08-08 21:40</t>
  </si>
  <si>
    <t xml:space="preserve">2015-08-08 21:45</t>
  </si>
  <si>
    <t xml:space="preserve">2015-08-08 21:50</t>
  </si>
  <si>
    <t xml:space="preserve">2015-08-08 21:55</t>
  </si>
  <si>
    <t xml:space="preserve">2015-08-08 22:00</t>
  </si>
  <si>
    <t xml:space="preserve">2015-08-08 22:05</t>
  </si>
  <si>
    <t xml:space="preserve">2015-08-08 22:10</t>
  </si>
  <si>
    <t xml:space="preserve">2015-08-08 22:15</t>
  </si>
  <si>
    <t xml:space="preserve">2015-08-08 22:20</t>
  </si>
  <si>
    <t xml:space="preserve">2015-08-08 22:25</t>
  </si>
  <si>
    <t xml:space="preserve">2015-08-08 22:30</t>
  </si>
  <si>
    <t xml:space="preserve">2015-08-08 22:35</t>
  </si>
  <si>
    <t xml:space="preserve">2015-08-08 22:40</t>
  </si>
  <si>
    <t xml:space="preserve">2015-08-08 22:45</t>
  </si>
  <si>
    <t xml:space="preserve">2015-08-08 22:50</t>
  </si>
  <si>
    <t xml:space="preserve">2015-08-08 22:55</t>
  </si>
  <si>
    <t xml:space="preserve">2015-08-08 23:00</t>
  </si>
  <si>
    <t xml:space="preserve">2015-08-08 23:05</t>
  </si>
  <si>
    <t xml:space="preserve">2015-08-08 23:10</t>
  </si>
  <si>
    <t xml:space="preserve">2015-08-08 23:15</t>
  </si>
  <si>
    <t xml:space="preserve">2015-08-08 23:20</t>
  </si>
  <si>
    <t xml:space="preserve">2015-08-08 23:25</t>
  </si>
  <si>
    <t xml:space="preserve">2015-08-08 23:30</t>
  </si>
  <si>
    <t xml:space="preserve">2015-08-08 23:35</t>
  </si>
  <si>
    <t xml:space="preserve">2015-08-08 23:40</t>
  </si>
  <si>
    <t xml:space="preserve">2015-08-08 23:45</t>
  </si>
  <si>
    <t xml:space="preserve">2015-08-08 23:50</t>
  </si>
  <si>
    <t xml:space="preserve">2015-08-08 23:55</t>
  </si>
  <si>
    <t xml:space="preserve">2015-08-09 00:00</t>
  </si>
  <si>
    <t xml:space="preserve">2015-08-09 00:05</t>
  </si>
  <si>
    <t xml:space="preserve">2015-08-09 00:10</t>
  </si>
  <si>
    <t xml:space="preserve">2015-08-09 00:15</t>
  </si>
  <si>
    <t xml:space="preserve">2015-08-09 00:20</t>
  </si>
  <si>
    <t xml:space="preserve">2015-08-09 00:25</t>
  </si>
  <si>
    <t xml:space="preserve">2015-08-09 00:30</t>
  </si>
  <si>
    <t xml:space="preserve">2015-08-09 00:35</t>
  </si>
  <si>
    <t xml:space="preserve">2015-08-09 00:40</t>
  </si>
  <si>
    <t xml:space="preserve">2015-08-09 00:45</t>
  </si>
  <si>
    <t xml:space="preserve">2015-08-09 00:50</t>
  </si>
  <si>
    <t xml:space="preserve">2015-08-09 00:55</t>
  </si>
  <si>
    <t xml:space="preserve">2015-08-09 01:00</t>
  </si>
  <si>
    <t xml:space="preserve">2015-08-09 01:05</t>
  </si>
  <si>
    <t xml:space="preserve">2015-08-09 01:10</t>
  </si>
  <si>
    <t xml:space="preserve">2015-08-09 01:15</t>
  </si>
  <si>
    <t xml:space="preserve">2015-08-09 01:20</t>
  </si>
  <si>
    <t xml:space="preserve">2015-08-09 01:25</t>
  </si>
  <si>
    <t xml:space="preserve">2015-08-09 01:30</t>
  </si>
  <si>
    <t xml:space="preserve">2015-08-09 01:35</t>
  </si>
  <si>
    <t xml:space="preserve">2015-08-09 01:40</t>
  </si>
  <si>
    <t xml:space="preserve">2015-08-09 01:45</t>
  </si>
  <si>
    <t xml:space="preserve">2015-08-09 01:50</t>
  </si>
  <si>
    <t xml:space="preserve">2015-08-09 01:55</t>
  </si>
  <si>
    <t xml:space="preserve">2015-08-09 02:00</t>
  </si>
  <si>
    <t xml:space="preserve">2015-08-09 02:05</t>
  </si>
  <si>
    <t xml:space="preserve">2015-08-09 02:10</t>
  </si>
  <si>
    <t xml:space="preserve">2015-08-09 02:15</t>
  </si>
  <si>
    <t xml:space="preserve">2015-08-09 02:20</t>
  </si>
  <si>
    <t xml:space="preserve">2015-08-09 02:25</t>
  </si>
  <si>
    <t xml:space="preserve">2015-08-09 02:30</t>
  </si>
  <si>
    <t xml:space="preserve">2015-08-09 02:35</t>
  </si>
  <si>
    <t xml:space="preserve">2015-08-09 02:40</t>
  </si>
  <si>
    <t xml:space="preserve">2015-08-09 02:45</t>
  </si>
  <si>
    <t xml:space="preserve">2015-08-09 02:50</t>
  </si>
  <si>
    <t xml:space="preserve">2015-08-09 02:55</t>
  </si>
  <si>
    <t xml:space="preserve">2015-08-09 03:00</t>
  </si>
  <si>
    <t xml:space="preserve">2015-08-09 03:05</t>
  </si>
  <si>
    <t xml:space="preserve">2015-08-09 03:10</t>
  </si>
  <si>
    <t xml:space="preserve">2015-08-09 03:15</t>
  </si>
  <si>
    <t xml:space="preserve">2015-08-09 03:20</t>
  </si>
  <si>
    <t xml:space="preserve">2015-08-09 03:25</t>
  </si>
  <si>
    <t xml:space="preserve">2015-08-09 03:30</t>
  </si>
  <si>
    <t xml:space="preserve">2015-08-09 03:35</t>
  </si>
  <si>
    <t xml:space="preserve">2015-08-09 03:40</t>
  </si>
  <si>
    <t xml:space="preserve">2015-08-09 03:45</t>
  </si>
  <si>
    <t xml:space="preserve">2015-08-09 03:50</t>
  </si>
  <si>
    <t xml:space="preserve">2015-08-09 03:55</t>
  </si>
  <si>
    <t xml:space="preserve">2015-08-09 04:00</t>
  </si>
  <si>
    <t xml:space="preserve">2015-08-09 04:05</t>
  </si>
  <si>
    <t xml:space="preserve">2015-08-09 04:10</t>
  </si>
  <si>
    <t xml:space="preserve">2015-08-09 04:15</t>
  </si>
  <si>
    <t xml:space="preserve">2015-08-09 04:20</t>
  </si>
  <si>
    <t xml:space="preserve">2015-08-09 04:25</t>
  </si>
  <si>
    <t xml:space="preserve">2015-08-09 04:30</t>
  </si>
  <si>
    <t xml:space="preserve">2015-08-09 04:35</t>
  </si>
  <si>
    <t xml:space="preserve">2015-08-09 04:40</t>
  </si>
  <si>
    <t xml:space="preserve">2015-08-09 04:45</t>
  </si>
  <si>
    <t xml:space="preserve">2015-08-09 04:50</t>
  </si>
  <si>
    <t xml:space="preserve">2015-08-09 04:55</t>
  </si>
  <si>
    <t xml:space="preserve">2015-08-09 05:00</t>
  </si>
  <si>
    <t xml:space="preserve">2015-08-09 05:05</t>
  </si>
  <si>
    <t xml:space="preserve">2015-08-09 05:10</t>
  </si>
  <si>
    <t xml:space="preserve">2015-08-09 05:15</t>
  </si>
  <si>
    <t xml:space="preserve">2015-08-09 05:20</t>
  </si>
  <si>
    <t xml:space="preserve">2015-08-09 05:25</t>
  </si>
  <si>
    <t xml:space="preserve">2015-08-09 05:30</t>
  </si>
  <si>
    <t xml:space="preserve">2015-08-09 05:35</t>
  </si>
  <si>
    <t xml:space="preserve">2015-08-09 05:40</t>
  </si>
  <si>
    <t xml:space="preserve">2015-08-09 05:45</t>
  </si>
  <si>
    <t xml:space="preserve">2015-08-09 05:50</t>
  </si>
  <si>
    <t xml:space="preserve">2015-08-09 05:55</t>
  </si>
  <si>
    <t xml:space="preserve">2015-08-09 06:00</t>
  </si>
  <si>
    <t xml:space="preserve">2015-08-09 06:05</t>
  </si>
  <si>
    <t xml:space="preserve">2015-08-09 06:10</t>
  </si>
  <si>
    <t xml:space="preserve">2015-08-09 06:15</t>
  </si>
  <si>
    <t xml:space="preserve">2015-08-09 06:20</t>
  </si>
  <si>
    <t xml:space="preserve">2015-08-09 06:25</t>
  </si>
  <si>
    <t xml:space="preserve">2015-08-09 06:30</t>
  </si>
  <si>
    <t xml:space="preserve">2015-08-09 06:35</t>
  </si>
  <si>
    <t xml:space="preserve">2015-08-09 06:40</t>
  </si>
  <si>
    <t xml:space="preserve">2015-08-09 06:45</t>
  </si>
  <si>
    <t xml:space="preserve">2015-08-09 06:50</t>
  </si>
  <si>
    <t xml:space="preserve">2015-08-09 06:55</t>
  </si>
  <si>
    <t xml:space="preserve">2015-08-09 07:00</t>
  </si>
  <si>
    <t xml:space="preserve">2015-08-09 07:05</t>
  </si>
  <si>
    <t xml:space="preserve">2015-08-09 07:10</t>
  </si>
  <si>
    <t xml:space="preserve">2015-08-09 07:15</t>
  </si>
  <si>
    <t xml:space="preserve">2015-08-09 07:20</t>
  </si>
  <si>
    <t xml:space="preserve">2015-08-09 07:25</t>
  </si>
  <si>
    <t xml:space="preserve">2015-08-09 07:30</t>
  </si>
  <si>
    <t xml:space="preserve">2015-08-09 07:35</t>
  </si>
  <si>
    <t xml:space="preserve">2015-08-09 07:40</t>
  </si>
  <si>
    <t xml:space="preserve">2015-08-09 07:45</t>
  </si>
  <si>
    <t xml:space="preserve">2015-08-09 07:50</t>
  </si>
  <si>
    <t xml:space="preserve">2015-08-09 07:55</t>
  </si>
  <si>
    <t xml:space="preserve">2015-08-09 08:00</t>
  </si>
  <si>
    <t xml:space="preserve">2015-08-09 08:05</t>
  </si>
  <si>
    <t xml:space="preserve">2015-08-09 08:10</t>
  </si>
  <si>
    <t xml:space="preserve">2015-08-09 08:15</t>
  </si>
  <si>
    <t xml:space="preserve">2015-08-09 08:20</t>
  </si>
  <si>
    <t xml:space="preserve">2015-08-09 08:25</t>
  </si>
  <si>
    <t xml:space="preserve">2015-08-09 08:30</t>
  </si>
  <si>
    <t xml:space="preserve">2015-08-09 08:35</t>
  </si>
  <si>
    <t xml:space="preserve">2015-08-09 08:40</t>
  </si>
  <si>
    <t xml:space="preserve">2015-08-09 08:45</t>
  </si>
  <si>
    <t xml:space="preserve">2015-08-09 08:50</t>
  </si>
  <si>
    <t xml:space="preserve">2015-08-09 08:55</t>
  </si>
  <si>
    <t xml:space="preserve">2015-08-09 09:00</t>
  </si>
  <si>
    <t xml:space="preserve">2015-08-09 09:05</t>
  </si>
  <si>
    <t xml:space="preserve">2015-08-09 09:10</t>
  </si>
  <si>
    <t xml:space="preserve">2015-08-09 09:15</t>
  </si>
  <si>
    <t xml:space="preserve">2015-08-09 09:20</t>
  </si>
  <si>
    <t xml:space="preserve">2015-08-09 09:25</t>
  </si>
  <si>
    <t xml:space="preserve">2015-08-09 09:30</t>
  </si>
  <si>
    <t xml:space="preserve">2015-08-09 09:35</t>
  </si>
  <si>
    <t xml:space="preserve">2015-08-09 09:40</t>
  </si>
  <si>
    <t xml:space="preserve">2015-08-09 09:45</t>
  </si>
  <si>
    <t xml:space="preserve">2015-08-09 09:50</t>
  </si>
  <si>
    <t xml:space="preserve">2015-08-09 09:55</t>
  </si>
  <si>
    <t xml:space="preserve">2015-08-09 10:00</t>
  </si>
  <si>
    <t xml:space="preserve">2015-08-09 10:05</t>
  </si>
  <si>
    <t xml:space="preserve">2015-08-09 10:10</t>
  </si>
  <si>
    <t xml:space="preserve">2015-08-09 10:15</t>
  </si>
  <si>
    <t xml:space="preserve">2015-08-09 10:20</t>
  </si>
  <si>
    <t xml:space="preserve">2015-08-09 10:25</t>
  </si>
  <si>
    <t xml:space="preserve">2015-08-09 10:30</t>
  </si>
  <si>
    <t xml:space="preserve">2015-08-09 10:35</t>
  </si>
  <si>
    <t xml:space="preserve">2015-08-09 10:40</t>
  </si>
  <si>
    <t xml:space="preserve">2015-08-09 10:45</t>
  </si>
  <si>
    <t xml:space="preserve">2015-08-09 10:50</t>
  </si>
  <si>
    <t xml:space="preserve">2015-08-09 10:55</t>
  </si>
  <si>
    <t xml:space="preserve">2015-08-09 11:00</t>
  </si>
  <si>
    <t xml:space="preserve">2015-08-09 11:05</t>
  </si>
  <si>
    <t xml:space="preserve">2015-08-09 11:10</t>
  </si>
  <si>
    <t xml:space="preserve">2015-08-09 11:15</t>
  </si>
  <si>
    <t xml:space="preserve">2015-08-09 11:20</t>
  </si>
  <si>
    <t xml:space="preserve">2015-08-09 11:25</t>
  </si>
  <si>
    <t xml:space="preserve">2015-08-09 11:30</t>
  </si>
  <si>
    <t xml:space="preserve">2015-08-09 11:35</t>
  </si>
  <si>
    <t xml:space="preserve">2015-08-09 11:40</t>
  </si>
  <si>
    <t xml:space="preserve">2015-08-09 11:45</t>
  </si>
  <si>
    <t xml:space="preserve">2015-08-09 11:50</t>
  </si>
  <si>
    <t xml:space="preserve">2015-08-09 11:55</t>
  </si>
  <si>
    <t xml:space="preserve">2015-08-09 12:00</t>
  </si>
  <si>
    <t xml:space="preserve">2015-08-09 12:05</t>
  </si>
  <si>
    <t xml:space="preserve">2015-08-09 12:10</t>
  </si>
  <si>
    <t xml:space="preserve">2015-08-09 12:15</t>
  </si>
  <si>
    <t xml:space="preserve">2015-08-09 12:20</t>
  </si>
  <si>
    <t xml:space="preserve">2015-08-09 12:25</t>
  </si>
  <si>
    <t xml:space="preserve">2015-08-09 12:30</t>
  </si>
  <si>
    <t xml:space="preserve">2015-08-09 12:35</t>
  </si>
  <si>
    <t xml:space="preserve">2015-08-09 12:40</t>
  </si>
  <si>
    <t xml:space="preserve">2015-08-09 12:45</t>
  </si>
  <si>
    <t xml:space="preserve">2015-08-09 12:50</t>
  </si>
  <si>
    <t xml:space="preserve">2015-08-09 12:55</t>
  </si>
  <si>
    <t xml:space="preserve">2015-08-09 13:00</t>
  </si>
  <si>
    <t xml:space="preserve">2015-08-09 13:05</t>
  </si>
  <si>
    <t xml:space="preserve">2015-08-09 13:10</t>
  </si>
  <si>
    <t xml:space="preserve">2015-08-09 13:15</t>
  </si>
  <si>
    <t xml:space="preserve">2015-08-09 13:20</t>
  </si>
  <si>
    <t xml:space="preserve">2015-08-09 13:25</t>
  </si>
  <si>
    <t xml:space="preserve">2015-08-09 13:30</t>
  </si>
  <si>
    <t xml:space="preserve">2015-08-09 13:35</t>
  </si>
  <si>
    <t xml:space="preserve">2015-08-09 13:40</t>
  </si>
  <si>
    <t xml:space="preserve">2015-08-09 13:45</t>
  </si>
  <si>
    <t xml:space="preserve">2015-08-09 13:50</t>
  </si>
  <si>
    <t xml:space="preserve">2015-08-09 13:55</t>
  </si>
  <si>
    <t xml:space="preserve">2015-08-09 14:00</t>
  </si>
  <si>
    <t xml:space="preserve">2015-08-09 14:05</t>
  </si>
  <si>
    <t xml:space="preserve">2015-08-09 14:10</t>
  </si>
  <si>
    <t xml:space="preserve">2015-08-09 14:15</t>
  </si>
  <si>
    <t xml:space="preserve">2015-08-09 14:20</t>
  </si>
  <si>
    <t xml:space="preserve">2015-08-09 14:25</t>
  </si>
  <si>
    <t xml:space="preserve">2015-08-09 14:30</t>
  </si>
  <si>
    <t xml:space="preserve">2015-08-09 14:35</t>
  </si>
  <si>
    <t xml:space="preserve">2015-08-09 14:40</t>
  </si>
  <si>
    <t xml:space="preserve">2015-08-09 14:45</t>
  </si>
  <si>
    <t xml:space="preserve">2015-08-09 14:50</t>
  </si>
  <si>
    <t xml:space="preserve">2015-08-09 14:55</t>
  </si>
  <si>
    <t xml:space="preserve">2015-08-09 15:00</t>
  </si>
  <si>
    <t xml:space="preserve">2015-08-09 15:05</t>
  </si>
  <si>
    <t xml:space="preserve">2015-08-09 15:10</t>
  </si>
  <si>
    <t xml:space="preserve">2015-08-09 15:15</t>
  </si>
  <si>
    <t xml:space="preserve">2015-08-09 15:20</t>
  </si>
  <si>
    <t xml:space="preserve">2015-08-09 15:25</t>
  </si>
  <si>
    <t xml:space="preserve">2015-08-09 15:30</t>
  </si>
  <si>
    <t xml:space="preserve">2015-08-09 15:35</t>
  </si>
  <si>
    <t xml:space="preserve">2015-08-09 15:40</t>
  </si>
  <si>
    <t xml:space="preserve">2015-08-09 15:45</t>
  </si>
  <si>
    <t xml:space="preserve">2015-08-09 15:50</t>
  </si>
  <si>
    <t xml:space="preserve">2015-08-09 15:55</t>
  </si>
  <si>
    <t xml:space="preserve">2015-08-09 16:00</t>
  </si>
  <si>
    <t xml:space="preserve">2015-08-09 16:05</t>
  </si>
  <si>
    <t xml:space="preserve">2015-08-09 16:10</t>
  </si>
  <si>
    <t xml:space="preserve">2015-08-09 16:15</t>
  </si>
  <si>
    <t xml:space="preserve">2015-08-09 16:20</t>
  </si>
  <si>
    <t xml:space="preserve">2015-08-09 16:25</t>
  </si>
  <si>
    <t xml:space="preserve">2015-08-09 16:30</t>
  </si>
  <si>
    <t xml:space="preserve">2015-08-09 16:35</t>
  </si>
  <si>
    <t xml:space="preserve">2015-08-09 16:40</t>
  </si>
  <si>
    <t xml:space="preserve">2015-08-09 16:45</t>
  </si>
  <si>
    <t xml:space="preserve">2015-08-09 16:50</t>
  </si>
  <si>
    <t xml:space="preserve">2015-08-09 16:55</t>
  </si>
  <si>
    <t xml:space="preserve">2015-08-09 17:00</t>
  </si>
  <si>
    <t xml:space="preserve">2015-08-09 17:05</t>
  </si>
  <si>
    <t xml:space="preserve">2015-08-09 17:10</t>
  </si>
  <si>
    <t xml:space="preserve">2015-08-09 17:15</t>
  </si>
  <si>
    <t xml:space="preserve">2015-08-09 17:20</t>
  </si>
  <si>
    <t xml:space="preserve">2015-08-09 17:25</t>
  </si>
  <si>
    <t xml:space="preserve">2015-08-09 17:30</t>
  </si>
  <si>
    <t xml:space="preserve">2015-08-09 17:35</t>
  </si>
  <si>
    <t xml:space="preserve">2015-08-09 17:40</t>
  </si>
  <si>
    <t xml:space="preserve">2015-08-09 17:45</t>
  </si>
  <si>
    <t xml:space="preserve">2015-08-09 17:50</t>
  </si>
  <si>
    <t xml:space="preserve">2015-08-09 17:55</t>
  </si>
  <si>
    <t xml:space="preserve">2015-08-09 18:00</t>
  </si>
  <si>
    <t xml:space="preserve">2015-08-09 18:05</t>
  </si>
  <si>
    <t xml:space="preserve">2015-08-09 18:10</t>
  </si>
  <si>
    <t xml:space="preserve">2015-08-09 18:15</t>
  </si>
  <si>
    <t xml:space="preserve">2015-08-09 18:20</t>
  </si>
  <si>
    <t xml:space="preserve">2015-08-09 18:25</t>
  </si>
  <si>
    <t xml:space="preserve">2015-08-09 18:30</t>
  </si>
  <si>
    <t xml:space="preserve">2015-08-09 18:35</t>
  </si>
  <si>
    <t xml:space="preserve">2015-08-09 18:40</t>
  </si>
  <si>
    <t xml:space="preserve">2015-08-09 18:45</t>
  </si>
  <si>
    <t xml:space="preserve">2015-08-09 18:50</t>
  </si>
  <si>
    <t xml:space="preserve">2015-08-09 18:55</t>
  </si>
  <si>
    <t xml:space="preserve">2015-08-09 19:00</t>
  </si>
  <si>
    <t xml:space="preserve">2015-08-09 19:05</t>
  </si>
  <si>
    <t xml:space="preserve">2015-08-09 19:10</t>
  </si>
  <si>
    <t xml:space="preserve">2015-08-09 19:15</t>
  </si>
  <si>
    <t xml:space="preserve">2015-08-09 19:20</t>
  </si>
  <si>
    <t xml:space="preserve">2015-08-09 19:25</t>
  </si>
  <si>
    <t xml:space="preserve">2015-08-09 19:30</t>
  </si>
  <si>
    <t xml:space="preserve">2015-08-09 19:35</t>
  </si>
  <si>
    <t xml:space="preserve">2015-08-09 19:40</t>
  </si>
  <si>
    <t xml:space="preserve">2015-08-09 19:45</t>
  </si>
  <si>
    <t xml:space="preserve">2015-08-09 19:50</t>
  </si>
  <si>
    <t xml:space="preserve">2015-08-09 19:55</t>
  </si>
  <si>
    <t xml:space="preserve">2015-08-09 20:00</t>
  </si>
  <si>
    <t xml:space="preserve">2015-08-09 20:05</t>
  </si>
  <si>
    <t xml:space="preserve">2015-08-09 20:10</t>
  </si>
  <si>
    <t xml:space="preserve">2015-08-09 20:15</t>
  </si>
  <si>
    <t xml:space="preserve">2015-08-09 20:20</t>
  </si>
  <si>
    <t xml:space="preserve">2015-08-09 20:25</t>
  </si>
  <si>
    <t xml:space="preserve">2015-08-09 20:30</t>
  </si>
  <si>
    <t xml:space="preserve">2015-08-09 20:35</t>
  </si>
  <si>
    <t xml:space="preserve">2015-08-09 20:40</t>
  </si>
  <si>
    <t xml:space="preserve">2015-08-09 20:45</t>
  </si>
  <si>
    <t xml:space="preserve">2015-08-09 20:50</t>
  </si>
  <si>
    <t xml:space="preserve">2015-08-09 20:55</t>
  </si>
  <si>
    <t xml:space="preserve">2015-08-09 21:00</t>
  </si>
  <si>
    <t xml:space="preserve">2015-08-09 21:05</t>
  </si>
  <si>
    <t xml:space="preserve">2015-08-09 21:10</t>
  </si>
  <si>
    <t xml:space="preserve">2015-08-09 21:15</t>
  </si>
  <si>
    <t xml:space="preserve">2015-08-09 21:20</t>
  </si>
  <si>
    <t xml:space="preserve">2015-08-09 21:25</t>
  </si>
  <si>
    <t xml:space="preserve">2015-08-09 21:30</t>
  </si>
  <si>
    <t xml:space="preserve">2015-08-09 21:35</t>
  </si>
  <si>
    <t xml:space="preserve">2015-08-09 21:40</t>
  </si>
  <si>
    <t xml:space="preserve">2015-08-09 21:45</t>
  </si>
  <si>
    <t xml:space="preserve">2015-08-09 21:50</t>
  </si>
  <si>
    <t xml:space="preserve">2015-08-09 21:55</t>
  </si>
  <si>
    <t xml:space="preserve">2015-08-09 22:00</t>
  </si>
  <si>
    <t xml:space="preserve">2015-08-09 22:05</t>
  </si>
  <si>
    <t xml:space="preserve">2015-08-09 22:10</t>
  </si>
  <si>
    <t xml:space="preserve">2015-08-09 22:15</t>
  </si>
  <si>
    <t xml:space="preserve">2015-08-09 22:20</t>
  </si>
  <si>
    <t xml:space="preserve">2015-08-09 22:25</t>
  </si>
  <si>
    <t xml:space="preserve">2015-08-09 22:30</t>
  </si>
  <si>
    <t xml:space="preserve">2015-08-09 22:35</t>
  </si>
  <si>
    <t xml:space="preserve">2015-08-09 22:40</t>
  </si>
  <si>
    <t xml:space="preserve">2015-08-09 22:45</t>
  </si>
  <si>
    <t xml:space="preserve">2015-08-09 22:50</t>
  </si>
  <si>
    <t xml:space="preserve">2015-08-09 22:55</t>
  </si>
  <si>
    <t xml:space="preserve">2015-08-09 23:00</t>
  </si>
  <si>
    <t xml:space="preserve">2015-08-09 23:05</t>
  </si>
  <si>
    <t xml:space="preserve">2015-08-09 23:10</t>
  </si>
  <si>
    <t xml:space="preserve">2015-08-09 23:15</t>
  </si>
  <si>
    <t xml:space="preserve">2015-08-09 23:20</t>
  </si>
  <si>
    <t xml:space="preserve">2015-08-09 23:25</t>
  </si>
  <si>
    <t xml:space="preserve">2015-08-09 23:30</t>
  </si>
  <si>
    <t xml:space="preserve">2015-08-09 23:35</t>
  </si>
  <si>
    <t xml:space="preserve">2015-08-09 23:40</t>
  </si>
  <si>
    <t xml:space="preserve">2015-08-09 23:45</t>
  </si>
  <si>
    <t xml:space="preserve">2015-08-09 23:50</t>
  </si>
  <si>
    <t xml:space="preserve">2015-08-09 23:55</t>
  </si>
  <si>
    <t xml:space="preserve">2015-08-10 00:00</t>
  </si>
  <si>
    <t xml:space="preserve">2015-08-10 00:05</t>
  </si>
  <si>
    <t xml:space="preserve">2015-08-10 00:10</t>
  </si>
  <si>
    <t xml:space="preserve">2015-08-10 00:15</t>
  </si>
  <si>
    <t xml:space="preserve">2015-08-10 00:20</t>
  </si>
  <si>
    <t xml:space="preserve">2015-08-10 00:25</t>
  </si>
  <si>
    <t xml:space="preserve">2015-08-10 00:30</t>
  </si>
  <si>
    <t xml:space="preserve">2015-08-10 00:35</t>
  </si>
  <si>
    <t xml:space="preserve">2015-08-10 00:40</t>
  </si>
  <si>
    <t xml:space="preserve">2015-08-10 00:45</t>
  </si>
  <si>
    <t xml:space="preserve">2015-08-10 00:50</t>
  </si>
  <si>
    <t xml:space="preserve">2015-08-10 00:55</t>
  </si>
  <si>
    <t xml:space="preserve">2015-08-10 01:00</t>
  </si>
  <si>
    <t xml:space="preserve">2015-08-10 01:05</t>
  </si>
  <si>
    <t xml:space="preserve">2015-08-10 01:10</t>
  </si>
  <si>
    <t xml:space="preserve">2015-08-10 01:15</t>
  </si>
  <si>
    <t xml:space="preserve">2015-08-10 01:20</t>
  </si>
  <si>
    <t xml:space="preserve">2015-08-10 01:25</t>
  </si>
  <si>
    <t xml:space="preserve">2015-08-10 01:30</t>
  </si>
  <si>
    <t xml:space="preserve">2015-08-10 01:35</t>
  </si>
  <si>
    <t xml:space="preserve">2015-08-10 01:40</t>
  </si>
  <si>
    <t xml:space="preserve">2015-08-10 01:45</t>
  </si>
  <si>
    <t xml:space="preserve">2015-08-10 01:50</t>
  </si>
  <si>
    <t xml:space="preserve">2015-08-10 01:55</t>
  </si>
  <si>
    <t xml:space="preserve">2015-08-10 02:00</t>
  </si>
  <si>
    <t xml:space="preserve">2015-08-10 02:05</t>
  </si>
  <si>
    <t xml:space="preserve">2015-08-10 02:10</t>
  </si>
  <si>
    <t xml:space="preserve">2015-08-10 02:15</t>
  </si>
  <si>
    <t xml:space="preserve">2015-08-10 02:20</t>
  </si>
  <si>
    <t xml:space="preserve">2015-08-10 02:25</t>
  </si>
  <si>
    <t xml:space="preserve">2015-08-10 02:30</t>
  </si>
  <si>
    <t xml:space="preserve">2015-08-10 02:35</t>
  </si>
  <si>
    <t xml:space="preserve">2015-08-10 02:40</t>
  </si>
  <si>
    <t xml:space="preserve">2015-08-10 02:45</t>
  </si>
  <si>
    <t xml:space="preserve">2015-08-10 02:50</t>
  </si>
  <si>
    <t xml:space="preserve">2015-08-10 02:55</t>
  </si>
  <si>
    <t xml:space="preserve">2015-08-10 03:00</t>
  </si>
  <si>
    <t xml:space="preserve">2015-08-10 03:05</t>
  </si>
  <si>
    <t xml:space="preserve">2015-08-10 03:10</t>
  </si>
  <si>
    <t xml:space="preserve">2015-08-10 03:15</t>
  </si>
  <si>
    <t xml:space="preserve">2015-08-10 03:20</t>
  </si>
  <si>
    <t xml:space="preserve">2015-08-10 03:25</t>
  </si>
  <si>
    <t xml:space="preserve">2015-08-10 03:30</t>
  </si>
  <si>
    <t xml:space="preserve">2015-08-10 03:35</t>
  </si>
  <si>
    <t xml:space="preserve">2015-08-10 03:40</t>
  </si>
  <si>
    <t xml:space="preserve">2015-08-10 03:45</t>
  </si>
  <si>
    <t xml:space="preserve">2015-08-10 03:50</t>
  </si>
  <si>
    <t xml:space="preserve">2015-08-10 03:55</t>
  </si>
  <si>
    <t xml:space="preserve">2015-08-10 04:00</t>
  </si>
  <si>
    <t xml:space="preserve">2015-08-10 04:05</t>
  </si>
  <si>
    <t xml:space="preserve">2015-08-10 04:10</t>
  </si>
  <si>
    <t xml:space="preserve">2015-08-10 04:15</t>
  </si>
  <si>
    <t xml:space="preserve">2015-08-10 04:20</t>
  </si>
  <si>
    <t xml:space="preserve">2015-08-10 04:25</t>
  </si>
  <si>
    <t xml:space="preserve">2015-08-10 04:30</t>
  </si>
  <si>
    <t xml:space="preserve">2015-08-10 04:35</t>
  </si>
  <si>
    <t xml:space="preserve">2015-08-10 04:40</t>
  </si>
  <si>
    <t xml:space="preserve">2015-08-10 04:45</t>
  </si>
  <si>
    <t xml:space="preserve">2015-08-10 04:50</t>
  </si>
  <si>
    <t xml:space="preserve">2015-08-10 04:55</t>
  </si>
  <si>
    <t xml:space="preserve">2015-08-10 05:00</t>
  </si>
  <si>
    <t xml:space="preserve">2015-08-10 05:05</t>
  </si>
  <si>
    <t xml:space="preserve">2015-08-10 05:10</t>
  </si>
  <si>
    <t xml:space="preserve">2015-08-10 05:15</t>
  </si>
  <si>
    <t xml:space="preserve">2015-08-10 05:20</t>
  </si>
  <si>
    <t xml:space="preserve">2015-08-10 05:25</t>
  </si>
  <si>
    <t xml:space="preserve">2015-08-10 05:30</t>
  </si>
  <si>
    <t xml:space="preserve">2015-08-10 05:35</t>
  </si>
  <si>
    <t xml:space="preserve">2015-08-10 05:40</t>
  </si>
  <si>
    <t xml:space="preserve">2015-08-10 05:45</t>
  </si>
  <si>
    <t xml:space="preserve">2015-08-10 05:50</t>
  </si>
  <si>
    <t xml:space="preserve">2015-08-10 05:55</t>
  </si>
  <si>
    <t xml:space="preserve">2015-08-10 06:00</t>
  </si>
  <si>
    <t xml:space="preserve">2015-08-10 06:05</t>
  </si>
  <si>
    <t xml:space="preserve">2015-08-10 06:10</t>
  </si>
  <si>
    <t xml:space="preserve">2015-08-10 06:15</t>
  </si>
  <si>
    <t xml:space="preserve">2015-08-10 06:20</t>
  </si>
  <si>
    <t xml:space="preserve">2015-08-10 06:25</t>
  </si>
  <si>
    <t xml:space="preserve">2015-08-10 06:30</t>
  </si>
  <si>
    <t xml:space="preserve">2015-08-10 06:35</t>
  </si>
  <si>
    <t xml:space="preserve">2015-08-10 06:40</t>
  </si>
  <si>
    <t xml:space="preserve">2015-08-10 06:45</t>
  </si>
  <si>
    <t xml:space="preserve">2015-08-10 06:50</t>
  </si>
  <si>
    <t xml:space="preserve">2015-08-10 06:55</t>
  </si>
  <si>
    <t xml:space="preserve">2015-08-10 07:00</t>
  </si>
  <si>
    <t xml:space="preserve">2015-08-10 07:05</t>
  </si>
  <si>
    <t xml:space="preserve">2015-08-10 07:10</t>
  </si>
  <si>
    <t xml:space="preserve">2015-08-10 07:15</t>
  </si>
  <si>
    <t xml:space="preserve">2015-08-10 07:20</t>
  </si>
  <si>
    <t xml:space="preserve">2015-08-10 07:25</t>
  </si>
  <si>
    <t xml:space="preserve">2015-08-10 07:30</t>
  </si>
  <si>
    <t xml:space="preserve">2015-08-10 07:35</t>
  </si>
  <si>
    <t xml:space="preserve">2015-08-10 07:40</t>
  </si>
  <si>
    <t xml:space="preserve">2015-08-10 07:45</t>
  </si>
  <si>
    <t xml:space="preserve">2015-08-10 07:50</t>
  </si>
  <si>
    <t xml:space="preserve">2015-08-10 07:55</t>
  </si>
  <si>
    <t xml:space="preserve">2015-08-10 08:00</t>
  </si>
  <si>
    <t xml:space="preserve">2015-08-10 08:05</t>
  </si>
  <si>
    <t xml:space="preserve">2015-08-10 08:10</t>
  </si>
  <si>
    <t xml:space="preserve">2015-08-10 08:15</t>
  </si>
  <si>
    <t xml:space="preserve">2015-08-10 08:20</t>
  </si>
  <si>
    <t xml:space="preserve">2015-08-10 08:25</t>
  </si>
  <si>
    <t xml:space="preserve">2015-08-10 08:30</t>
  </si>
  <si>
    <t xml:space="preserve">2015-08-10 08:35</t>
  </si>
  <si>
    <t xml:space="preserve">2015-08-10 08:40</t>
  </si>
  <si>
    <t xml:space="preserve">2015-08-10 08:45</t>
  </si>
  <si>
    <t xml:space="preserve">2015-08-10 08:50</t>
  </si>
  <si>
    <t xml:space="preserve">2015-08-10 08:55</t>
  </si>
  <si>
    <t xml:space="preserve">2015-08-10 09:00</t>
  </si>
  <si>
    <t xml:space="preserve">2015-08-10 09:05</t>
  </si>
  <si>
    <t xml:space="preserve">2015-08-10 09:10</t>
  </si>
  <si>
    <t xml:space="preserve">2015-08-10 09:15</t>
  </si>
  <si>
    <t xml:space="preserve">2015-08-10 09:20</t>
  </si>
  <si>
    <t xml:space="preserve">2015-08-10 09:25</t>
  </si>
  <si>
    <t xml:space="preserve">2015-08-10 09:30</t>
  </si>
  <si>
    <t xml:space="preserve">2015-08-10 09:35</t>
  </si>
  <si>
    <t xml:space="preserve">2015-08-10 09:40</t>
  </si>
  <si>
    <t xml:space="preserve">2015-08-10 09:45</t>
  </si>
  <si>
    <t xml:space="preserve">2015-08-10 09:50</t>
  </si>
  <si>
    <t xml:space="preserve">2015-08-10 09:55</t>
  </si>
  <si>
    <t xml:space="preserve">2015-08-10 10:00</t>
  </si>
  <si>
    <t xml:space="preserve">2015-08-10 10:05</t>
  </si>
  <si>
    <t xml:space="preserve">2015-08-10 10:10</t>
  </si>
  <si>
    <t xml:space="preserve">2015-08-10 10:15</t>
  </si>
  <si>
    <t xml:space="preserve">2015-08-10 10:20</t>
  </si>
  <si>
    <t xml:space="preserve">2015-08-10 10:25</t>
  </si>
  <si>
    <t xml:space="preserve">2015-08-10 10:30</t>
  </si>
  <si>
    <t xml:space="preserve">2015-08-10 10:35</t>
  </si>
  <si>
    <t xml:space="preserve">2015-08-10 10:40</t>
  </si>
  <si>
    <t xml:space="preserve">2015-08-10 10:45</t>
  </si>
  <si>
    <t xml:space="preserve">2015-08-10 10:50</t>
  </si>
  <si>
    <t xml:space="preserve">2015-08-10 10:55</t>
  </si>
  <si>
    <t xml:space="preserve">2015-08-10 11:00</t>
  </si>
  <si>
    <t xml:space="preserve">2015-08-10 11:05</t>
  </si>
  <si>
    <t xml:space="preserve">2015-08-10 11:10</t>
  </si>
  <si>
    <t xml:space="preserve">2015-08-10 11:15</t>
  </si>
  <si>
    <t xml:space="preserve">2015-08-10 11:20</t>
  </si>
  <si>
    <t xml:space="preserve">Part 2 - Normality of ETH/USD 5-minute returns (Shapiro-Wilk)</t>
  </si>
  <si>
    <t xml:space="preserve">Sample statistic (workbook sample)</t>
  </si>
  <si>
    <t xml:space="preserve">Jarque-Bera statistic</t>
  </si>
  <si>
    <t xml:space="preserve">Jarque-Bera p-value</t>
  </si>
  <si>
    <t xml:space="preserve">Jarque-Bera decision (cross-check)</t>
  </si>
  <si>
    <t xml:space="preserve">Shapiro-Wilk result from Python (paste)</t>
  </si>
  <si>
    <t xml:space="preserve">W statistic</t>
  </si>
  <si>
    <t xml:space="preserve">EXAMPLE values - replace with your Python output.</t>
  </si>
  <si>
    <t xml:space="preserve">p-value</t>
  </si>
  <si>
    <t xml:space="preserve">n used in Python</t>
  </si>
  <si>
    <t xml:space="preserve">Shapiro-Wilk decision</t>
  </si>
  <si>
    <t xml:space="preserve">Reliability note</t>
  </si>
  <si>
    <t xml:space="preserve">H0: returns are normally distributed. H1: they are not. Reject H0 when p-value &lt;= alpha.</t>
  </si>
</sst>
</file>

<file path=xl/styles.xml><?xml version="1.0" encoding="utf-8"?>
<styleSheet xmlns="http://schemas.openxmlformats.org/spreadsheetml/2006/main">
  <numFmts count="11">
    <numFmt numFmtId="164" formatCode="General"/>
    <numFmt numFmtId="165" formatCode="#,##0.0000"/>
    <numFmt numFmtId="166" formatCode="0.0000%"/>
    <numFmt numFmtId="167" formatCode="0.00"/>
    <numFmt numFmtId="168" formatCode="0"/>
    <numFmt numFmtId="169" formatCode="0.0000"/>
    <numFmt numFmtId="170" formatCode="0.000000%"/>
    <numFmt numFmtId="171" formatCode="0.000"/>
    <numFmt numFmtId="172" formatCode="0.000000"/>
    <numFmt numFmtId="173" formatCode="0.00E+00"/>
    <numFmt numFmtId="174" formatCode="#,##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2"/>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2F5597"/>
        <bgColor rgb="FF1F3864"/>
      </patternFill>
    </fill>
    <fill>
      <patternFill patternType="solid">
        <fgColor rgb="FF1F3864"/>
        <bgColor rgb="FF333333"/>
      </patternFill>
    </fill>
    <fill>
      <patternFill patternType="solid">
        <fgColor rgb="FFFFFF99"/>
        <bgColor rgb="FFFFFFCC"/>
      </patternFill>
    </fill>
    <fill>
      <patternFill patternType="solid">
        <fgColor rgb="FFE2EFDA"/>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9" fontId="8" fillId="4" borderId="0" xfId="0" applyFont="true" applyBorder="false" applyAlignment="false" applyProtection="false">
      <alignment horizontal="general" vertical="bottom" textRotation="0" wrapText="false" indent="0" shrinkToFit="false"/>
      <protection locked="true" hidden="false"/>
    </xf>
    <xf numFmtId="173" fontId="8" fillId="4" borderId="0" xfId="0" applyFont="true" applyBorder="false" applyAlignment="false" applyProtection="false">
      <alignment horizontal="general" vertical="bottom" textRotation="0" wrapText="false" indent="0" shrinkToFit="false"/>
      <protection locked="true" hidden="false"/>
    </xf>
    <xf numFmtId="174" fontId="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38C3F"/>
      <rgbColor rgb="FF800080"/>
      <rgbColor rgb="FF008080"/>
      <rgbColor rgb="FFBFBFBF"/>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B3C992"/>
      <rgbColor rgb="FFFF99CC"/>
      <rgbColor rgb="FFCC99FF"/>
      <rgbColor rgb="FFCCDAB8"/>
      <rgbColor rgb="FF3366FF"/>
      <rgbColor rgb="FF33CCCC"/>
      <rgbColor rgb="FF98B855"/>
      <rgbColor rgb="FFFFCC00"/>
      <rgbColor rgb="FFFF9900"/>
      <rgbColor rgb="FFFF6600"/>
      <rgbColor rgb="FF4F81BD"/>
      <rgbColor rgb="FF87A44B"/>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Empirical vs fitted CDFs (BTC returns)</a:t>
            </a:r>
          </a:p>
        </c:rich>
      </c:tx>
      <c:overlay val="0"/>
      <c:spPr>
        <a:noFill/>
        <a:ln w="0">
          <a:noFill/>
        </a:ln>
      </c:spPr>
    </c:title>
    <c:autoTitleDeleted val="0"/>
    <c:plotArea>
      <c:scatterChart>
        <c:scatterStyle val="line"/>
        <c:varyColors val="0"/>
        <c:ser>
          <c:idx val="0"/>
          <c:order val="0"/>
          <c:tx>
            <c:strRef>
              <c:f>"Empirical"</c:f>
              <c:strCache>
                <c:ptCount val="1"/>
                <c:pt idx="0">
                  <c:v>Empirical</c:v>
                </c:pt>
              </c:strCache>
            </c:strRef>
          </c:tx>
          <c:spPr>
            <a:solidFill>
              <a:srgbClr val="738c3f"/>
            </a:solidFill>
            <a:ln w="47520">
              <a:solidFill>
                <a:srgbClr val="738c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BTC_Fit!$B$37:$B$1036</c:f>
              <c:numCache>
                <c:formatCode>0.0000%</c:formatCode>
                <c:ptCount val="1000"/>
                <c:pt idx="0">
                  <c:v>-0.00540459767562251</c:v>
                </c:pt>
                <c:pt idx="1">
                  <c:v>-0.00513662656395619</c:v>
                </c:pt>
                <c:pt idx="2">
                  <c:v>-0.00484009629879822</c:v>
                </c:pt>
                <c:pt idx="3">
                  <c:v>-0.00434376534633485</c:v>
                </c:pt>
                <c:pt idx="4">
                  <c:v>-0.00423945312351037</c:v>
                </c:pt>
                <c:pt idx="5">
                  <c:v>-0.00419245011043712</c:v>
                </c:pt>
                <c:pt idx="6">
                  <c:v>-0.00407042871523866</c:v>
                </c:pt>
                <c:pt idx="7">
                  <c:v>-0.00380228109993475</c:v>
                </c:pt>
                <c:pt idx="8">
                  <c:v>-0.00379642429465144</c:v>
                </c:pt>
                <c:pt idx="9">
                  <c:v>-0.00359003867696783</c:v>
                </c:pt>
                <c:pt idx="10">
                  <c:v>-0.00345760208480739</c:v>
                </c:pt>
                <c:pt idx="11">
                  <c:v>-0.00333430300896975</c:v>
                </c:pt>
                <c:pt idx="12">
                  <c:v>-0.00332216746339409</c:v>
                </c:pt>
                <c:pt idx="13">
                  <c:v>-0.00322209509831739</c:v>
                </c:pt>
                <c:pt idx="14">
                  <c:v>-0.00317514068497671</c:v>
                </c:pt>
                <c:pt idx="15">
                  <c:v>-0.00306578528733237</c:v>
                </c:pt>
                <c:pt idx="16">
                  <c:v>-0.00300852627159698</c:v>
                </c:pt>
                <c:pt idx="17">
                  <c:v>-0.00300001002830286</c:v>
                </c:pt>
                <c:pt idx="18">
                  <c:v>-0.00298382691337806</c:v>
                </c:pt>
                <c:pt idx="19">
                  <c:v>-0.00294153166093325</c:v>
                </c:pt>
                <c:pt idx="20">
                  <c:v>-0.00284676420137775</c:v>
                </c:pt>
                <c:pt idx="21">
                  <c:v>-0.00282722770309729</c:v>
                </c:pt>
                <c:pt idx="22">
                  <c:v>-0.00278253416086793</c:v>
                </c:pt>
                <c:pt idx="23">
                  <c:v>-0.00277890596350994</c:v>
                </c:pt>
                <c:pt idx="24">
                  <c:v>-0.00276573216990728</c:v>
                </c:pt>
                <c:pt idx="25">
                  <c:v>-0.00270255452720181</c:v>
                </c:pt>
                <c:pt idx="26">
                  <c:v>-0.00270123773010234</c:v>
                </c:pt>
                <c:pt idx="27">
                  <c:v>-0.00256259890404198</c:v>
                </c:pt>
                <c:pt idx="28">
                  <c:v>-0.00254392416473803</c:v>
                </c:pt>
                <c:pt idx="29">
                  <c:v>-0.00253703597225963</c:v>
                </c:pt>
                <c:pt idx="30">
                  <c:v>-0.00253043455567015</c:v>
                </c:pt>
                <c:pt idx="31">
                  <c:v>-0.00250786019524984</c:v>
                </c:pt>
                <c:pt idx="32">
                  <c:v>-0.00249436157958771</c:v>
                </c:pt>
                <c:pt idx="33">
                  <c:v>-0.00237191790952029</c:v>
                </c:pt>
                <c:pt idx="34">
                  <c:v>-0.00236649392356991</c:v>
                </c:pt>
                <c:pt idx="35">
                  <c:v>-0.0023639273101298</c:v>
                </c:pt>
                <c:pt idx="36">
                  <c:v>-0.00234404050081205</c:v>
                </c:pt>
                <c:pt idx="37">
                  <c:v>-0.00233334525492268</c:v>
                </c:pt>
                <c:pt idx="38">
                  <c:v>-0.00226975291626363</c:v>
                </c:pt>
                <c:pt idx="39">
                  <c:v>-0.0022520961614021</c:v>
                </c:pt>
                <c:pt idx="40">
                  <c:v>-0.0022491975940333</c:v>
                </c:pt>
                <c:pt idx="41">
                  <c:v>-0.00223755124262626</c:v>
                </c:pt>
                <c:pt idx="42">
                  <c:v>-0.00222176181636602</c:v>
                </c:pt>
                <c:pt idx="43">
                  <c:v>-0.00219817688880519</c:v>
                </c:pt>
                <c:pt idx="44">
                  <c:v>-0.00219140063011414</c:v>
                </c:pt>
                <c:pt idx="45">
                  <c:v>-0.00217419877801539</c:v>
                </c:pt>
                <c:pt idx="46">
                  <c:v>-0.00216893710230925</c:v>
                </c:pt>
                <c:pt idx="47">
                  <c:v>-0.00216369409353911</c:v>
                </c:pt>
                <c:pt idx="48">
                  <c:v>-0.00212088525486365</c:v>
                </c:pt>
                <c:pt idx="49">
                  <c:v>-0.0020984595114556</c:v>
                </c:pt>
                <c:pt idx="50">
                  <c:v>-0.00209606853770594</c:v>
                </c:pt>
                <c:pt idx="51">
                  <c:v>-0.00209117906202438</c:v>
                </c:pt>
                <c:pt idx="52">
                  <c:v>-0.00208585618844215</c:v>
                </c:pt>
                <c:pt idx="53">
                  <c:v>-0.00207040106637357</c:v>
                </c:pt>
                <c:pt idx="54">
                  <c:v>-0.00206302816046555</c:v>
                </c:pt>
                <c:pt idx="55">
                  <c:v>-0.00205519438386093</c:v>
                </c:pt>
                <c:pt idx="56">
                  <c:v>-0.0020429690022683</c:v>
                </c:pt>
                <c:pt idx="57">
                  <c:v>-0.00203768175795527</c:v>
                </c:pt>
                <c:pt idx="58">
                  <c:v>-0.00201341638097163</c:v>
                </c:pt>
                <c:pt idx="59">
                  <c:v>-0.00199476660178033</c:v>
                </c:pt>
                <c:pt idx="60">
                  <c:v>-0.00198009343199723</c:v>
                </c:pt>
                <c:pt idx="61">
                  <c:v>-0.00197730341752822</c:v>
                </c:pt>
                <c:pt idx="62">
                  <c:v>-0.00195074814197682</c:v>
                </c:pt>
                <c:pt idx="63">
                  <c:v>-0.00193706764542911</c:v>
                </c:pt>
                <c:pt idx="64">
                  <c:v>-0.0019340566032221</c:v>
                </c:pt>
                <c:pt idx="65">
                  <c:v>-0.0019003446679281</c:v>
                </c:pt>
                <c:pt idx="66">
                  <c:v>-0.00185272653943447</c:v>
                </c:pt>
                <c:pt idx="67">
                  <c:v>-0.00182888795982572</c:v>
                </c:pt>
                <c:pt idx="68">
                  <c:v>-0.00181487530845836</c:v>
                </c:pt>
                <c:pt idx="69">
                  <c:v>-0.00180667965582926</c:v>
                </c:pt>
                <c:pt idx="70">
                  <c:v>-0.00174637149936463</c:v>
                </c:pt>
                <c:pt idx="71">
                  <c:v>-0.00174341150918711</c:v>
                </c:pt>
                <c:pt idx="72">
                  <c:v>-0.00167086264008975</c:v>
                </c:pt>
                <c:pt idx="73">
                  <c:v>-0.00164876712663165</c:v>
                </c:pt>
                <c:pt idx="74">
                  <c:v>-0.00161912194044767</c:v>
                </c:pt>
                <c:pt idx="75">
                  <c:v>-0.00160417597594753</c:v>
                </c:pt>
                <c:pt idx="76">
                  <c:v>-0.00160066018860705</c:v>
                </c:pt>
                <c:pt idx="77">
                  <c:v>-0.00160013833003414</c:v>
                </c:pt>
                <c:pt idx="78">
                  <c:v>-0.00159675477298793</c:v>
                </c:pt>
                <c:pt idx="79">
                  <c:v>-0.00159667261910057</c:v>
                </c:pt>
                <c:pt idx="80">
                  <c:v>-0.00156713697868649</c:v>
                </c:pt>
                <c:pt idx="81">
                  <c:v>-0.00156652423089443</c:v>
                </c:pt>
                <c:pt idx="82">
                  <c:v>-0.00154284647444847</c:v>
                </c:pt>
                <c:pt idx="83">
                  <c:v>-0.00153891974543241</c:v>
                </c:pt>
                <c:pt idx="84">
                  <c:v>-0.00152626693955926</c:v>
                </c:pt>
                <c:pt idx="85">
                  <c:v>-0.00150348435895709</c:v>
                </c:pt>
                <c:pt idx="86">
                  <c:v>-0.00150248391742414</c:v>
                </c:pt>
                <c:pt idx="87">
                  <c:v>-0.00149972414863198</c:v>
                </c:pt>
                <c:pt idx="88">
                  <c:v>-0.00149418556949532</c:v>
                </c:pt>
                <c:pt idx="89">
                  <c:v>-0.00149374871177932</c:v>
                </c:pt>
                <c:pt idx="90">
                  <c:v>-0.00148157611618738</c:v>
                </c:pt>
                <c:pt idx="91">
                  <c:v>-0.00147610406921173</c:v>
                </c:pt>
                <c:pt idx="92">
                  <c:v>-0.00145822330932588</c:v>
                </c:pt>
                <c:pt idx="93">
                  <c:v>-0.0014565119540384</c:v>
                </c:pt>
                <c:pt idx="94">
                  <c:v>-0.00144973503359191</c:v>
                </c:pt>
                <c:pt idx="95">
                  <c:v>-0.0014449479587253</c:v>
                </c:pt>
                <c:pt idx="96">
                  <c:v>-0.00143357491148388</c:v>
                </c:pt>
                <c:pt idx="97">
                  <c:v>-0.00143160434045153</c:v>
                </c:pt>
                <c:pt idx="98">
                  <c:v>-0.00142186875915351</c:v>
                </c:pt>
                <c:pt idx="99">
                  <c:v>-0.00141837409138279</c:v>
                </c:pt>
                <c:pt idx="100">
                  <c:v>-0.0014078910704115</c:v>
                </c:pt>
                <c:pt idx="101">
                  <c:v>-0.00140475669450513</c:v>
                </c:pt>
                <c:pt idx="102">
                  <c:v>-0.00140220074576591</c:v>
                </c:pt>
                <c:pt idx="103">
                  <c:v>-0.00139691733774971</c:v>
                </c:pt>
                <c:pt idx="104">
                  <c:v>-0.00139249983155554</c:v>
                </c:pt>
                <c:pt idx="105">
                  <c:v>-0.00138139677770299</c:v>
                </c:pt>
                <c:pt idx="106">
                  <c:v>-0.00137444846898238</c:v>
                </c:pt>
                <c:pt idx="107">
                  <c:v>-0.00136974706796866</c:v>
                </c:pt>
                <c:pt idx="108">
                  <c:v>-0.00136860367278269</c:v>
                </c:pt>
                <c:pt idx="109">
                  <c:v>-0.00135791264473595</c:v>
                </c:pt>
                <c:pt idx="110">
                  <c:v>-0.0013575874274887</c:v>
                </c:pt>
                <c:pt idx="111">
                  <c:v>-0.00135707244253847</c:v>
                </c:pt>
                <c:pt idx="112">
                  <c:v>-0.00134971906392378</c:v>
                </c:pt>
                <c:pt idx="113">
                  <c:v>-0.00134593659411486</c:v>
                </c:pt>
                <c:pt idx="114">
                  <c:v>-0.00132974244327111</c:v>
                </c:pt>
                <c:pt idx="115">
                  <c:v>-0.00132639559813219</c:v>
                </c:pt>
                <c:pt idx="116">
                  <c:v>-0.00131887895945659</c:v>
                </c:pt>
                <c:pt idx="117">
                  <c:v>-0.00131602735896741</c:v>
                </c:pt>
                <c:pt idx="118">
                  <c:v>-0.0013063918995726</c:v>
                </c:pt>
                <c:pt idx="119">
                  <c:v>-0.00129948634323485</c:v>
                </c:pt>
                <c:pt idx="120">
                  <c:v>-0.00129588961163418</c:v>
                </c:pt>
                <c:pt idx="121">
                  <c:v>-0.00129228876330345</c:v>
                </c:pt>
                <c:pt idx="122">
                  <c:v>-0.0012902956444959</c:v>
                </c:pt>
                <c:pt idx="123">
                  <c:v>-0.00128686246573428</c:v>
                </c:pt>
                <c:pt idx="124">
                  <c:v>-0.00128640362222521</c:v>
                </c:pt>
                <c:pt idx="125">
                  <c:v>-0.00127949865868016</c:v>
                </c:pt>
                <c:pt idx="126">
                  <c:v>-0.00127076511335777</c:v>
                </c:pt>
                <c:pt idx="127">
                  <c:v>-0.00127011021662182</c:v>
                </c:pt>
                <c:pt idx="128">
                  <c:v>-0.00126395340184915</c:v>
                </c:pt>
                <c:pt idx="129">
                  <c:v>-0.00125668570319326</c:v>
                </c:pt>
                <c:pt idx="130">
                  <c:v>-0.00125583243108796</c:v>
                </c:pt>
                <c:pt idx="131">
                  <c:v>-0.00124821892138838</c:v>
                </c:pt>
                <c:pt idx="132">
                  <c:v>-0.00124289327950577</c:v>
                </c:pt>
                <c:pt idx="133">
                  <c:v>-0.00124030744354864</c:v>
                </c:pt>
                <c:pt idx="134">
                  <c:v>-0.00123401083380303</c:v>
                </c:pt>
                <c:pt idx="135">
                  <c:v>-0.00122552300310019</c:v>
                </c:pt>
                <c:pt idx="136">
                  <c:v>-0.00121291482913799</c:v>
                </c:pt>
                <c:pt idx="137">
                  <c:v>-0.00120506728904801</c:v>
                </c:pt>
                <c:pt idx="138">
                  <c:v>-0.0012047249135021</c:v>
                </c:pt>
                <c:pt idx="139">
                  <c:v>-0.00120029972228275</c:v>
                </c:pt>
                <c:pt idx="140">
                  <c:v>-0.00119984282793628</c:v>
                </c:pt>
                <c:pt idx="141">
                  <c:v>-0.00119792681362529</c:v>
                </c:pt>
                <c:pt idx="142">
                  <c:v>-0.00118445410422841</c:v>
                </c:pt>
                <c:pt idx="143">
                  <c:v>-0.00118263026974008</c:v>
                </c:pt>
                <c:pt idx="144">
                  <c:v>-0.0011813941949439</c:v>
                </c:pt>
                <c:pt idx="145">
                  <c:v>-0.00116633929056187</c:v>
                </c:pt>
                <c:pt idx="146">
                  <c:v>-0.0011624910855329</c:v>
                </c:pt>
                <c:pt idx="147">
                  <c:v>-0.00115997326675521</c:v>
                </c:pt>
                <c:pt idx="148">
                  <c:v>-0.00115727328674098</c:v>
                </c:pt>
                <c:pt idx="149">
                  <c:v>-0.00114726158973333</c:v>
                </c:pt>
                <c:pt idx="150">
                  <c:v>-0.00114715880047012</c:v>
                </c:pt>
                <c:pt idx="151">
                  <c:v>-0.0011469733458167</c:v>
                </c:pt>
                <c:pt idx="152">
                  <c:v>-0.00114406835322733</c:v>
                </c:pt>
                <c:pt idx="153">
                  <c:v>-0.00114348952674681</c:v>
                </c:pt>
                <c:pt idx="154">
                  <c:v>-0.00113546604466797</c:v>
                </c:pt>
                <c:pt idx="155">
                  <c:v>-0.00112644800467787</c:v>
                </c:pt>
                <c:pt idx="156">
                  <c:v>-0.00112206920378022</c:v>
                </c:pt>
                <c:pt idx="157">
                  <c:v>-0.00112110851806957</c:v>
                </c:pt>
                <c:pt idx="158">
                  <c:v>-0.00112096383457527</c:v>
                </c:pt>
                <c:pt idx="159">
                  <c:v>-0.00111703887868508</c:v>
                </c:pt>
                <c:pt idx="160">
                  <c:v>-0.00111328118751286</c:v>
                </c:pt>
                <c:pt idx="161">
                  <c:v>-0.00110682862719724</c:v>
                </c:pt>
                <c:pt idx="162">
                  <c:v>-0.00109696892227051</c:v>
                </c:pt>
                <c:pt idx="163">
                  <c:v>-0.00109299180712918</c:v>
                </c:pt>
                <c:pt idx="164">
                  <c:v>-0.00108734275382916</c:v>
                </c:pt>
                <c:pt idx="165">
                  <c:v>-0.00108085478445519</c:v>
                </c:pt>
                <c:pt idx="166">
                  <c:v>-0.00107954453657233</c:v>
                </c:pt>
                <c:pt idx="167">
                  <c:v>-0.00106980832820425</c:v>
                </c:pt>
                <c:pt idx="168">
                  <c:v>-0.00106648295944423</c:v>
                </c:pt>
                <c:pt idx="169">
                  <c:v>-0.00106408048470485</c:v>
                </c:pt>
                <c:pt idx="170">
                  <c:v>-0.00106215611932681</c:v>
                </c:pt>
                <c:pt idx="171">
                  <c:v>-0.00106215555279288</c:v>
                </c:pt>
                <c:pt idx="172">
                  <c:v>-0.00105819794707085</c:v>
                </c:pt>
                <c:pt idx="173">
                  <c:v>-0.0010528252230636</c:v>
                </c:pt>
                <c:pt idx="174">
                  <c:v>-0.00105149812906136</c:v>
                </c:pt>
                <c:pt idx="175">
                  <c:v>-0.00103903073654865</c:v>
                </c:pt>
                <c:pt idx="176">
                  <c:v>-0.00102373819193657</c:v>
                </c:pt>
                <c:pt idx="177">
                  <c:v>-0.00101846747020629</c:v>
                </c:pt>
                <c:pt idx="178">
                  <c:v>-0.00101836299367253</c:v>
                </c:pt>
                <c:pt idx="179">
                  <c:v>-0.00101019053904872</c:v>
                </c:pt>
                <c:pt idx="180">
                  <c:v>-0.00100948440929405</c:v>
                </c:pt>
                <c:pt idx="181">
                  <c:v>-0.00100559188964222</c:v>
                </c:pt>
                <c:pt idx="182">
                  <c:v>-0.00100463516218618</c:v>
                </c:pt>
                <c:pt idx="183">
                  <c:v>-0.000999944417252929</c:v>
                </c:pt>
                <c:pt idx="184">
                  <c:v>-0.000996099461972655</c:v>
                </c:pt>
                <c:pt idx="185">
                  <c:v>-0.000995142180612252</c:v>
                </c:pt>
                <c:pt idx="186">
                  <c:v>-0.000994907568254155</c:v>
                </c:pt>
                <c:pt idx="187">
                  <c:v>-0.000992861968805658</c:v>
                </c:pt>
                <c:pt idx="188">
                  <c:v>-0.000987103687290269</c:v>
                </c:pt>
                <c:pt idx="189">
                  <c:v>-0.00096779163906513</c:v>
                </c:pt>
                <c:pt idx="190">
                  <c:v>-0.000964117590738889</c:v>
                </c:pt>
                <c:pt idx="191">
                  <c:v>-0.000955478936995879</c:v>
                </c:pt>
                <c:pt idx="192">
                  <c:v>-0.000955219351931436</c:v>
                </c:pt>
                <c:pt idx="193">
                  <c:v>-0.000954523902902627</c:v>
                </c:pt>
                <c:pt idx="194">
                  <c:v>-0.000946688832304865</c:v>
                </c:pt>
                <c:pt idx="195">
                  <c:v>-0.000935774688649804</c:v>
                </c:pt>
                <c:pt idx="196">
                  <c:v>-0.000932039164934451</c:v>
                </c:pt>
                <c:pt idx="197">
                  <c:v>-0.000927311243710927</c:v>
                </c:pt>
                <c:pt idx="198">
                  <c:v>-0.000923149240634302</c:v>
                </c:pt>
                <c:pt idx="199">
                  <c:v>-0.000922028146212228</c:v>
                </c:pt>
                <c:pt idx="200">
                  <c:v>-0.000914871963423436</c:v>
                </c:pt>
                <c:pt idx="201">
                  <c:v>-0.000912025246672443</c:v>
                </c:pt>
                <c:pt idx="202">
                  <c:v>-0.000901995704729486</c:v>
                </c:pt>
                <c:pt idx="203">
                  <c:v>-0.000893953827525551</c:v>
                </c:pt>
                <c:pt idx="204">
                  <c:v>-0.000891110566904163</c:v>
                </c:pt>
                <c:pt idx="205">
                  <c:v>-0.000883995614228583</c:v>
                </c:pt>
                <c:pt idx="206">
                  <c:v>-0.00088230099176001</c:v>
                </c:pt>
                <c:pt idx="207">
                  <c:v>-0.000878806977899993</c:v>
                </c:pt>
                <c:pt idx="208">
                  <c:v>-0.000873326870473923</c:v>
                </c:pt>
                <c:pt idx="209">
                  <c:v>-0.000863266454418477</c:v>
                </c:pt>
                <c:pt idx="210">
                  <c:v>-0.000856538219256686</c:v>
                </c:pt>
                <c:pt idx="211">
                  <c:v>-0.000849120147455973</c:v>
                </c:pt>
                <c:pt idx="212">
                  <c:v>-0.000840853115053886</c:v>
                </c:pt>
                <c:pt idx="213">
                  <c:v>-0.000839439321090318</c:v>
                </c:pt>
                <c:pt idx="214">
                  <c:v>-0.000832781986267905</c:v>
                </c:pt>
                <c:pt idx="215">
                  <c:v>-0.000826725941648565</c:v>
                </c:pt>
                <c:pt idx="216">
                  <c:v>-0.000825675749459909</c:v>
                </c:pt>
                <c:pt idx="217">
                  <c:v>-0.000825069820301394</c:v>
                </c:pt>
                <c:pt idx="218">
                  <c:v>-0.00081667587583556</c:v>
                </c:pt>
                <c:pt idx="219">
                  <c:v>-0.000815804692167577</c:v>
                </c:pt>
                <c:pt idx="220">
                  <c:v>-0.000815311799097662</c:v>
                </c:pt>
                <c:pt idx="221">
                  <c:v>-0.00081409068209326</c:v>
                </c:pt>
                <c:pt idx="222">
                  <c:v>-0.000813896343583642</c:v>
                </c:pt>
                <c:pt idx="223">
                  <c:v>-0.000805088434934431</c:v>
                </c:pt>
                <c:pt idx="224">
                  <c:v>-0.000794518408263611</c:v>
                </c:pt>
                <c:pt idx="225">
                  <c:v>-0.000793607564729904</c:v>
                </c:pt>
                <c:pt idx="226">
                  <c:v>-0.000790587637237827</c:v>
                </c:pt>
                <c:pt idx="227">
                  <c:v>-0.000784800258013196</c:v>
                </c:pt>
                <c:pt idx="228">
                  <c:v>-0.000772420621988901</c:v>
                </c:pt>
                <c:pt idx="229">
                  <c:v>-0.000771590426861923</c:v>
                </c:pt>
                <c:pt idx="230">
                  <c:v>-0.000761308784245851</c:v>
                </c:pt>
                <c:pt idx="231">
                  <c:v>-0.000753919943169201</c:v>
                </c:pt>
                <c:pt idx="232">
                  <c:v>-0.000748635810960519</c:v>
                </c:pt>
                <c:pt idx="233">
                  <c:v>-0.000716290207650072</c:v>
                </c:pt>
                <c:pt idx="234">
                  <c:v>-0.000711055383938675</c:v>
                </c:pt>
                <c:pt idx="235">
                  <c:v>-0.000709752447283774</c:v>
                </c:pt>
                <c:pt idx="236">
                  <c:v>-0.000705738152316227</c:v>
                </c:pt>
                <c:pt idx="237">
                  <c:v>-0.000700223037921055</c:v>
                </c:pt>
                <c:pt idx="238">
                  <c:v>-0.000698032613252519</c:v>
                </c:pt>
                <c:pt idx="239">
                  <c:v>-0.000693879851533241</c:v>
                </c:pt>
                <c:pt idx="240">
                  <c:v>-0.000688873357348463</c:v>
                </c:pt>
                <c:pt idx="241">
                  <c:v>-0.000688604592878117</c:v>
                </c:pt>
                <c:pt idx="242">
                  <c:v>-0.000687780205535504</c:v>
                </c:pt>
                <c:pt idx="243">
                  <c:v>-0.000683595040359419</c:v>
                </c:pt>
                <c:pt idx="244">
                  <c:v>-0.00068130350637452</c:v>
                </c:pt>
                <c:pt idx="245">
                  <c:v>-0.00067915214799219</c:v>
                </c:pt>
                <c:pt idx="246">
                  <c:v>-0.000673171495660929</c:v>
                </c:pt>
                <c:pt idx="247">
                  <c:v>-0.000672861555582105</c:v>
                </c:pt>
                <c:pt idx="248">
                  <c:v>-0.000669404296004483</c:v>
                </c:pt>
                <c:pt idx="249">
                  <c:v>-0.000666020643527943</c:v>
                </c:pt>
                <c:pt idx="250">
                  <c:v>-0.000657467341875107</c:v>
                </c:pt>
                <c:pt idx="251">
                  <c:v>-0.00065693876407924</c:v>
                </c:pt>
                <c:pt idx="252">
                  <c:v>-0.000655449549465614</c:v>
                </c:pt>
                <c:pt idx="253">
                  <c:v>-0.000654444197574988</c:v>
                </c:pt>
                <c:pt idx="254">
                  <c:v>-0.000651308471843692</c:v>
                </c:pt>
                <c:pt idx="255">
                  <c:v>-0.000647180498764444</c:v>
                </c:pt>
                <c:pt idx="256">
                  <c:v>-0.000646921306491355</c:v>
                </c:pt>
                <c:pt idx="257">
                  <c:v>-0.000642768213629963</c:v>
                </c:pt>
                <c:pt idx="258">
                  <c:v>-0.000641068583375093</c:v>
                </c:pt>
                <c:pt idx="259">
                  <c:v>-0.000638101025577265</c:v>
                </c:pt>
                <c:pt idx="260">
                  <c:v>-0.000631647423424364</c:v>
                </c:pt>
                <c:pt idx="261">
                  <c:v>-0.000629583667891343</c:v>
                </c:pt>
                <c:pt idx="262">
                  <c:v>-0.000626043301186874</c:v>
                </c:pt>
                <c:pt idx="263">
                  <c:v>-0.000615105577846054</c:v>
                </c:pt>
                <c:pt idx="264">
                  <c:v>-0.00061243935554911</c:v>
                </c:pt>
                <c:pt idx="265">
                  <c:v>-0.000612189233640148</c:v>
                </c:pt>
                <c:pt idx="266">
                  <c:v>-0.000611724865569374</c:v>
                </c:pt>
                <c:pt idx="267">
                  <c:v>-0.000610736543212753</c:v>
                </c:pt>
                <c:pt idx="268">
                  <c:v>-0.000608607737226152</c:v>
                </c:pt>
                <c:pt idx="269">
                  <c:v>-0.000602612683877735</c:v>
                </c:pt>
                <c:pt idx="270">
                  <c:v>-0.000590480774909863</c:v>
                </c:pt>
                <c:pt idx="271">
                  <c:v>-0.000587332600639923</c:v>
                </c:pt>
                <c:pt idx="272">
                  <c:v>-0.000580059065289795</c:v>
                </c:pt>
                <c:pt idx="273">
                  <c:v>-0.000572955595458558</c:v>
                </c:pt>
                <c:pt idx="274">
                  <c:v>-0.00056843958936581</c:v>
                </c:pt>
                <c:pt idx="275">
                  <c:v>-0.000566437565942879</c:v>
                </c:pt>
                <c:pt idx="276">
                  <c:v>-0.000564705158343837</c:v>
                </c:pt>
                <c:pt idx="277">
                  <c:v>-0.00055278834704886</c:v>
                </c:pt>
                <c:pt idx="278">
                  <c:v>-0.000552041537528636</c:v>
                </c:pt>
                <c:pt idx="279">
                  <c:v>-0.000547122353045548</c:v>
                </c:pt>
                <c:pt idx="280">
                  <c:v>-0.00054400194985238</c:v>
                </c:pt>
                <c:pt idx="281">
                  <c:v>-0.000538623222938517</c:v>
                </c:pt>
                <c:pt idx="282">
                  <c:v>-0.000528214982514208</c:v>
                </c:pt>
                <c:pt idx="283">
                  <c:v>-0.000528043729244088</c:v>
                </c:pt>
                <c:pt idx="284">
                  <c:v>-0.0005279188752636</c:v>
                </c:pt>
                <c:pt idx="285">
                  <c:v>-0.000519880887574487</c:v>
                </c:pt>
                <c:pt idx="286">
                  <c:v>-0.000518958654947777</c:v>
                </c:pt>
                <c:pt idx="287">
                  <c:v>-0.000517887945973183</c:v>
                </c:pt>
                <c:pt idx="288">
                  <c:v>-0.000517400731332329</c:v>
                </c:pt>
                <c:pt idx="289">
                  <c:v>-0.000511457787571557</c:v>
                </c:pt>
                <c:pt idx="290">
                  <c:v>-0.000509368858554238</c:v>
                </c:pt>
                <c:pt idx="291">
                  <c:v>-0.000507358689627591</c:v>
                </c:pt>
                <c:pt idx="292">
                  <c:v>-0.00050678237980617</c:v>
                </c:pt>
                <c:pt idx="293">
                  <c:v>-0.000501344509786783</c:v>
                </c:pt>
                <c:pt idx="294">
                  <c:v>-0.00049599689141655</c:v>
                </c:pt>
                <c:pt idx="295">
                  <c:v>-0.000495770603684775</c:v>
                </c:pt>
                <c:pt idx="296">
                  <c:v>-0.000495458177748542</c:v>
                </c:pt>
                <c:pt idx="297">
                  <c:v>-0.000487405827558796</c:v>
                </c:pt>
                <c:pt idx="298">
                  <c:v>-0.000483890418363719</c:v>
                </c:pt>
                <c:pt idx="299">
                  <c:v>-0.00047916653496205</c:v>
                </c:pt>
                <c:pt idx="300">
                  <c:v>-0.000475615224972858</c:v>
                </c:pt>
                <c:pt idx="301">
                  <c:v>-0.000475551145073694</c:v>
                </c:pt>
                <c:pt idx="302">
                  <c:v>-0.000473778341847031</c:v>
                </c:pt>
                <c:pt idx="303">
                  <c:v>-0.00047172347440616</c:v>
                </c:pt>
                <c:pt idx="304">
                  <c:v>-0.000470716185701603</c:v>
                </c:pt>
                <c:pt idx="305">
                  <c:v>-0.000469157968034595</c:v>
                </c:pt>
                <c:pt idx="306">
                  <c:v>-0.000462917614204139</c:v>
                </c:pt>
                <c:pt idx="307">
                  <c:v>-0.000461589181700806</c:v>
                </c:pt>
                <c:pt idx="308">
                  <c:v>-0.000456906741761909</c:v>
                </c:pt>
                <c:pt idx="309">
                  <c:v>-0.000455723204238034</c:v>
                </c:pt>
                <c:pt idx="310">
                  <c:v>-0.000455209461300177</c:v>
                </c:pt>
                <c:pt idx="311">
                  <c:v>-0.000453975108064109</c:v>
                </c:pt>
                <c:pt idx="312">
                  <c:v>-0.000453549715144996</c:v>
                </c:pt>
                <c:pt idx="313">
                  <c:v>-0.000447971208750508</c:v>
                </c:pt>
                <c:pt idx="314">
                  <c:v>-0.000446443782664341</c:v>
                </c:pt>
                <c:pt idx="315">
                  <c:v>-0.000445737663554602</c:v>
                </c:pt>
                <c:pt idx="316">
                  <c:v>-0.000442051958711387</c:v>
                </c:pt>
                <c:pt idx="317">
                  <c:v>-0.00043742216349385</c:v>
                </c:pt>
                <c:pt idx="318">
                  <c:v>-0.0004292977454744</c:v>
                </c:pt>
                <c:pt idx="319">
                  <c:v>-0.000429264814008512</c:v>
                </c:pt>
                <c:pt idx="320">
                  <c:v>-0.000427447326856401</c:v>
                </c:pt>
                <c:pt idx="321">
                  <c:v>-0.00042338542860243</c:v>
                </c:pt>
                <c:pt idx="322">
                  <c:v>-0.000422800467472895</c:v>
                </c:pt>
                <c:pt idx="323">
                  <c:v>-0.00041899743235041</c:v>
                </c:pt>
                <c:pt idx="324">
                  <c:v>-0.000417438324705643</c:v>
                </c:pt>
                <c:pt idx="325">
                  <c:v>-0.000417402268225175</c:v>
                </c:pt>
                <c:pt idx="326">
                  <c:v>-0.000413177328637104</c:v>
                </c:pt>
                <c:pt idx="327">
                  <c:v>-0.000412374784320213</c:v>
                </c:pt>
                <c:pt idx="328">
                  <c:v>-0.0004100146858248</c:v>
                </c:pt>
                <c:pt idx="329">
                  <c:v>-0.000409733488470954</c:v>
                </c:pt>
                <c:pt idx="330">
                  <c:v>-0.000409699347729053</c:v>
                </c:pt>
                <c:pt idx="331">
                  <c:v>-0.000408332090353514</c:v>
                </c:pt>
                <c:pt idx="332">
                  <c:v>-0.000407326599404123</c:v>
                </c:pt>
                <c:pt idx="333">
                  <c:v>-0.000406173028754453</c:v>
                </c:pt>
                <c:pt idx="334">
                  <c:v>-0.000404099110748457</c:v>
                </c:pt>
                <c:pt idx="335">
                  <c:v>-0.000397356219496103</c:v>
                </c:pt>
                <c:pt idx="336">
                  <c:v>-0.000394677444521596</c:v>
                </c:pt>
                <c:pt idx="337">
                  <c:v>-0.000394674347403035</c:v>
                </c:pt>
                <c:pt idx="338">
                  <c:v>-0.000386757320398168</c:v>
                </c:pt>
                <c:pt idx="339">
                  <c:v>-0.00038542272171882</c:v>
                </c:pt>
                <c:pt idx="340">
                  <c:v>-0.000380822169662509</c:v>
                </c:pt>
                <c:pt idx="341">
                  <c:v>-0.000378449770388922</c:v>
                </c:pt>
                <c:pt idx="342">
                  <c:v>-0.000374344426630091</c:v>
                </c:pt>
                <c:pt idx="343">
                  <c:v>-0.000371955768358356</c:v>
                </c:pt>
                <c:pt idx="344">
                  <c:v>-0.000369695381214674</c:v>
                </c:pt>
                <c:pt idx="345">
                  <c:v>-0.000365566579232923</c:v>
                </c:pt>
                <c:pt idx="346">
                  <c:v>-0.000364101016563922</c:v>
                </c:pt>
                <c:pt idx="347">
                  <c:v>-0.000362761007468682</c:v>
                </c:pt>
                <c:pt idx="348">
                  <c:v>-0.000351195537884763</c:v>
                </c:pt>
                <c:pt idx="349">
                  <c:v>-0.000350125427433623</c:v>
                </c:pt>
                <c:pt idx="350">
                  <c:v>-0.000348893220712743</c:v>
                </c:pt>
                <c:pt idx="351">
                  <c:v>-0.000348479324572493</c:v>
                </c:pt>
                <c:pt idx="352">
                  <c:v>-0.000345537850625077</c:v>
                </c:pt>
                <c:pt idx="353">
                  <c:v>-0.000343438872995927</c:v>
                </c:pt>
                <c:pt idx="354">
                  <c:v>-0.000342006551929397</c:v>
                </c:pt>
                <c:pt idx="355">
                  <c:v>-0.000340759893243225</c:v>
                </c:pt>
                <c:pt idx="356">
                  <c:v>-0.000338422981599806</c:v>
                </c:pt>
                <c:pt idx="357">
                  <c:v>-0.00033010797486055</c:v>
                </c:pt>
                <c:pt idx="358">
                  <c:v>-0.000330078007744095</c:v>
                </c:pt>
                <c:pt idx="359">
                  <c:v>-0.000329094989384382</c:v>
                </c:pt>
                <c:pt idx="360">
                  <c:v>-0.000326088239123612</c:v>
                </c:pt>
                <c:pt idx="361">
                  <c:v>-0.000309447563600296</c:v>
                </c:pt>
                <c:pt idx="362">
                  <c:v>-0.000294016554567178</c:v>
                </c:pt>
                <c:pt idx="363">
                  <c:v>-0.000291827880237738</c:v>
                </c:pt>
                <c:pt idx="364">
                  <c:v>-0.000291130953869345</c:v>
                </c:pt>
                <c:pt idx="365">
                  <c:v>-0.000285230437424233</c:v>
                </c:pt>
                <c:pt idx="366">
                  <c:v>-0.000283443494577651</c:v>
                </c:pt>
                <c:pt idx="367">
                  <c:v>-0.000282308464410463</c:v>
                </c:pt>
                <c:pt idx="368">
                  <c:v>-0.000279811411952102</c:v>
                </c:pt>
                <c:pt idx="369">
                  <c:v>-0.000279281839816958</c:v>
                </c:pt>
                <c:pt idx="370">
                  <c:v>-0.000277067417919774</c:v>
                </c:pt>
                <c:pt idx="371">
                  <c:v>-0.000269874158609573</c:v>
                </c:pt>
                <c:pt idx="372">
                  <c:v>-0.000269055491459502</c:v>
                </c:pt>
                <c:pt idx="373">
                  <c:v>-0.000268758989859008</c:v>
                </c:pt>
                <c:pt idx="374">
                  <c:v>-0.000267958882026353</c:v>
                </c:pt>
                <c:pt idx="375">
                  <c:v>-0.000265506475789601</c:v>
                </c:pt>
                <c:pt idx="376">
                  <c:v>-0.000264438536576983</c:v>
                </c:pt>
                <c:pt idx="377">
                  <c:v>-0.000262242757484321</c:v>
                </c:pt>
                <c:pt idx="378">
                  <c:v>-0.00026214311822248</c:v>
                </c:pt>
                <c:pt idx="379">
                  <c:v>-0.000260879296305583</c:v>
                </c:pt>
                <c:pt idx="380">
                  <c:v>-0.000255661746834002</c:v>
                </c:pt>
                <c:pt idx="381">
                  <c:v>-0.000253780977195306</c:v>
                </c:pt>
                <c:pt idx="382">
                  <c:v>-0.000253637390058348</c:v>
                </c:pt>
                <c:pt idx="383">
                  <c:v>-0.000249245461221848</c:v>
                </c:pt>
                <c:pt idx="384">
                  <c:v>-0.000248265277308368</c:v>
                </c:pt>
                <c:pt idx="385">
                  <c:v>-0.000244577366435017</c:v>
                </c:pt>
                <c:pt idx="386">
                  <c:v>-0.000239167240592475</c:v>
                </c:pt>
                <c:pt idx="387">
                  <c:v>-0.000236391787201695</c:v>
                </c:pt>
                <c:pt idx="388">
                  <c:v>-0.000235019994889285</c:v>
                </c:pt>
                <c:pt idx="389">
                  <c:v>-0.000229457042205783</c:v>
                </c:pt>
                <c:pt idx="390">
                  <c:v>-0.000228611534596301</c:v>
                </c:pt>
                <c:pt idx="391">
                  <c:v>-0.000218157718534173</c:v>
                </c:pt>
                <c:pt idx="392">
                  <c:v>-0.000217697599548483</c:v>
                </c:pt>
                <c:pt idx="393">
                  <c:v>-0.000215270150935476</c:v>
                </c:pt>
                <c:pt idx="394">
                  <c:v>-0.000214182461022783</c:v>
                </c:pt>
                <c:pt idx="395">
                  <c:v>-0.000214146272785709</c:v>
                </c:pt>
                <c:pt idx="396">
                  <c:v>-0.000212989290938048</c:v>
                </c:pt>
                <c:pt idx="397">
                  <c:v>-0.000212139313625626</c:v>
                </c:pt>
                <c:pt idx="398">
                  <c:v>-0.000209502091760738</c:v>
                </c:pt>
                <c:pt idx="399">
                  <c:v>-0.000207746351190474</c:v>
                </c:pt>
                <c:pt idx="400">
                  <c:v>-0.000206291998777974</c:v>
                </c:pt>
                <c:pt idx="401">
                  <c:v>-0.000204092382026566</c:v>
                </c:pt>
                <c:pt idx="402">
                  <c:v>-0.000199814029335332</c:v>
                </c:pt>
                <c:pt idx="403">
                  <c:v>-0.000197788010791844</c:v>
                </c:pt>
                <c:pt idx="404">
                  <c:v>-0.000191799937306225</c:v>
                </c:pt>
                <c:pt idx="405">
                  <c:v>-0.000189972496003055</c:v>
                </c:pt>
                <c:pt idx="406">
                  <c:v>-0.000186575050907578</c:v>
                </c:pt>
                <c:pt idx="407">
                  <c:v>-0.000183136972180087</c:v>
                </c:pt>
                <c:pt idx="408">
                  <c:v>-0.000183093618883579</c:v>
                </c:pt>
                <c:pt idx="409">
                  <c:v>-0.000181847660803314</c:v>
                </c:pt>
                <c:pt idx="410">
                  <c:v>-0.000181279649976607</c:v>
                </c:pt>
                <c:pt idx="411">
                  <c:v>-0.000180496649826667</c:v>
                </c:pt>
                <c:pt idx="412">
                  <c:v>-0.000175145839282798</c:v>
                </c:pt>
                <c:pt idx="413">
                  <c:v>-0.000174640673465398</c:v>
                </c:pt>
                <c:pt idx="414">
                  <c:v>-0.000172970214511015</c:v>
                </c:pt>
                <c:pt idx="415">
                  <c:v>-0.000170811271693383</c:v>
                </c:pt>
                <c:pt idx="416">
                  <c:v>-0.000169807771439823</c:v>
                </c:pt>
                <c:pt idx="417">
                  <c:v>-0.000165952471834707</c:v>
                </c:pt>
                <c:pt idx="418">
                  <c:v>-0.000164957781747077</c:v>
                </c:pt>
                <c:pt idx="419">
                  <c:v>-0.000164212977358136</c:v>
                </c:pt>
                <c:pt idx="420">
                  <c:v>-0.000163608087910938</c:v>
                </c:pt>
                <c:pt idx="421">
                  <c:v>-0.000160347754356582</c:v>
                </c:pt>
                <c:pt idx="422">
                  <c:v>-0.000159900180559225</c:v>
                </c:pt>
                <c:pt idx="423">
                  <c:v>-0.000158819845446301</c:v>
                </c:pt>
                <c:pt idx="424">
                  <c:v>-0.00015847545466019</c:v>
                </c:pt>
                <c:pt idx="425">
                  <c:v>-0.000156097000261424</c:v>
                </c:pt>
                <c:pt idx="426">
                  <c:v>-0.00014439906864061</c:v>
                </c:pt>
                <c:pt idx="427">
                  <c:v>-0.000140144829489541</c:v>
                </c:pt>
                <c:pt idx="428">
                  <c:v>-0.000132964488624543</c:v>
                </c:pt>
                <c:pt idx="429">
                  <c:v>-0.000132770390916082</c:v>
                </c:pt>
                <c:pt idx="430">
                  <c:v>-0.000131377508983066</c:v>
                </c:pt>
                <c:pt idx="431">
                  <c:v>-0.000129543122637688</c:v>
                </c:pt>
                <c:pt idx="432">
                  <c:v>-0.000127857958503674</c:v>
                </c:pt>
                <c:pt idx="433">
                  <c:v>-0.00012623806572043</c:v>
                </c:pt>
                <c:pt idx="434">
                  <c:v>-0.00012513699737049</c:v>
                </c:pt>
                <c:pt idx="435">
                  <c:v>-0.000121790575143388</c:v>
                </c:pt>
                <c:pt idx="436">
                  <c:v>-0.000120891841840387</c:v>
                </c:pt>
                <c:pt idx="437">
                  <c:v>-0.000119346346930227</c:v>
                </c:pt>
                <c:pt idx="438">
                  <c:v>-0.000119169775001593</c:v>
                </c:pt>
                <c:pt idx="439">
                  <c:v>-0.000118350914956378</c:v>
                </c:pt>
                <c:pt idx="440">
                  <c:v>-0.000117346157344045</c:v>
                </c:pt>
                <c:pt idx="441">
                  <c:v>-0.000117278579918056</c:v>
                </c:pt>
                <c:pt idx="442">
                  <c:v>-0.000114866179645179</c:v>
                </c:pt>
                <c:pt idx="443">
                  <c:v>-0.000110328858176856</c:v>
                </c:pt>
                <c:pt idx="444">
                  <c:v>-0.000108087681649605</c:v>
                </c:pt>
                <c:pt idx="445">
                  <c:v>-0.00010255191089048</c:v>
                </c:pt>
                <c:pt idx="446">
                  <c:v>-9.84150978152742E-005</c:v>
                </c:pt>
                <c:pt idx="447">
                  <c:v>-9.83397448822698E-005</c:v>
                </c:pt>
                <c:pt idx="448">
                  <c:v>-9.61069871324716E-005</c:v>
                </c:pt>
                <c:pt idx="449">
                  <c:v>-9.51011855971906E-005</c:v>
                </c:pt>
                <c:pt idx="450">
                  <c:v>-9.40509603953865E-005</c:v>
                </c:pt>
                <c:pt idx="451">
                  <c:v>-8.82909615477212E-005</c:v>
                </c:pt>
                <c:pt idx="452">
                  <c:v>-8.70673082077333E-005</c:v>
                </c:pt>
                <c:pt idx="453">
                  <c:v>-8.62358301317867E-005</c:v>
                </c:pt>
                <c:pt idx="454">
                  <c:v>-8.59594624524895E-005</c:v>
                </c:pt>
                <c:pt idx="455">
                  <c:v>-8.46465594057655E-005</c:v>
                </c:pt>
                <c:pt idx="456">
                  <c:v>-8.3335918034444E-005</c:v>
                </c:pt>
                <c:pt idx="457">
                  <c:v>-7.78909283103424E-005</c:v>
                </c:pt>
                <c:pt idx="458">
                  <c:v>-7.78662790332785E-005</c:v>
                </c:pt>
                <c:pt idx="459">
                  <c:v>-7.71643587705873E-005</c:v>
                </c:pt>
                <c:pt idx="460">
                  <c:v>-7.35342780778803E-005</c:v>
                </c:pt>
                <c:pt idx="461">
                  <c:v>-7.13762870530044E-005</c:v>
                </c:pt>
                <c:pt idx="462">
                  <c:v>-6.95850437703038E-005</c:v>
                </c:pt>
                <c:pt idx="463">
                  <c:v>-6.53696778498691E-005</c:v>
                </c:pt>
                <c:pt idx="464">
                  <c:v>-6.52892577859277E-005</c:v>
                </c:pt>
                <c:pt idx="465">
                  <c:v>-6.34105110565164E-005</c:v>
                </c:pt>
                <c:pt idx="466">
                  <c:v>-6.19877586316431E-005</c:v>
                </c:pt>
                <c:pt idx="467">
                  <c:v>-6.07246309731746E-005</c:v>
                </c:pt>
                <c:pt idx="468">
                  <c:v>-6.02231039068535E-005</c:v>
                </c:pt>
                <c:pt idx="469">
                  <c:v>-5.87218391423505E-005</c:v>
                </c:pt>
                <c:pt idx="470">
                  <c:v>-5.80649643578957E-005</c:v>
                </c:pt>
                <c:pt idx="471">
                  <c:v>-5.69817741666867E-005</c:v>
                </c:pt>
                <c:pt idx="472">
                  <c:v>-5.65455006215077E-005</c:v>
                </c:pt>
                <c:pt idx="473">
                  <c:v>-5.6074379681581E-005</c:v>
                </c:pt>
                <c:pt idx="474">
                  <c:v>-5.35924328880499E-005</c:v>
                </c:pt>
                <c:pt idx="475">
                  <c:v>-4.90265581795102E-005</c:v>
                </c:pt>
                <c:pt idx="476">
                  <c:v>-4.78056721268105E-005</c:v>
                </c:pt>
                <c:pt idx="477">
                  <c:v>-4.77332681840803E-005</c:v>
                </c:pt>
                <c:pt idx="478">
                  <c:v>-4.48227600654549E-005</c:v>
                </c:pt>
                <c:pt idx="479">
                  <c:v>-4.37903589444177E-005</c:v>
                </c:pt>
                <c:pt idx="480">
                  <c:v>-4.14351188847695E-005</c:v>
                </c:pt>
                <c:pt idx="481">
                  <c:v>-4.07268333192379E-005</c:v>
                </c:pt>
                <c:pt idx="482">
                  <c:v>-3.79222937230139E-005</c:v>
                </c:pt>
                <c:pt idx="483">
                  <c:v>-3.6996574684145E-005</c:v>
                </c:pt>
                <c:pt idx="484">
                  <c:v>-3.50287164132546E-005</c:v>
                </c:pt>
                <c:pt idx="485">
                  <c:v>-3.39455277120759E-005</c:v>
                </c:pt>
                <c:pt idx="486">
                  <c:v>-3.2945038714316E-005</c:v>
                </c:pt>
                <c:pt idx="487">
                  <c:v>-3.24367636260758E-005</c:v>
                </c:pt>
                <c:pt idx="488">
                  <c:v>-3.19284553402799E-005</c:v>
                </c:pt>
                <c:pt idx="489">
                  <c:v>-2.43444998455633E-005</c:v>
                </c:pt>
                <c:pt idx="490">
                  <c:v>-2.07862416602422E-005</c:v>
                </c:pt>
                <c:pt idx="491">
                  <c:v>-1.91014394448352E-005</c:v>
                </c:pt>
                <c:pt idx="492">
                  <c:v>-1.87362593258023E-005</c:v>
                </c:pt>
                <c:pt idx="493">
                  <c:v>-1.78148990557236E-005</c:v>
                </c:pt>
                <c:pt idx="494">
                  <c:v>-1.70645750984244E-005</c:v>
                </c:pt>
                <c:pt idx="495">
                  <c:v>-1.68900392881755E-005</c:v>
                </c:pt>
                <c:pt idx="496">
                  <c:v>-1.42415335526724E-005</c:v>
                </c:pt>
                <c:pt idx="497">
                  <c:v>-1.21644111501507E-005</c:v>
                </c:pt>
                <c:pt idx="498">
                  <c:v>-1.08821040597507E-005</c:v>
                </c:pt>
                <c:pt idx="499">
                  <c:v>-1.06040138776464E-005</c:v>
                </c:pt>
                <c:pt idx="500">
                  <c:v>-8.12250669057768E-006</c:v>
                </c:pt>
                <c:pt idx="501">
                  <c:v>-5.57313722515662E-006</c:v>
                </c:pt>
                <c:pt idx="502">
                  <c:v>-2.12498362073266E-006</c:v>
                </c:pt>
                <c:pt idx="503">
                  <c:v>1.34361425518925E-006</c:v>
                </c:pt>
                <c:pt idx="504">
                  <c:v>1.88116651034242E-006</c:v>
                </c:pt>
                <c:pt idx="505">
                  <c:v>6.56295889767122E-006</c:v>
                </c:pt>
                <c:pt idx="506">
                  <c:v>8.1835244958306E-006</c:v>
                </c:pt>
                <c:pt idx="507">
                  <c:v>8.19695750298166E-006</c:v>
                </c:pt>
                <c:pt idx="508">
                  <c:v>8.67228717038593E-006</c:v>
                </c:pt>
                <c:pt idx="509">
                  <c:v>1.14720898896081E-005</c:v>
                </c:pt>
                <c:pt idx="510">
                  <c:v>1.321993842196E-005</c:v>
                </c:pt>
                <c:pt idx="511">
                  <c:v>1.48255186225299E-005</c:v>
                </c:pt>
                <c:pt idx="512">
                  <c:v>1.51587090739813E-005</c:v>
                </c:pt>
                <c:pt idx="513">
                  <c:v>2.32102251376265E-005</c:v>
                </c:pt>
                <c:pt idx="514">
                  <c:v>2.32348764870327E-005</c:v>
                </c:pt>
                <c:pt idx="515">
                  <c:v>2.59728155820316E-005</c:v>
                </c:pt>
                <c:pt idx="516">
                  <c:v>2.66420213974605E-005</c:v>
                </c:pt>
                <c:pt idx="517">
                  <c:v>2.67270031011346E-005</c:v>
                </c:pt>
                <c:pt idx="518">
                  <c:v>2.75185640656872E-005</c:v>
                </c:pt>
                <c:pt idx="519">
                  <c:v>2.9433144193014E-005</c:v>
                </c:pt>
                <c:pt idx="520">
                  <c:v>3.11775238999168E-005</c:v>
                </c:pt>
                <c:pt idx="521">
                  <c:v>3.23568594557955E-005</c:v>
                </c:pt>
                <c:pt idx="522">
                  <c:v>3.45999790591911E-005</c:v>
                </c:pt>
                <c:pt idx="523">
                  <c:v>3.71682159341358E-005</c:v>
                </c:pt>
                <c:pt idx="524">
                  <c:v>3.7253606548715E-005</c:v>
                </c:pt>
                <c:pt idx="525">
                  <c:v>3.80044671697277E-005</c:v>
                </c:pt>
                <c:pt idx="526">
                  <c:v>4.05216516572438E-005</c:v>
                </c:pt>
                <c:pt idx="527">
                  <c:v>4.16845805195631E-005</c:v>
                </c:pt>
                <c:pt idx="528">
                  <c:v>4.38057105838219E-005</c:v>
                </c:pt>
                <c:pt idx="529">
                  <c:v>4.63324334709636E-005</c:v>
                </c:pt>
                <c:pt idx="530">
                  <c:v>5.48104451749687E-005</c:v>
                </c:pt>
                <c:pt idx="531">
                  <c:v>5.5207477208219E-005</c:v>
                </c:pt>
                <c:pt idx="532">
                  <c:v>5.71619796900791E-005</c:v>
                </c:pt>
                <c:pt idx="533">
                  <c:v>5.73147561651055E-005</c:v>
                </c:pt>
                <c:pt idx="534">
                  <c:v>5.83918540966177E-005</c:v>
                </c:pt>
                <c:pt idx="535">
                  <c:v>5.93086128446441E-005</c:v>
                </c:pt>
                <c:pt idx="536">
                  <c:v>6.09118497809646E-005</c:v>
                </c:pt>
                <c:pt idx="537">
                  <c:v>6.61610011292169E-005</c:v>
                </c:pt>
                <c:pt idx="538">
                  <c:v>6.73849202017518E-005</c:v>
                </c:pt>
                <c:pt idx="539">
                  <c:v>6.7632588305333E-005</c:v>
                </c:pt>
                <c:pt idx="540">
                  <c:v>6.83468937321408E-005</c:v>
                </c:pt>
                <c:pt idx="541">
                  <c:v>7.41187730310955E-005</c:v>
                </c:pt>
                <c:pt idx="542">
                  <c:v>7.67172144111594E-005</c:v>
                </c:pt>
                <c:pt idx="543">
                  <c:v>7.96813040395694E-005</c:v>
                </c:pt>
                <c:pt idx="544">
                  <c:v>9.31146005573869E-005</c:v>
                </c:pt>
                <c:pt idx="545">
                  <c:v>0.000100639967808291</c:v>
                </c:pt>
                <c:pt idx="546">
                  <c:v>0.000100827713540363</c:v>
                </c:pt>
                <c:pt idx="547">
                  <c:v>0.000101056883222039</c:v>
                </c:pt>
                <c:pt idx="548">
                  <c:v>0.000101938387599088</c:v>
                </c:pt>
                <c:pt idx="549">
                  <c:v>0.000102014219061086</c:v>
                </c:pt>
                <c:pt idx="550">
                  <c:v>0.000102935289285178</c:v>
                </c:pt>
                <c:pt idx="551">
                  <c:v>0.00010369919040909</c:v>
                </c:pt>
                <c:pt idx="552">
                  <c:v>0.000104038476253177</c:v>
                </c:pt>
                <c:pt idx="553">
                  <c:v>0.000104585749114872</c:v>
                </c:pt>
                <c:pt idx="554">
                  <c:v>0.000105288792180636</c:v>
                </c:pt>
                <c:pt idx="555">
                  <c:v>0.000105809679440405</c:v>
                </c:pt>
                <c:pt idx="556">
                  <c:v>0.000106848048045061</c:v>
                </c:pt>
                <c:pt idx="557">
                  <c:v>0.000108997772098718</c:v>
                </c:pt>
                <c:pt idx="558">
                  <c:v>0.000113427204528449</c:v>
                </c:pt>
                <c:pt idx="559">
                  <c:v>0.000118100582547909</c:v>
                </c:pt>
                <c:pt idx="560">
                  <c:v>0.00011950021827567</c:v>
                </c:pt>
                <c:pt idx="561">
                  <c:v>0.000125231287739558</c:v>
                </c:pt>
                <c:pt idx="562">
                  <c:v>0.000125826819758812</c:v>
                </c:pt>
                <c:pt idx="563">
                  <c:v>0.000126934013617186</c:v>
                </c:pt>
                <c:pt idx="564">
                  <c:v>0.0001293549424497</c:v>
                </c:pt>
                <c:pt idx="565">
                  <c:v>0.000133105108225839</c:v>
                </c:pt>
                <c:pt idx="566">
                  <c:v>0.000134089106689217</c:v>
                </c:pt>
                <c:pt idx="567">
                  <c:v>0.000135604279701163</c:v>
                </c:pt>
                <c:pt idx="568">
                  <c:v>0.000138323988113642</c:v>
                </c:pt>
                <c:pt idx="569">
                  <c:v>0.000139356464731844</c:v>
                </c:pt>
                <c:pt idx="570">
                  <c:v>0.000140811085537429</c:v>
                </c:pt>
                <c:pt idx="571">
                  <c:v>0.000140849803077936</c:v>
                </c:pt>
                <c:pt idx="572">
                  <c:v>0.000140895761907345</c:v>
                </c:pt>
                <c:pt idx="573">
                  <c:v>0.000145993803825961</c:v>
                </c:pt>
                <c:pt idx="574">
                  <c:v>0.000152677596164885</c:v>
                </c:pt>
                <c:pt idx="575">
                  <c:v>0.000155249816608638</c:v>
                </c:pt>
                <c:pt idx="576">
                  <c:v>0.00015904055463789</c:v>
                </c:pt>
                <c:pt idx="577">
                  <c:v>0.000159192299708399</c:v>
                </c:pt>
                <c:pt idx="578">
                  <c:v>0.000159314963623869</c:v>
                </c:pt>
                <c:pt idx="579">
                  <c:v>0.000165747367146585</c:v>
                </c:pt>
                <c:pt idx="580">
                  <c:v>0.000166024658873498</c:v>
                </c:pt>
                <c:pt idx="581">
                  <c:v>0.000166911702775163</c:v>
                </c:pt>
                <c:pt idx="582">
                  <c:v>0.000170836102666438</c:v>
                </c:pt>
                <c:pt idx="583">
                  <c:v>0.000172310848246093</c:v>
                </c:pt>
                <c:pt idx="584">
                  <c:v>0.000173441977600719</c:v>
                </c:pt>
                <c:pt idx="585">
                  <c:v>0.000174796209959194</c:v>
                </c:pt>
                <c:pt idx="586">
                  <c:v>0.00017489423461492</c:v>
                </c:pt>
                <c:pt idx="587">
                  <c:v>0.000178765237498713</c:v>
                </c:pt>
                <c:pt idx="588">
                  <c:v>0.000179037183056785</c:v>
                </c:pt>
                <c:pt idx="589">
                  <c:v>0.000179312700626655</c:v>
                </c:pt>
                <c:pt idx="590">
                  <c:v>0.000180250647530356</c:v>
                </c:pt>
                <c:pt idx="591">
                  <c:v>0.000180617424873075</c:v>
                </c:pt>
                <c:pt idx="592">
                  <c:v>0.000181112266034678</c:v>
                </c:pt>
                <c:pt idx="593">
                  <c:v>0.000186720207347113</c:v>
                </c:pt>
                <c:pt idx="594">
                  <c:v>0.000187048248232236</c:v>
                </c:pt>
                <c:pt idx="595">
                  <c:v>0.000188392796822923</c:v>
                </c:pt>
                <c:pt idx="596">
                  <c:v>0.00018868819120299</c:v>
                </c:pt>
                <c:pt idx="597">
                  <c:v>0.000190121217842121</c:v>
                </c:pt>
                <c:pt idx="598">
                  <c:v>0.000191241345961268</c:v>
                </c:pt>
                <c:pt idx="599">
                  <c:v>0.000191970002783703</c:v>
                </c:pt>
                <c:pt idx="600">
                  <c:v>0.000197410621752381</c:v>
                </c:pt>
                <c:pt idx="601">
                  <c:v>0.00019943862369165</c:v>
                </c:pt>
                <c:pt idx="602">
                  <c:v>0.000199921159935501</c:v>
                </c:pt>
                <c:pt idx="603">
                  <c:v>0.000202483963200883</c:v>
                </c:pt>
                <c:pt idx="604">
                  <c:v>0.000202720684659541</c:v>
                </c:pt>
                <c:pt idx="605">
                  <c:v>0.000204828893944686</c:v>
                </c:pt>
                <c:pt idx="606">
                  <c:v>0.000207846986284066</c:v>
                </c:pt>
                <c:pt idx="607">
                  <c:v>0.000208572468305634</c:v>
                </c:pt>
                <c:pt idx="608">
                  <c:v>0.000214261260985449</c:v>
                </c:pt>
                <c:pt idx="609">
                  <c:v>0.000214471182714338</c:v>
                </c:pt>
                <c:pt idx="610">
                  <c:v>0.000219311855430338</c:v>
                </c:pt>
                <c:pt idx="611">
                  <c:v>0.000220708931366387</c:v>
                </c:pt>
                <c:pt idx="612">
                  <c:v>0.000225393151023434</c:v>
                </c:pt>
                <c:pt idx="613">
                  <c:v>0.000225901717385124</c:v>
                </c:pt>
                <c:pt idx="614">
                  <c:v>0.000227191473612054</c:v>
                </c:pt>
                <c:pt idx="615">
                  <c:v>0.000233781495233343</c:v>
                </c:pt>
                <c:pt idx="616">
                  <c:v>0.000237951145328319</c:v>
                </c:pt>
                <c:pt idx="617">
                  <c:v>0.000238293153098423</c:v>
                </c:pt>
                <c:pt idx="618">
                  <c:v>0.00023933481929217</c:v>
                </c:pt>
                <c:pt idx="619">
                  <c:v>0.000244904436482285</c:v>
                </c:pt>
                <c:pt idx="620">
                  <c:v>0.000247347799137376</c:v>
                </c:pt>
                <c:pt idx="621">
                  <c:v>0.000247843422072513</c:v>
                </c:pt>
                <c:pt idx="622">
                  <c:v>0.000251251238647443</c:v>
                </c:pt>
                <c:pt idx="623">
                  <c:v>0.000251500405556104</c:v>
                </c:pt>
                <c:pt idx="624">
                  <c:v>0.000253427370721759</c:v>
                </c:pt>
                <c:pt idx="625">
                  <c:v>0.000261343392722324</c:v>
                </c:pt>
                <c:pt idx="626">
                  <c:v>0.000264475248716867</c:v>
                </c:pt>
                <c:pt idx="627">
                  <c:v>0.000271018556090352</c:v>
                </c:pt>
                <c:pt idx="628">
                  <c:v>0.000271676498972306</c:v>
                </c:pt>
                <c:pt idx="629">
                  <c:v>0.000273017483058302</c:v>
                </c:pt>
                <c:pt idx="630">
                  <c:v>0.000275044542065617</c:v>
                </c:pt>
                <c:pt idx="631">
                  <c:v>0.000278124793800627</c:v>
                </c:pt>
                <c:pt idx="632">
                  <c:v>0.000280212901361043</c:v>
                </c:pt>
                <c:pt idx="633">
                  <c:v>0.000280710301432841</c:v>
                </c:pt>
                <c:pt idx="634">
                  <c:v>0.000282105357447326</c:v>
                </c:pt>
                <c:pt idx="635">
                  <c:v>0.000282320927886603</c:v>
                </c:pt>
                <c:pt idx="636">
                  <c:v>0.00028254624591284</c:v>
                </c:pt>
                <c:pt idx="637">
                  <c:v>0.000286715352247224</c:v>
                </c:pt>
                <c:pt idx="638">
                  <c:v>0.000288366743304014</c:v>
                </c:pt>
                <c:pt idx="639">
                  <c:v>0.000289651782900524</c:v>
                </c:pt>
                <c:pt idx="640">
                  <c:v>0.000293186113205612</c:v>
                </c:pt>
                <c:pt idx="641">
                  <c:v>0.000294560093067053</c:v>
                </c:pt>
                <c:pt idx="642">
                  <c:v>0.000297878349745151</c:v>
                </c:pt>
                <c:pt idx="643">
                  <c:v>0.000301877172305121</c:v>
                </c:pt>
                <c:pt idx="644">
                  <c:v>0.000305370810753436</c:v>
                </c:pt>
                <c:pt idx="645">
                  <c:v>0.000315751654564211</c:v>
                </c:pt>
                <c:pt idx="646">
                  <c:v>0.000318813924019556</c:v>
                </c:pt>
                <c:pt idx="647">
                  <c:v>0.000319037952631884</c:v>
                </c:pt>
                <c:pt idx="648">
                  <c:v>0.000320607777505755</c:v>
                </c:pt>
                <c:pt idx="649">
                  <c:v>0.000321325859045762</c:v>
                </c:pt>
                <c:pt idx="650">
                  <c:v>0.000325989632460111</c:v>
                </c:pt>
                <c:pt idx="651">
                  <c:v>0.000327286644017155</c:v>
                </c:pt>
                <c:pt idx="652">
                  <c:v>0.000327510658174823</c:v>
                </c:pt>
                <c:pt idx="653">
                  <c:v>0.000327678169951051</c:v>
                </c:pt>
                <c:pt idx="654">
                  <c:v>0.000328549221173091</c:v>
                </c:pt>
                <c:pt idx="655">
                  <c:v>0.000329889025097785</c:v>
                </c:pt>
                <c:pt idx="656">
                  <c:v>0.000331615891467463</c:v>
                </c:pt>
                <c:pt idx="657">
                  <c:v>0.00033727639427017</c:v>
                </c:pt>
                <c:pt idx="658">
                  <c:v>0.000341450716041525</c:v>
                </c:pt>
                <c:pt idx="659">
                  <c:v>0.000345572499385494</c:v>
                </c:pt>
                <c:pt idx="660">
                  <c:v>0.000351507269595874</c:v>
                </c:pt>
                <c:pt idx="661">
                  <c:v>0.000352177370296136</c:v>
                </c:pt>
                <c:pt idx="662">
                  <c:v>0.000354716157566326</c:v>
                </c:pt>
                <c:pt idx="663">
                  <c:v>0.000356734777246404</c:v>
                </c:pt>
                <c:pt idx="664">
                  <c:v>0.00035858721881743</c:v>
                </c:pt>
                <c:pt idx="665">
                  <c:v>0.000360030779313014</c:v>
                </c:pt>
                <c:pt idx="666">
                  <c:v>0.000362274743003876</c:v>
                </c:pt>
                <c:pt idx="667">
                  <c:v>0.000369620249679903</c:v>
                </c:pt>
                <c:pt idx="668">
                  <c:v>0.000373450876423265</c:v>
                </c:pt>
                <c:pt idx="669">
                  <c:v>0.000374526901615102</c:v>
                </c:pt>
                <c:pt idx="670">
                  <c:v>0.000377332040359502</c:v>
                </c:pt>
                <c:pt idx="671">
                  <c:v>0.000378373747093042</c:v>
                </c:pt>
                <c:pt idx="672">
                  <c:v>0.000380099564142533</c:v>
                </c:pt>
                <c:pt idx="673">
                  <c:v>0.000386585727225386</c:v>
                </c:pt>
                <c:pt idx="674">
                  <c:v>0.000388545927646256</c:v>
                </c:pt>
                <c:pt idx="675">
                  <c:v>0.000394055281483618</c:v>
                </c:pt>
                <c:pt idx="676">
                  <c:v>0.00039500103559198</c:v>
                </c:pt>
                <c:pt idx="677">
                  <c:v>0.000395097270480038</c:v>
                </c:pt>
                <c:pt idx="678">
                  <c:v>0.000403669496403136</c:v>
                </c:pt>
                <c:pt idx="679">
                  <c:v>0.000408703395298637</c:v>
                </c:pt>
                <c:pt idx="680">
                  <c:v>0.000408953683564084</c:v>
                </c:pt>
                <c:pt idx="681">
                  <c:v>0.000410278643858675</c:v>
                </c:pt>
                <c:pt idx="682">
                  <c:v>0.000410861809230445</c:v>
                </c:pt>
                <c:pt idx="683">
                  <c:v>0.000414577993682608</c:v>
                </c:pt>
                <c:pt idx="684">
                  <c:v>0.000417955966003802</c:v>
                </c:pt>
                <c:pt idx="685">
                  <c:v>0.000418964704318903</c:v>
                </c:pt>
                <c:pt idx="686">
                  <c:v>0.000423477682543805</c:v>
                </c:pt>
                <c:pt idx="687">
                  <c:v>0.000439264048729848</c:v>
                </c:pt>
                <c:pt idx="688">
                  <c:v>0.000442690347912444</c:v>
                </c:pt>
                <c:pt idx="689">
                  <c:v>0.000444270848725115</c:v>
                </c:pt>
                <c:pt idx="690">
                  <c:v>0.000448770288041356</c:v>
                </c:pt>
                <c:pt idx="691">
                  <c:v>0.000451876247760774</c:v>
                </c:pt>
                <c:pt idx="692">
                  <c:v>0.000454124717359505</c:v>
                </c:pt>
                <c:pt idx="693">
                  <c:v>0.000454332461996998</c:v>
                </c:pt>
                <c:pt idx="694">
                  <c:v>0.000458867352170156</c:v>
                </c:pt>
                <c:pt idx="695">
                  <c:v>0.000459068912602501</c:v>
                </c:pt>
                <c:pt idx="696">
                  <c:v>0.000460535693259212</c:v>
                </c:pt>
                <c:pt idx="697">
                  <c:v>0.000462389899331894</c:v>
                </c:pt>
                <c:pt idx="698">
                  <c:v>0.000465770294052481</c:v>
                </c:pt>
                <c:pt idx="699">
                  <c:v>0.000468894344841653</c:v>
                </c:pt>
                <c:pt idx="700">
                  <c:v>0.000475375235061248</c:v>
                </c:pt>
                <c:pt idx="701">
                  <c:v>0.0004761087243772</c:v>
                </c:pt>
                <c:pt idx="702">
                  <c:v>0.000484346522678925</c:v>
                </c:pt>
                <c:pt idx="703">
                  <c:v>0.00048895213526623</c:v>
                </c:pt>
                <c:pt idx="704">
                  <c:v>0.0004899619943739</c:v>
                </c:pt>
                <c:pt idx="705">
                  <c:v>0.000491019292753414</c:v>
                </c:pt>
                <c:pt idx="706">
                  <c:v>0.000495102576094864</c:v>
                </c:pt>
                <c:pt idx="707">
                  <c:v>0.000500427244500834</c:v>
                </c:pt>
                <c:pt idx="708">
                  <c:v>0.000507188855784602</c:v>
                </c:pt>
                <c:pt idx="709">
                  <c:v>0.000511903260778324</c:v>
                </c:pt>
                <c:pt idx="710">
                  <c:v>0.000514272226313395</c:v>
                </c:pt>
                <c:pt idx="711">
                  <c:v>0.00051465991707822</c:v>
                </c:pt>
                <c:pt idx="712">
                  <c:v>0.00051962841314479</c:v>
                </c:pt>
                <c:pt idx="713">
                  <c:v>0.000520111966359371</c:v>
                </c:pt>
                <c:pt idx="714">
                  <c:v>0.000524082211452503</c:v>
                </c:pt>
                <c:pt idx="715">
                  <c:v>0.000529457517833176</c:v>
                </c:pt>
                <c:pt idx="716">
                  <c:v>0.000538649953175652</c:v>
                </c:pt>
                <c:pt idx="717">
                  <c:v>0.000540396708853086</c:v>
                </c:pt>
                <c:pt idx="718">
                  <c:v>0.000540567580535889</c:v>
                </c:pt>
                <c:pt idx="719">
                  <c:v>0.000544601207675299</c:v>
                </c:pt>
                <c:pt idx="720">
                  <c:v>0.000553525964857693</c:v>
                </c:pt>
                <c:pt idx="721">
                  <c:v>0.000558358829094496</c:v>
                </c:pt>
                <c:pt idx="722">
                  <c:v>0.000562644395898149</c:v>
                </c:pt>
                <c:pt idx="723">
                  <c:v>0.000566300979697898</c:v>
                </c:pt>
                <c:pt idx="724">
                  <c:v>0.000567161429170904</c:v>
                </c:pt>
                <c:pt idx="725">
                  <c:v>0.000570105321662462</c:v>
                </c:pt>
                <c:pt idx="726">
                  <c:v>0.000571021324023535</c:v>
                </c:pt>
                <c:pt idx="727">
                  <c:v>0.000571835595618353</c:v>
                </c:pt>
                <c:pt idx="728">
                  <c:v>0.000577201533453975</c:v>
                </c:pt>
                <c:pt idx="729">
                  <c:v>0.000583638944375409</c:v>
                </c:pt>
                <c:pt idx="730">
                  <c:v>0.000585026772512487</c:v>
                </c:pt>
                <c:pt idx="731">
                  <c:v>0.000586570921150997</c:v>
                </c:pt>
                <c:pt idx="732">
                  <c:v>0.000594144258931229</c:v>
                </c:pt>
                <c:pt idx="733">
                  <c:v>0.000594493651856265</c:v>
                </c:pt>
                <c:pt idx="734">
                  <c:v>0.000596586940075916</c:v>
                </c:pt>
                <c:pt idx="735">
                  <c:v>0.000597905473828986</c:v>
                </c:pt>
                <c:pt idx="736">
                  <c:v>0.000601084717014366</c:v>
                </c:pt>
                <c:pt idx="737">
                  <c:v>0.000605162035743012</c:v>
                </c:pt>
                <c:pt idx="738">
                  <c:v>0.000606670705962653</c:v>
                </c:pt>
                <c:pt idx="739">
                  <c:v>0.000609595347545344</c:v>
                </c:pt>
                <c:pt idx="740">
                  <c:v>0.000612347903349075</c:v>
                </c:pt>
                <c:pt idx="741">
                  <c:v>0.000618831600200265</c:v>
                </c:pt>
                <c:pt idx="742">
                  <c:v>0.000623777521753466</c:v>
                </c:pt>
                <c:pt idx="743">
                  <c:v>0.000626864758444201</c:v>
                </c:pt>
                <c:pt idx="744">
                  <c:v>0.000630930790726181</c:v>
                </c:pt>
                <c:pt idx="745">
                  <c:v>0.000636536561425594</c:v>
                </c:pt>
                <c:pt idx="746">
                  <c:v>0.000643225801058689</c:v>
                </c:pt>
                <c:pt idx="747">
                  <c:v>0.000653433056692965</c:v>
                </c:pt>
                <c:pt idx="748">
                  <c:v>0.000654675153522133</c:v>
                </c:pt>
                <c:pt idx="749">
                  <c:v>0.000655038111317507</c:v>
                </c:pt>
                <c:pt idx="750">
                  <c:v>0.000660634458572229</c:v>
                </c:pt>
                <c:pt idx="751">
                  <c:v>0.000664858132686907</c:v>
                </c:pt>
                <c:pt idx="752">
                  <c:v>0.000665960697525003</c:v>
                </c:pt>
                <c:pt idx="753">
                  <c:v>0.00067012230805652</c:v>
                </c:pt>
                <c:pt idx="754">
                  <c:v>0.000671525228328695</c:v>
                </c:pt>
                <c:pt idx="755">
                  <c:v>0.000675406105165921</c:v>
                </c:pt>
                <c:pt idx="756">
                  <c:v>0.000678766063684</c:v>
                </c:pt>
                <c:pt idx="757">
                  <c:v>0.00067951294008739</c:v>
                </c:pt>
                <c:pt idx="758">
                  <c:v>0.000693528015813349</c:v>
                </c:pt>
                <c:pt idx="759">
                  <c:v>0.000693604773845502</c:v>
                </c:pt>
                <c:pt idx="760">
                  <c:v>0.000706785902008678</c:v>
                </c:pt>
                <c:pt idx="761">
                  <c:v>0.000707159441921901</c:v>
                </c:pt>
                <c:pt idx="762">
                  <c:v>0.0007071672956247</c:v>
                </c:pt>
                <c:pt idx="763">
                  <c:v>0.000708131754501462</c:v>
                </c:pt>
                <c:pt idx="764">
                  <c:v>0.000710451684955205</c:v>
                </c:pt>
                <c:pt idx="765">
                  <c:v>0.000713555179198133</c:v>
                </c:pt>
                <c:pt idx="766">
                  <c:v>0.000714490000000012</c:v>
                </c:pt>
                <c:pt idx="767">
                  <c:v>0.000715946093582831</c:v>
                </c:pt>
                <c:pt idx="768">
                  <c:v>0.000725755745969448</c:v>
                </c:pt>
                <c:pt idx="769">
                  <c:v>0.000728071062203517</c:v>
                </c:pt>
                <c:pt idx="770">
                  <c:v>0.000728148738267986</c:v>
                </c:pt>
                <c:pt idx="771">
                  <c:v>0.000728331899630286</c:v>
                </c:pt>
                <c:pt idx="772">
                  <c:v>0.000732301090325294</c:v>
                </c:pt>
                <c:pt idx="773">
                  <c:v>0.000733779109606036</c:v>
                </c:pt>
                <c:pt idx="774">
                  <c:v>0.000734794115646809</c:v>
                </c:pt>
                <c:pt idx="775">
                  <c:v>0.000736751809463421</c:v>
                </c:pt>
                <c:pt idx="776">
                  <c:v>0.000740112947434035</c:v>
                </c:pt>
                <c:pt idx="777">
                  <c:v>0.000741265362435017</c:v>
                </c:pt>
                <c:pt idx="778">
                  <c:v>0.000741865114738394</c:v>
                </c:pt>
                <c:pt idx="779">
                  <c:v>0.000744190697830938</c:v>
                </c:pt>
                <c:pt idx="780">
                  <c:v>0.00074712097070706</c:v>
                </c:pt>
                <c:pt idx="781">
                  <c:v>0.000749686602299571</c:v>
                </c:pt>
                <c:pt idx="782">
                  <c:v>0.000750147198952611</c:v>
                </c:pt>
                <c:pt idx="783">
                  <c:v>0.000751076274123408</c:v>
                </c:pt>
                <c:pt idx="784">
                  <c:v>0.000754658137778863</c:v>
                </c:pt>
                <c:pt idx="785">
                  <c:v>0.000754976278536157</c:v>
                </c:pt>
                <c:pt idx="786">
                  <c:v>0.000755737436983317</c:v>
                </c:pt>
                <c:pt idx="787">
                  <c:v>0.000758586098325464</c:v>
                </c:pt>
                <c:pt idx="788">
                  <c:v>0.00076404100255445</c:v>
                </c:pt>
                <c:pt idx="789">
                  <c:v>0.000767669889301104</c:v>
                </c:pt>
                <c:pt idx="790">
                  <c:v>0.000769812901599165</c:v>
                </c:pt>
                <c:pt idx="791">
                  <c:v>0.000770476733168435</c:v>
                </c:pt>
                <c:pt idx="792">
                  <c:v>0.000789251099837074</c:v>
                </c:pt>
                <c:pt idx="793">
                  <c:v>0.000796466990225397</c:v>
                </c:pt>
                <c:pt idx="794">
                  <c:v>0.000796668543223911</c:v>
                </c:pt>
                <c:pt idx="795">
                  <c:v>0.000800058707840279</c:v>
                </c:pt>
                <c:pt idx="796">
                  <c:v>0.00080294126902869</c:v>
                </c:pt>
                <c:pt idx="797">
                  <c:v>0.000806967950932824</c:v>
                </c:pt>
                <c:pt idx="798">
                  <c:v>0.000810457567478329</c:v>
                </c:pt>
                <c:pt idx="799">
                  <c:v>0.000816145966995308</c:v>
                </c:pt>
                <c:pt idx="800">
                  <c:v>0.000821129653004071</c:v>
                </c:pt>
                <c:pt idx="801">
                  <c:v>0.000821273936847167</c:v>
                </c:pt>
                <c:pt idx="802">
                  <c:v>0.000824078264002548</c:v>
                </c:pt>
                <c:pt idx="803">
                  <c:v>0.000828591027567605</c:v>
                </c:pt>
                <c:pt idx="804">
                  <c:v>0.000828656444656017</c:v>
                </c:pt>
                <c:pt idx="805">
                  <c:v>0.000829004744753448</c:v>
                </c:pt>
                <c:pt idx="806">
                  <c:v>0.000831360822722393</c:v>
                </c:pt>
                <c:pt idx="807">
                  <c:v>0.000833821501797782</c:v>
                </c:pt>
                <c:pt idx="808">
                  <c:v>0.000833979661097661</c:v>
                </c:pt>
                <c:pt idx="809">
                  <c:v>0.000843418335524815</c:v>
                </c:pt>
                <c:pt idx="810">
                  <c:v>0.000844512468381575</c:v>
                </c:pt>
                <c:pt idx="811">
                  <c:v>0.000844649153618482</c:v>
                </c:pt>
                <c:pt idx="812">
                  <c:v>0.000846367085836075</c:v>
                </c:pt>
                <c:pt idx="813">
                  <c:v>0.000858749004847059</c:v>
                </c:pt>
                <c:pt idx="814">
                  <c:v>0.000862576010365102</c:v>
                </c:pt>
                <c:pt idx="815">
                  <c:v>0.000885916776034001</c:v>
                </c:pt>
                <c:pt idx="816">
                  <c:v>0.000890077919404098</c:v>
                </c:pt>
                <c:pt idx="817">
                  <c:v>0.00089307536209815</c:v>
                </c:pt>
                <c:pt idx="818">
                  <c:v>0.000902489920825644</c:v>
                </c:pt>
                <c:pt idx="819">
                  <c:v>0.000911060955726128</c:v>
                </c:pt>
                <c:pt idx="820">
                  <c:v>0.000932500797140801</c:v>
                </c:pt>
                <c:pt idx="821">
                  <c:v>0.000933399977333771</c:v>
                </c:pt>
                <c:pt idx="822">
                  <c:v>0.000943112787074041</c:v>
                </c:pt>
                <c:pt idx="823">
                  <c:v>0.00094689981036078</c:v>
                </c:pt>
                <c:pt idx="824">
                  <c:v>0.000951514701289291</c:v>
                </c:pt>
                <c:pt idx="825">
                  <c:v>0.000956086366938225</c:v>
                </c:pt>
                <c:pt idx="826">
                  <c:v>0.000958482131447891</c:v>
                </c:pt>
                <c:pt idx="827">
                  <c:v>0.000967907269510127</c:v>
                </c:pt>
                <c:pt idx="828">
                  <c:v>0.000969819851340148</c:v>
                </c:pt>
                <c:pt idx="829">
                  <c:v>0.000976834870668908</c:v>
                </c:pt>
                <c:pt idx="830">
                  <c:v>0.000982968177971832</c:v>
                </c:pt>
                <c:pt idx="831">
                  <c:v>0.000985225592642358</c:v>
                </c:pt>
                <c:pt idx="832">
                  <c:v>0.000989422465113021</c:v>
                </c:pt>
                <c:pt idx="833">
                  <c:v>0.00100461714787436</c:v>
                </c:pt>
                <c:pt idx="834">
                  <c:v>0.00100494282041597</c:v>
                </c:pt>
                <c:pt idx="835">
                  <c:v>0.00100820483246511</c:v>
                </c:pt>
                <c:pt idx="836">
                  <c:v>0.00101088482042422</c:v>
                </c:pt>
                <c:pt idx="837">
                  <c:v>0.00101419465537322</c:v>
                </c:pt>
                <c:pt idx="838">
                  <c:v>0.00102026815883893</c:v>
                </c:pt>
                <c:pt idx="839">
                  <c:v>0.00103228599243499</c:v>
                </c:pt>
                <c:pt idx="840">
                  <c:v>0.00103677537521918</c:v>
                </c:pt>
                <c:pt idx="841">
                  <c:v>0.00104583053001117</c:v>
                </c:pt>
                <c:pt idx="842">
                  <c:v>0.00104589872786787</c:v>
                </c:pt>
                <c:pt idx="843">
                  <c:v>0.0010510409968052</c:v>
                </c:pt>
                <c:pt idx="844">
                  <c:v>0.00105870421605991</c:v>
                </c:pt>
                <c:pt idx="845">
                  <c:v>0.00106269620872501</c:v>
                </c:pt>
                <c:pt idx="846">
                  <c:v>0.00107498142231455</c:v>
                </c:pt>
                <c:pt idx="847">
                  <c:v>0.00108004076364798</c:v>
                </c:pt>
                <c:pt idx="848">
                  <c:v>0.00108019670944159</c:v>
                </c:pt>
                <c:pt idx="849">
                  <c:v>0.00108522820859225</c:v>
                </c:pt>
                <c:pt idx="850">
                  <c:v>0.00108678752056024</c:v>
                </c:pt>
                <c:pt idx="851">
                  <c:v>0.0010903862246372</c:v>
                </c:pt>
                <c:pt idx="852">
                  <c:v>0.00109038867172351</c:v>
                </c:pt>
                <c:pt idx="853">
                  <c:v>0.00109161302281735</c:v>
                </c:pt>
                <c:pt idx="854">
                  <c:v>0.00109525193559534</c:v>
                </c:pt>
                <c:pt idx="855">
                  <c:v>0.00109574496083242</c:v>
                </c:pt>
                <c:pt idx="856">
                  <c:v>0.00110042366541374</c:v>
                </c:pt>
                <c:pt idx="857">
                  <c:v>0.00110387400135359</c:v>
                </c:pt>
                <c:pt idx="858">
                  <c:v>0.0011040239821154</c:v>
                </c:pt>
                <c:pt idx="859">
                  <c:v>0.00110423232901824</c:v>
                </c:pt>
                <c:pt idx="860">
                  <c:v>0.0011171381540509</c:v>
                </c:pt>
                <c:pt idx="861">
                  <c:v>0.00112375157863731</c:v>
                </c:pt>
                <c:pt idx="862">
                  <c:v>0.00112417046749846</c:v>
                </c:pt>
                <c:pt idx="863">
                  <c:v>0.00113019618025079</c:v>
                </c:pt>
                <c:pt idx="864">
                  <c:v>0.00113370502641286</c:v>
                </c:pt>
                <c:pt idx="865">
                  <c:v>0.00113670132110921</c:v>
                </c:pt>
                <c:pt idx="866">
                  <c:v>0.00113915877947979</c:v>
                </c:pt>
                <c:pt idx="867">
                  <c:v>0.00115029668969835</c:v>
                </c:pt>
                <c:pt idx="868">
                  <c:v>0.00116362039926599</c:v>
                </c:pt>
                <c:pt idx="869">
                  <c:v>0.00118144598090497</c:v>
                </c:pt>
                <c:pt idx="870">
                  <c:v>0.00118221746139957</c:v>
                </c:pt>
                <c:pt idx="871">
                  <c:v>0.00119048573654901</c:v>
                </c:pt>
                <c:pt idx="872">
                  <c:v>0.00119516082634119</c:v>
                </c:pt>
                <c:pt idx="873">
                  <c:v>0.00119684030289813</c:v>
                </c:pt>
                <c:pt idx="874">
                  <c:v>0.00123969476128472</c:v>
                </c:pt>
                <c:pt idx="875">
                  <c:v>0.00124274202493391</c:v>
                </c:pt>
                <c:pt idx="876">
                  <c:v>0.00124452007760678</c:v>
                </c:pt>
                <c:pt idx="877">
                  <c:v>0.00124461814620247</c:v>
                </c:pt>
                <c:pt idx="878">
                  <c:v>0.00124770176982891</c:v>
                </c:pt>
                <c:pt idx="879">
                  <c:v>0.00126006288062896</c:v>
                </c:pt>
                <c:pt idx="880">
                  <c:v>0.00127222908279334</c:v>
                </c:pt>
                <c:pt idx="881">
                  <c:v>0.001278427507869</c:v>
                </c:pt>
                <c:pt idx="882">
                  <c:v>0.00128726836425108</c:v>
                </c:pt>
                <c:pt idx="883">
                  <c:v>0.00129220394371221</c:v>
                </c:pt>
                <c:pt idx="884">
                  <c:v>0.00131604665929141</c:v>
                </c:pt>
                <c:pt idx="885">
                  <c:v>0.00133374984284229</c:v>
                </c:pt>
                <c:pt idx="886">
                  <c:v>0.00133498068806626</c:v>
                </c:pt>
                <c:pt idx="887">
                  <c:v>0.00134305495766651</c:v>
                </c:pt>
                <c:pt idx="888">
                  <c:v>0.00134640401351049</c:v>
                </c:pt>
                <c:pt idx="889">
                  <c:v>0.00135990396178221</c:v>
                </c:pt>
                <c:pt idx="890">
                  <c:v>0.00136287581228767</c:v>
                </c:pt>
                <c:pt idx="891">
                  <c:v>0.00136922619695712</c:v>
                </c:pt>
                <c:pt idx="892">
                  <c:v>0.00137653963719298</c:v>
                </c:pt>
                <c:pt idx="893">
                  <c:v>0.00138861368530696</c:v>
                </c:pt>
                <c:pt idx="894">
                  <c:v>0.00139136434313292</c:v>
                </c:pt>
                <c:pt idx="895">
                  <c:v>0.00141004577815607</c:v>
                </c:pt>
                <c:pt idx="896">
                  <c:v>0.00141425775639537</c:v>
                </c:pt>
                <c:pt idx="897">
                  <c:v>0.00141458560489127</c:v>
                </c:pt>
                <c:pt idx="898">
                  <c:v>0.00142186464455829</c:v>
                </c:pt>
                <c:pt idx="899">
                  <c:v>0.00142218391638949</c:v>
                </c:pt>
                <c:pt idx="900">
                  <c:v>0.0014245288793413</c:v>
                </c:pt>
                <c:pt idx="901">
                  <c:v>0.00143391194550202</c:v>
                </c:pt>
                <c:pt idx="902">
                  <c:v>0.00146339327204026</c:v>
                </c:pt>
                <c:pt idx="903">
                  <c:v>0.00147177596921932</c:v>
                </c:pt>
                <c:pt idx="904">
                  <c:v>0.00147221786086948</c:v>
                </c:pt>
                <c:pt idx="905">
                  <c:v>0.00147268899233399</c:v>
                </c:pt>
                <c:pt idx="906">
                  <c:v>0.00147895693066413</c:v>
                </c:pt>
                <c:pt idx="907">
                  <c:v>0.00148498607952785</c:v>
                </c:pt>
                <c:pt idx="908">
                  <c:v>0.00151481891002359</c:v>
                </c:pt>
                <c:pt idx="909">
                  <c:v>0.0015292391887618</c:v>
                </c:pt>
                <c:pt idx="910">
                  <c:v>0.00153402354249188</c:v>
                </c:pt>
                <c:pt idx="911">
                  <c:v>0.00153884817296013</c:v>
                </c:pt>
                <c:pt idx="912">
                  <c:v>0.0015497255138357</c:v>
                </c:pt>
                <c:pt idx="913">
                  <c:v>0.00156951762307078</c:v>
                </c:pt>
                <c:pt idx="914">
                  <c:v>0.00159793161026034</c:v>
                </c:pt>
                <c:pt idx="915">
                  <c:v>0.00160553967560806</c:v>
                </c:pt>
                <c:pt idx="916">
                  <c:v>0.00160914664534606</c:v>
                </c:pt>
                <c:pt idx="917">
                  <c:v>0.00161454536912475</c:v>
                </c:pt>
                <c:pt idx="918">
                  <c:v>0.00161985881505289</c:v>
                </c:pt>
                <c:pt idx="919">
                  <c:v>0.00163196611083638</c:v>
                </c:pt>
                <c:pt idx="920">
                  <c:v>0.00163585038392999</c:v>
                </c:pt>
                <c:pt idx="921">
                  <c:v>0.00163617780776937</c:v>
                </c:pt>
                <c:pt idx="922">
                  <c:v>0.00165685127325887</c:v>
                </c:pt>
                <c:pt idx="923">
                  <c:v>0.00166030605603296</c:v>
                </c:pt>
                <c:pt idx="924">
                  <c:v>0.00166130162567457</c:v>
                </c:pt>
                <c:pt idx="925">
                  <c:v>0.00169293007275262</c:v>
                </c:pt>
                <c:pt idx="926">
                  <c:v>0.00170383272463503</c:v>
                </c:pt>
                <c:pt idx="927">
                  <c:v>0.00170510998312534</c:v>
                </c:pt>
                <c:pt idx="928">
                  <c:v>0.00170550980067086</c:v>
                </c:pt>
                <c:pt idx="929">
                  <c:v>0.00170885102237928</c:v>
                </c:pt>
                <c:pt idx="930">
                  <c:v>0.00172883777035859</c:v>
                </c:pt>
                <c:pt idx="931">
                  <c:v>0.00173743183434705</c:v>
                </c:pt>
                <c:pt idx="932">
                  <c:v>0.00173869339187061</c:v>
                </c:pt>
                <c:pt idx="933">
                  <c:v>0.0017415944134096</c:v>
                </c:pt>
                <c:pt idx="934">
                  <c:v>0.00177446162274442</c:v>
                </c:pt>
                <c:pt idx="935">
                  <c:v>0.00178553246571145</c:v>
                </c:pt>
                <c:pt idx="936">
                  <c:v>0.00180923491573948</c:v>
                </c:pt>
                <c:pt idx="937">
                  <c:v>0.00184150230408009</c:v>
                </c:pt>
                <c:pt idx="938">
                  <c:v>0.00184930392200378</c:v>
                </c:pt>
                <c:pt idx="939">
                  <c:v>0.00185077071443307</c:v>
                </c:pt>
                <c:pt idx="940">
                  <c:v>0.00185194358719287</c:v>
                </c:pt>
                <c:pt idx="941">
                  <c:v>0.00185212851340255</c:v>
                </c:pt>
                <c:pt idx="942">
                  <c:v>0.00186166071195815</c:v>
                </c:pt>
                <c:pt idx="943">
                  <c:v>0.00187622008476773</c:v>
                </c:pt>
                <c:pt idx="944">
                  <c:v>0.00190852878270009</c:v>
                </c:pt>
                <c:pt idx="945">
                  <c:v>0.00191720402587015</c:v>
                </c:pt>
                <c:pt idx="946">
                  <c:v>0.00193161940398268</c:v>
                </c:pt>
                <c:pt idx="947">
                  <c:v>0.00200347044342242</c:v>
                </c:pt>
                <c:pt idx="948">
                  <c:v>0.00200350678076444</c:v>
                </c:pt>
                <c:pt idx="949">
                  <c:v>0.00205199902558517</c:v>
                </c:pt>
                <c:pt idx="950">
                  <c:v>0.00209409228655</c:v>
                </c:pt>
                <c:pt idx="951">
                  <c:v>0.00211376213547121</c:v>
                </c:pt>
                <c:pt idx="952">
                  <c:v>0.00212608407917259</c:v>
                </c:pt>
                <c:pt idx="953">
                  <c:v>0.00212799789828777</c:v>
                </c:pt>
                <c:pt idx="954">
                  <c:v>0.00213195889807793</c:v>
                </c:pt>
                <c:pt idx="955">
                  <c:v>0.00216512185429174</c:v>
                </c:pt>
                <c:pt idx="956">
                  <c:v>0.00217417396171515</c:v>
                </c:pt>
                <c:pt idx="957">
                  <c:v>0.00217969741399005</c:v>
                </c:pt>
                <c:pt idx="958">
                  <c:v>0.0022384909703963</c:v>
                </c:pt>
                <c:pt idx="959">
                  <c:v>0.00224131213134959</c:v>
                </c:pt>
                <c:pt idx="960">
                  <c:v>0.00224830521229014</c:v>
                </c:pt>
                <c:pt idx="961">
                  <c:v>0.00225553744450147</c:v>
                </c:pt>
                <c:pt idx="962">
                  <c:v>0.0022582532097617</c:v>
                </c:pt>
                <c:pt idx="963">
                  <c:v>0.00226809560676422</c:v>
                </c:pt>
                <c:pt idx="964">
                  <c:v>0.00230871875995087</c:v>
                </c:pt>
                <c:pt idx="965">
                  <c:v>0.00231689943562885</c:v>
                </c:pt>
                <c:pt idx="966">
                  <c:v>0.00234847118448878</c:v>
                </c:pt>
                <c:pt idx="967">
                  <c:v>0.00242557660008491</c:v>
                </c:pt>
                <c:pt idx="968">
                  <c:v>0.00246030646078377</c:v>
                </c:pt>
                <c:pt idx="969">
                  <c:v>0.00250769620568536</c:v>
                </c:pt>
                <c:pt idx="970">
                  <c:v>0.00252654432424948</c:v>
                </c:pt>
                <c:pt idx="971">
                  <c:v>0.00255326508795783</c:v>
                </c:pt>
                <c:pt idx="972">
                  <c:v>0.00258859876541195</c:v>
                </c:pt>
                <c:pt idx="973">
                  <c:v>0.00271884756758678</c:v>
                </c:pt>
                <c:pt idx="974">
                  <c:v>0.00280781719599332</c:v>
                </c:pt>
                <c:pt idx="975">
                  <c:v>0.00286275364694744</c:v>
                </c:pt>
                <c:pt idx="976">
                  <c:v>0.00287787983811461</c:v>
                </c:pt>
                <c:pt idx="977">
                  <c:v>0.00289821041852689</c:v>
                </c:pt>
                <c:pt idx="978">
                  <c:v>0.00290624844726128</c:v>
                </c:pt>
                <c:pt idx="979">
                  <c:v>0.00298215898703158</c:v>
                </c:pt>
                <c:pt idx="980">
                  <c:v>0.00301034195661987</c:v>
                </c:pt>
                <c:pt idx="981">
                  <c:v>0.00306561139105832</c:v>
                </c:pt>
                <c:pt idx="982">
                  <c:v>0.0031303826274427</c:v>
                </c:pt>
                <c:pt idx="983">
                  <c:v>0.00313093837879275</c:v>
                </c:pt>
                <c:pt idx="984">
                  <c:v>0.00313511999862182</c:v>
                </c:pt>
                <c:pt idx="985">
                  <c:v>0.00318891703873314</c:v>
                </c:pt>
                <c:pt idx="986">
                  <c:v>0.00325954522933181</c:v>
                </c:pt>
                <c:pt idx="987">
                  <c:v>0.00340320111067238</c:v>
                </c:pt>
                <c:pt idx="988">
                  <c:v>0.00344598049761502</c:v>
                </c:pt>
                <c:pt idx="989">
                  <c:v>0.00355024649493885</c:v>
                </c:pt>
                <c:pt idx="990">
                  <c:v>0.00369662773169144</c:v>
                </c:pt>
                <c:pt idx="991">
                  <c:v>0.00376492897852443</c:v>
                </c:pt>
                <c:pt idx="992">
                  <c:v>0.00385277082222735</c:v>
                </c:pt>
                <c:pt idx="993">
                  <c:v>0.00389049690860777</c:v>
                </c:pt>
                <c:pt idx="994">
                  <c:v>0.00409251425002566</c:v>
                </c:pt>
                <c:pt idx="995">
                  <c:v>0.00423239462557645</c:v>
                </c:pt>
                <c:pt idx="996">
                  <c:v>0.00461485221116309</c:v>
                </c:pt>
                <c:pt idx="997">
                  <c:v>0.00479776680225519</c:v>
                </c:pt>
                <c:pt idx="998">
                  <c:v>0.00538755026016213</c:v>
                </c:pt>
                <c:pt idx="999">
                  <c:v>0.00569271403817084</c:v>
                </c:pt>
              </c:numCache>
            </c:numRef>
          </c:xVal>
          <c:yVal>
            <c:numRef>
              <c:f>BTC_Fit!$C$37:$C$1036</c:f>
              <c:numCache>
                <c:formatCode>0.0000</c:formatCode>
                <c:ptCount val="1000"/>
                <c:pt idx="0">
                  <c:v>0.001</c:v>
                </c:pt>
                <c:pt idx="1">
                  <c:v>0.002</c:v>
                </c:pt>
                <c:pt idx="2">
                  <c:v>0.003</c:v>
                </c:pt>
                <c:pt idx="3">
                  <c:v>0.004</c:v>
                </c:pt>
                <c:pt idx="4">
                  <c:v>0.005</c:v>
                </c:pt>
                <c:pt idx="5">
                  <c:v>0.006</c:v>
                </c:pt>
                <c:pt idx="6">
                  <c:v>0.007</c:v>
                </c:pt>
                <c:pt idx="7">
                  <c:v>0.008</c:v>
                </c:pt>
                <c:pt idx="8">
                  <c:v>0.009</c:v>
                </c:pt>
                <c:pt idx="9">
                  <c:v>0.01</c:v>
                </c:pt>
                <c:pt idx="10">
                  <c:v>0.011</c:v>
                </c:pt>
                <c:pt idx="11">
                  <c:v>0.012</c:v>
                </c:pt>
                <c:pt idx="12">
                  <c:v>0.013</c:v>
                </c:pt>
                <c:pt idx="13">
                  <c:v>0.014</c:v>
                </c:pt>
                <c:pt idx="14">
                  <c:v>0.015</c:v>
                </c:pt>
                <c:pt idx="15">
                  <c:v>0.016</c:v>
                </c:pt>
                <c:pt idx="16">
                  <c:v>0.017</c:v>
                </c:pt>
                <c:pt idx="17">
                  <c:v>0.018</c:v>
                </c:pt>
                <c:pt idx="18">
                  <c:v>0.019</c:v>
                </c:pt>
                <c:pt idx="19">
                  <c:v>0.02</c:v>
                </c:pt>
                <c:pt idx="20">
                  <c:v>0.021</c:v>
                </c:pt>
                <c:pt idx="21">
                  <c:v>0.022</c:v>
                </c:pt>
                <c:pt idx="22">
                  <c:v>0.023</c:v>
                </c:pt>
                <c:pt idx="23">
                  <c:v>0.024</c:v>
                </c:pt>
                <c:pt idx="24">
                  <c:v>0.025</c:v>
                </c:pt>
                <c:pt idx="25">
                  <c:v>0.026</c:v>
                </c:pt>
                <c:pt idx="26">
                  <c:v>0.027</c:v>
                </c:pt>
                <c:pt idx="27">
                  <c:v>0.028</c:v>
                </c:pt>
                <c:pt idx="28">
                  <c:v>0.029</c:v>
                </c:pt>
                <c:pt idx="29">
                  <c:v>0.03</c:v>
                </c:pt>
                <c:pt idx="30">
                  <c:v>0.031</c:v>
                </c:pt>
                <c:pt idx="31">
                  <c:v>0.032</c:v>
                </c:pt>
                <c:pt idx="32">
                  <c:v>0.033</c:v>
                </c:pt>
                <c:pt idx="33">
                  <c:v>0.034</c:v>
                </c:pt>
                <c:pt idx="34">
                  <c:v>0.035</c:v>
                </c:pt>
                <c:pt idx="35">
                  <c:v>0.036</c:v>
                </c:pt>
                <c:pt idx="36">
                  <c:v>0.037</c:v>
                </c:pt>
                <c:pt idx="37">
                  <c:v>0.038</c:v>
                </c:pt>
                <c:pt idx="38">
                  <c:v>0.039</c:v>
                </c:pt>
                <c:pt idx="39">
                  <c:v>0.04</c:v>
                </c:pt>
                <c:pt idx="40">
                  <c:v>0.041</c:v>
                </c:pt>
                <c:pt idx="41">
                  <c:v>0.042</c:v>
                </c:pt>
                <c:pt idx="42">
                  <c:v>0.043</c:v>
                </c:pt>
                <c:pt idx="43">
                  <c:v>0.044</c:v>
                </c:pt>
                <c:pt idx="44">
                  <c:v>0.045</c:v>
                </c:pt>
                <c:pt idx="45">
                  <c:v>0.046</c:v>
                </c:pt>
                <c:pt idx="46">
                  <c:v>0.047</c:v>
                </c:pt>
                <c:pt idx="47">
                  <c:v>0.048</c:v>
                </c:pt>
                <c:pt idx="48">
                  <c:v>0.049</c:v>
                </c:pt>
                <c:pt idx="49">
                  <c:v>0.05</c:v>
                </c:pt>
                <c:pt idx="50">
                  <c:v>0.051</c:v>
                </c:pt>
                <c:pt idx="51">
                  <c:v>0.052</c:v>
                </c:pt>
                <c:pt idx="52">
                  <c:v>0.053</c:v>
                </c:pt>
                <c:pt idx="53">
                  <c:v>0.054</c:v>
                </c:pt>
                <c:pt idx="54">
                  <c:v>0.055</c:v>
                </c:pt>
                <c:pt idx="55">
                  <c:v>0.056</c:v>
                </c:pt>
                <c:pt idx="56">
                  <c:v>0.057</c:v>
                </c:pt>
                <c:pt idx="57">
                  <c:v>0.058</c:v>
                </c:pt>
                <c:pt idx="58">
                  <c:v>0.059</c:v>
                </c:pt>
                <c:pt idx="59">
                  <c:v>0.06</c:v>
                </c:pt>
                <c:pt idx="60">
                  <c:v>0.061</c:v>
                </c:pt>
                <c:pt idx="61">
                  <c:v>0.062</c:v>
                </c:pt>
                <c:pt idx="62">
                  <c:v>0.063</c:v>
                </c:pt>
                <c:pt idx="63">
                  <c:v>0.064</c:v>
                </c:pt>
                <c:pt idx="64">
                  <c:v>0.065</c:v>
                </c:pt>
                <c:pt idx="65">
                  <c:v>0.066</c:v>
                </c:pt>
                <c:pt idx="66">
                  <c:v>0.067</c:v>
                </c:pt>
                <c:pt idx="67">
                  <c:v>0.068</c:v>
                </c:pt>
                <c:pt idx="68">
                  <c:v>0.069</c:v>
                </c:pt>
                <c:pt idx="69">
                  <c:v>0.07</c:v>
                </c:pt>
                <c:pt idx="70">
                  <c:v>0.071</c:v>
                </c:pt>
                <c:pt idx="71">
                  <c:v>0.072</c:v>
                </c:pt>
                <c:pt idx="72">
                  <c:v>0.073</c:v>
                </c:pt>
                <c:pt idx="73">
                  <c:v>0.074</c:v>
                </c:pt>
                <c:pt idx="74">
                  <c:v>0.075</c:v>
                </c:pt>
                <c:pt idx="75">
                  <c:v>0.076</c:v>
                </c:pt>
                <c:pt idx="76">
                  <c:v>0.077</c:v>
                </c:pt>
                <c:pt idx="77">
                  <c:v>0.078</c:v>
                </c:pt>
                <c:pt idx="78">
                  <c:v>0.079</c:v>
                </c:pt>
                <c:pt idx="79">
                  <c:v>0.08</c:v>
                </c:pt>
                <c:pt idx="80">
                  <c:v>0.081</c:v>
                </c:pt>
                <c:pt idx="81">
                  <c:v>0.082</c:v>
                </c:pt>
                <c:pt idx="82">
                  <c:v>0.083</c:v>
                </c:pt>
                <c:pt idx="83">
                  <c:v>0.084</c:v>
                </c:pt>
                <c:pt idx="84">
                  <c:v>0.085</c:v>
                </c:pt>
                <c:pt idx="85">
                  <c:v>0.086</c:v>
                </c:pt>
                <c:pt idx="86">
                  <c:v>0.087</c:v>
                </c:pt>
                <c:pt idx="87">
                  <c:v>0.088</c:v>
                </c:pt>
                <c:pt idx="88">
                  <c:v>0.089</c:v>
                </c:pt>
                <c:pt idx="89">
                  <c:v>0.09</c:v>
                </c:pt>
                <c:pt idx="90">
                  <c:v>0.091</c:v>
                </c:pt>
                <c:pt idx="91">
                  <c:v>0.092</c:v>
                </c:pt>
                <c:pt idx="92">
                  <c:v>0.093</c:v>
                </c:pt>
                <c:pt idx="93">
                  <c:v>0.094</c:v>
                </c:pt>
                <c:pt idx="94">
                  <c:v>0.095</c:v>
                </c:pt>
                <c:pt idx="95">
                  <c:v>0.096</c:v>
                </c:pt>
                <c:pt idx="96">
                  <c:v>0.097</c:v>
                </c:pt>
                <c:pt idx="97">
                  <c:v>0.098</c:v>
                </c:pt>
                <c:pt idx="98">
                  <c:v>0.099</c:v>
                </c:pt>
                <c:pt idx="99">
                  <c:v>0.1</c:v>
                </c:pt>
                <c:pt idx="100">
                  <c:v>0.101</c:v>
                </c:pt>
                <c:pt idx="101">
                  <c:v>0.102</c:v>
                </c:pt>
                <c:pt idx="102">
                  <c:v>0.103</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c:v>
                </c:pt>
                <c:pt idx="116">
                  <c:v>0.117</c:v>
                </c:pt>
                <c:pt idx="117">
                  <c:v>0.118</c:v>
                </c:pt>
                <c:pt idx="118">
                  <c:v>0.119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c:v>
                </c:pt>
                <c:pt idx="131">
                  <c:v>0.132</c:v>
                </c:pt>
                <c:pt idx="132">
                  <c:v>0.133</c:v>
                </c:pt>
                <c:pt idx="133">
                  <c:v>0.134</c:v>
                </c:pt>
                <c:pt idx="134">
                  <c:v>0.135</c:v>
                </c:pt>
                <c:pt idx="135">
                  <c:v>0.136</c:v>
                </c:pt>
                <c:pt idx="136">
                  <c:v>0.137</c:v>
                </c:pt>
                <c:pt idx="137">
                  <c:v>0.138</c:v>
                </c:pt>
                <c:pt idx="138">
                  <c:v>0.139</c:v>
                </c:pt>
                <c:pt idx="139">
                  <c:v>0.14</c:v>
                </c:pt>
                <c:pt idx="140">
                  <c:v>0.141</c:v>
                </c:pt>
                <c:pt idx="141">
                  <c:v>0.142</c:v>
                </c:pt>
                <c:pt idx="142">
                  <c:v>0.143</c:v>
                </c:pt>
                <c:pt idx="143">
                  <c:v>0.144</c:v>
                </c:pt>
                <c:pt idx="144">
                  <c:v>0.145</c:v>
                </c:pt>
                <c:pt idx="145">
                  <c:v>0.146</c:v>
                </c:pt>
                <c:pt idx="146">
                  <c:v>0.147</c:v>
                </c:pt>
                <c:pt idx="147">
                  <c:v>0.148</c:v>
                </c:pt>
                <c:pt idx="148">
                  <c:v>0.149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c:v>
                </c:pt>
                <c:pt idx="162">
                  <c:v>0.163</c:v>
                </c:pt>
                <c:pt idx="163">
                  <c:v>0.164</c:v>
                </c:pt>
                <c:pt idx="164">
                  <c:v>0.165</c:v>
                </c:pt>
                <c:pt idx="165">
                  <c:v>0.166</c:v>
                </c:pt>
                <c:pt idx="166">
                  <c:v>0.167</c:v>
                </c:pt>
                <c:pt idx="167">
                  <c:v>0.168</c:v>
                </c:pt>
                <c:pt idx="168">
                  <c:v>0.169</c:v>
                </c:pt>
                <c:pt idx="169">
                  <c:v>0.17</c:v>
                </c:pt>
                <c:pt idx="170">
                  <c:v>0.171</c:v>
                </c:pt>
                <c:pt idx="171">
                  <c:v>0.172</c:v>
                </c:pt>
                <c:pt idx="172">
                  <c:v>0.173</c:v>
                </c:pt>
                <c:pt idx="173">
                  <c:v>0.174</c:v>
                </c:pt>
                <c:pt idx="174">
                  <c:v>0.175</c:v>
                </c:pt>
                <c:pt idx="175">
                  <c:v>0.176</c:v>
                </c:pt>
                <c:pt idx="176">
                  <c:v>0.177</c:v>
                </c:pt>
                <c:pt idx="177">
                  <c:v>0.178</c:v>
                </c:pt>
                <c:pt idx="178">
                  <c:v>0.179</c:v>
                </c:pt>
                <c:pt idx="179">
                  <c:v>0.18</c:v>
                </c:pt>
                <c:pt idx="180">
                  <c:v>0.181</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c:v>
                </c:pt>
                <c:pt idx="194">
                  <c:v>0.195</c:v>
                </c:pt>
                <c:pt idx="195">
                  <c:v>0.196</c:v>
                </c:pt>
                <c:pt idx="196">
                  <c:v>0.197</c:v>
                </c:pt>
                <c:pt idx="197">
                  <c:v>0.198</c:v>
                </c:pt>
                <c:pt idx="198">
                  <c:v>0.199</c:v>
                </c:pt>
                <c:pt idx="199">
                  <c:v>0.2</c:v>
                </c:pt>
                <c:pt idx="200">
                  <c:v>0.201</c:v>
                </c:pt>
                <c:pt idx="201">
                  <c:v>0.202</c:v>
                </c:pt>
                <c:pt idx="202">
                  <c:v>0.203</c:v>
                </c:pt>
                <c:pt idx="203">
                  <c:v>0.204</c:v>
                </c:pt>
                <c:pt idx="204">
                  <c:v>0.205</c:v>
                </c:pt>
                <c:pt idx="205">
                  <c:v>0.206</c:v>
                </c:pt>
                <c:pt idx="206">
                  <c:v>0.207</c:v>
                </c:pt>
                <c:pt idx="207">
                  <c:v>0.208</c:v>
                </c:pt>
                <c:pt idx="208">
                  <c:v>0.209</c:v>
                </c:pt>
                <c:pt idx="209">
                  <c:v>0.21</c:v>
                </c:pt>
                <c:pt idx="210">
                  <c:v>0.211</c:v>
                </c:pt>
                <c:pt idx="211">
                  <c:v>0.212</c:v>
                </c:pt>
                <c:pt idx="212">
                  <c:v>0.213</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c:v>
                </c:pt>
                <c:pt idx="225">
                  <c:v>0.226</c:v>
                </c:pt>
                <c:pt idx="226">
                  <c:v>0.227</c:v>
                </c:pt>
                <c:pt idx="227">
                  <c:v>0.228</c:v>
                </c:pt>
                <c:pt idx="228">
                  <c:v>0.229</c:v>
                </c:pt>
                <c:pt idx="229">
                  <c:v>0.23</c:v>
                </c:pt>
                <c:pt idx="230">
                  <c:v>0.231</c:v>
                </c:pt>
                <c:pt idx="231">
                  <c:v>0.232</c:v>
                </c:pt>
                <c:pt idx="232">
                  <c:v>0.233</c:v>
                </c:pt>
                <c:pt idx="233">
                  <c:v>0.234</c:v>
                </c:pt>
                <c:pt idx="234">
                  <c:v>0.235</c:v>
                </c:pt>
                <c:pt idx="235">
                  <c:v>0.236</c:v>
                </c:pt>
                <c:pt idx="236">
                  <c:v>0.237</c:v>
                </c:pt>
                <c:pt idx="237">
                  <c:v>0.238</c:v>
                </c:pt>
                <c:pt idx="238">
                  <c:v>0.239</c:v>
                </c:pt>
                <c:pt idx="239">
                  <c:v>0.24</c:v>
                </c:pt>
                <c:pt idx="240">
                  <c:v>0.241</c:v>
                </c:pt>
                <c:pt idx="241">
                  <c:v>0.242</c:v>
                </c:pt>
                <c:pt idx="242">
                  <c:v>0.243</c:v>
                </c:pt>
                <c:pt idx="243">
                  <c:v>0.244</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c:v>
                </c:pt>
                <c:pt idx="256">
                  <c:v>0.257</c:v>
                </c:pt>
                <c:pt idx="257">
                  <c:v>0.258</c:v>
                </c:pt>
                <c:pt idx="258">
                  <c:v>0.259</c:v>
                </c:pt>
                <c:pt idx="259">
                  <c:v>0.26</c:v>
                </c:pt>
                <c:pt idx="260">
                  <c:v>0.261</c:v>
                </c:pt>
                <c:pt idx="261">
                  <c:v>0.262</c:v>
                </c:pt>
                <c:pt idx="262">
                  <c:v>0.263</c:v>
                </c:pt>
                <c:pt idx="263">
                  <c:v>0.264</c:v>
                </c:pt>
                <c:pt idx="264">
                  <c:v>0.265</c:v>
                </c:pt>
                <c:pt idx="265">
                  <c:v>0.266</c:v>
                </c:pt>
                <c:pt idx="266">
                  <c:v>0.267</c:v>
                </c:pt>
                <c:pt idx="267">
                  <c:v>0.268</c:v>
                </c:pt>
                <c:pt idx="268">
                  <c:v>0.269</c:v>
                </c:pt>
                <c:pt idx="269">
                  <c:v>0.27</c:v>
                </c:pt>
                <c:pt idx="270">
                  <c:v>0.271</c:v>
                </c:pt>
                <c:pt idx="271">
                  <c:v>0.272</c:v>
                </c:pt>
                <c:pt idx="272">
                  <c:v>0.273</c:v>
                </c:pt>
                <c:pt idx="273">
                  <c:v>0.274</c:v>
                </c:pt>
                <c:pt idx="274">
                  <c:v>0.275</c:v>
                </c:pt>
                <c:pt idx="275">
                  <c:v>0.276</c:v>
                </c:pt>
                <c:pt idx="276">
                  <c:v>0.277</c:v>
                </c:pt>
                <c:pt idx="277">
                  <c:v>0.278</c:v>
                </c:pt>
                <c:pt idx="278">
                  <c:v>0.279</c:v>
                </c:pt>
                <c:pt idx="279">
                  <c:v>0.28</c:v>
                </c:pt>
                <c:pt idx="280">
                  <c:v>0.281</c:v>
                </c:pt>
                <c:pt idx="281">
                  <c:v>0.282</c:v>
                </c:pt>
                <c:pt idx="282">
                  <c:v>0.283</c:v>
                </c:pt>
                <c:pt idx="283">
                  <c:v>0.284</c:v>
                </c:pt>
                <c:pt idx="284">
                  <c:v>0.285</c:v>
                </c:pt>
                <c:pt idx="285">
                  <c:v>0.286</c:v>
                </c:pt>
                <c:pt idx="286">
                  <c:v>0.287</c:v>
                </c:pt>
                <c:pt idx="287">
                  <c:v>0.288</c:v>
                </c:pt>
                <c:pt idx="288">
                  <c:v>0.289</c:v>
                </c:pt>
                <c:pt idx="289">
                  <c:v>0.29</c:v>
                </c:pt>
                <c:pt idx="290">
                  <c:v>0.291</c:v>
                </c:pt>
                <c:pt idx="291">
                  <c:v>0.292</c:v>
                </c:pt>
                <c:pt idx="292">
                  <c:v>0.293</c:v>
                </c:pt>
                <c:pt idx="293">
                  <c:v>0.294</c:v>
                </c:pt>
                <c:pt idx="294">
                  <c:v>0.295</c:v>
                </c:pt>
                <c:pt idx="295">
                  <c:v>0.296</c:v>
                </c:pt>
                <c:pt idx="296">
                  <c:v>0.297</c:v>
                </c:pt>
                <c:pt idx="297">
                  <c:v>0.298</c:v>
                </c:pt>
                <c:pt idx="298">
                  <c:v>0.299</c:v>
                </c:pt>
                <c:pt idx="299">
                  <c:v>0.3</c:v>
                </c:pt>
                <c:pt idx="300">
                  <c:v>0.301</c:v>
                </c:pt>
                <c:pt idx="301">
                  <c:v>0.302</c:v>
                </c:pt>
                <c:pt idx="302">
                  <c:v>0.303</c:v>
                </c:pt>
                <c:pt idx="303">
                  <c:v>0.304</c:v>
                </c:pt>
                <c:pt idx="304">
                  <c:v>0.305</c:v>
                </c:pt>
                <c:pt idx="305">
                  <c:v>0.306</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c:v>
                </c:pt>
                <c:pt idx="319">
                  <c:v>0.32</c:v>
                </c:pt>
                <c:pt idx="320">
                  <c:v>0.321</c:v>
                </c:pt>
                <c:pt idx="321">
                  <c:v>0.322</c:v>
                </c:pt>
                <c:pt idx="322">
                  <c:v>0.323</c:v>
                </c:pt>
                <c:pt idx="323">
                  <c:v>0.324</c:v>
                </c:pt>
                <c:pt idx="324">
                  <c:v>0.325</c:v>
                </c:pt>
                <c:pt idx="325">
                  <c:v>0.326</c:v>
                </c:pt>
                <c:pt idx="326">
                  <c:v>0.327</c:v>
                </c:pt>
                <c:pt idx="327">
                  <c:v>0.328</c:v>
                </c:pt>
                <c:pt idx="328">
                  <c:v>0.329</c:v>
                </c:pt>
                <c:pt idx="329">
                  <c:v>0.33</c:v>
                </c:pt>
                <c:pt idx="330">
                  <c:v>0.331</c:v>
                </c:pt>
                <c:pt idx="331">
                  <c:v>0.332</c:v>
                </c:pt>
                <c:pt idx="332">
                  <c:v>0.333</c:v>
                </c:pt>
                <c:pt idx="333">
                  <c:v>0.334</c:v>
                </c:pt>
                <c:pt idx="334">
                  <c:v>0.335</c:v>
                </c:pt>
                <c:pt idx="335">
                  <c:v>0.336</c:v>
                </c:pt>
                <c:pt idx="336">
                  <c:v>0.337</c:v>
                </c:pt>
                <c:pt idx="337">
                  <c:v>0.338</c:v>
                </c:pt>
                <c:pt idx="338">
                  <c:v>0.339</c:v>
                </c:pt>
                <c:pt idx="339">
                  <c:v>0.34</c:v>
                </c:pt>
                <c:pt idx="340">
                  <c:v>0.341</c:v>
                </c:pt>
                <c:pt idx="341">
                  <c:v>0.342</c:v>
                </c:pt>
                <c:pt idx="342">
                  <c:v>0.343</c:v>
                </c:pt>
                <c:pt idx="343">
                  <c:v>0.344</c:v>
                </c:pt>
                <c:pt idx="344">
                  <c:v>0.345</c:v>
                </c:pt>
                <c:pt idx="345">
                  <c:v>0.346</c:v>
                </c:pt>
                <c:pt idx="346">
                  <c:v>0.347</c:v>
                </c:pt>
                <c:pt idx="347">
                  <c:v>0.348</c:v>
                </c:pt>
                <c:pt idx="348">
                  <c:v>0.349</c:v>
                </c:pt>
                <c:pt idx="349">
                  <c:v>0.35</c:v>
                </c:pt>
                <c:pt idx="350">
                  <c:v>0.351</c:v>
                </c:pt>
                <c:pt idx="351">
                  <c:v>0.352</c:v>
                </c:pt>
                <c:pt idx="352">
                  <c:v>0.353</c:v>
                </c:pt>
                <c:pt idx="353">
                  <c:v>0.354</c:v>
                </c:pt>
                <c:pt idx="354">
                  <c:v>0.355</c:v>
                </c:pt>
                <c:pt idx="355">
                  <c:v>0.356</c:v>
                </c:pt>
                <c:pt idx="356">
                  <c:v>0.357</c:v>
                </c:pt>
                <c:pt idx="357">
                  <c:v>0.358</c:v>
                </c:pt>
                <c:pt idx="358">
                  <c:v>0.359</c:v>
                </c:pt>
                <c:pt idx="359">
                  <c:v>0.36</c:v>
                </c:pt>
                <c:pt idx="360">
                  <c:v>0.361</c:v>
                </c:pt>
                <c:pt idx="361">
                  <c:v>0.362</c:v>
                </c:pt>
                <c:pt idx="362">
                  <c:v>0.363</c:v>
                </c:pt>
                <c:pt idx="363">
                  <c:v>0.364</c:v>
                </c:pt>
                <c:pt idx="364">
                  <c:v>0.365</c:v>
                </c:pt>
                <c:pt idx="365">
                  <c:v>0.366</c:v>
                </c:pt>
                <c:pt idx="366">
                  <c:v>0.367</c:v>
                </c:pt>
                <c:pt idx="367">
                  <c:v>0.368</c:v>
                </c:pt>
                <c:pt idx="368">
                  <c:v>0.369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c:v>
                </c:pt>
                <c:pt idx="381">
                  <c:v>0.382</c:v>
                </c:pt>
                <c:pt idx="382">
                  <c:v>0.383</c:v>
                </c:pt>
                <c:pt idx="383">
                  <c:v>0.384</c:v>
                </c:pt>
                <c:pt idx="384">
                  <c:v>0.385</c:v>
                </c:pt>
                <c:pt idx="385">
                  <c:v>0.386</c:v>
                </c:pt>
                <c:pt idx="386">
                  <c:v>0.387</c:v>
                </c:pt>
                <c:pt idx="387">
                  <c:v>0.388</c:v>
                </c:pt>
                <c:pt idx="388">
                  <c:v>0.389</c:v>
                </c:pt>
                <c:pt idx="389">
                  <c:v>0.39</c:v>
                </c:pt>
                <c:pt idx="390">
                  <c:v>0.391</c:v>
                </c:pt>
                <c:pt idx="391">
                  <c:v>0.392</c:v>
                </c:pt>
                <c:pt idx="392">
                  <c:v>0.393</c:v>
                </c:pt>
                <c:pt idx="393">
                  <c:v>0.394</c:v>
                </c:pt>
                <c:pt idx="394">
                  <c:v>0.395</c:v>
                </c:pt>
                <c:pt idx="395">
                  <c:v>0.396</c:v>
                </c:pt>
                <c:pt idx="396">
                  <c:v>0.397</c:v>
                </c:pt>
                <c:pt idx="397">
                  <c:v>0.398</c:v>
                </c:pt>
                <c:pt idx="398">
                  <c:v>0.399</c:v>
                </c:pt>
                <c:pt idx="399">
                  <c:v>0.4</c:v>
                </c:pt>
                <c:pt idx="400">
                  <c:v>0.401</c:v>
                </c:pt>
                <c:pt idx="401">
                  <c:v>0.402</c:v>
                </c:pt>
                <c:pt idx="402">
                  <c:v>0.403</c:v>
                </c:pt>
                <c:pt idx="403">
                  <c:v>0.404</c:v>
                </c:pt>
                <c:pt idx="404">
                  <c:v>0.405</c:v>
                </c:pt>
                <c:pt idx="405">
                  <c:v>0.406</c:v>
                </c:pt>
                <c:pt idx="406">
                  <c:v>0.407</c:v>
                </c:pt>
                <c:pt idx="407">
                  <c:v>0.408</c:v>
                </c:pt>
                <c:pt idx="408">
                  <c:v>0.409</c:v>
                </c:pt>
                <c:pt idx="409">
                  <c:v>0.41</c:v>
                </c:pt>
                <c:pt idx="410">
                  <c:v>0.411</c:v>
                </c:pt>
                <c:pt idx="411">
                  <c:v>0.412</c:v>
                </c:pt>
                <c:pt idx="412">
                  <c:v>0.413</c:v>
                </c:pt>
                <c:pt idx="413">
                  <c:v>0.414</c:v>
                </c:pt>
                <c:pt idx="414">
                  <c:v>0.415</c:v>
                </c:pt>
                <c:pt idx="415">
                  <c:v>0.416</c:v>
                </c:pt>
                <c:pt idx="416">
                  <c:v>0.417</c:v>
                </c:pt>
                <c:pt idx="417">
                  <c:v>0.418</c:v>
                </c:pt>
                <c:pt idx="418">
                  <c:v>0.419</c:v>
                </c:pt>
                <c:pt idx="419">
                  <c:v>0.42</c:v>
                </c:pt>
                <c:pt idx="420">
                  <c:v>0.421</c:v>
                </c:pt>
                <c:pt idx="421">
                  <c:v>0.422</c:v>
                </c:pt>
                <c:pt idx="422">
                  <c:v>0.423</c:v>
                </c:pt>
                <c:pt idx="423">
                  <c:v>0.424</c:v>
                </c:pt>
                <c:pt idx="424">
                  <c:v>0.425</c:v>
                </c:pt>
                <c:pt idx="425">
                  <c:v>0.426</c:v>
                </c:pt>
                <c:pt idx="426">
                  <c:v>0.427</c:v>
                </c:pt>
                <c:pt idx="427">
                  <c:v>0.428</c:v>
                </c:pt>
                <c:pt idx="428">
                  <c:v>0.429</c:v>
                </c:pt>
                <c:pt idx="429">
                  <c:v>0.43</c:v>
                </c:pt>
                <c:pt idx="430">
                  <c:v>0.431</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c:v>
                </c:pt>
                <c:pt idx="444">
                  <c:v>0.445</c:v>
                </c:pt>
                <c:pt idx="445">
                  <c:v>0.446</c:v>
                </c:pt>
                <c:pt idx="446">
                  <c:v>0.447</c:v>
                </c:pt>
                <c:pt idx="447">
                  <c:v>0.448</c:v>
                </c:pt>
                <c:pt idx="448">
                  <c:v>0.449</c:v>
                </c:pt>
                <c:pt idx="449">
                  <c:v>0.45</c:v>
                </c:pt>
                <c:pt idx="450">
                  <c:v>0.451</c:v>
                </c:pt>
                <c:pt idx="451">
                  <c:v>0.452</c:v>
                </c:pt>
                <c:pt idx="452">
                  <c:v>0.453</c:v>
                </c:pt>
                <c:pt idx="453">
                  <c:v>0.454</c:v>
                </c:pt>
                <c:pt idx="454">
                  <c:v>0.455</c:v>
                </c:pt>
                <c:pt idx="455">
                  <c:v>0.456</c:v>
                </c:pt>
                <c:pt idx="456">
                  <c:v>0.457</c:v>
                </c:pt>
                <c:pt idx="457">
                  <c:v>0.458</c:v>
                </c:pt>
                <c:pt idx="458">
                  <c:v>0.459</c:v>
                </c:pt>
                <c:pt idx="459">
                  <c:v>0.46</c:v>
                </c:pt>
                <c:pt idx="460">
                  <c:v>0.461</c:v>
                </c:pt>
                <c:pt idx="461">
                  <c:v>0.462</c:v>
                </c:pt>
                <c:pt idx="462">
                  <c:v>0.463</c:v>
                </c:pt>
                <c:pt idx="463">
                  <c:v>0.464</c:v>
                </c:pt>
                <c:pt idx="464">
                  <c:v>0.465</c:v>
                </c:pt>
                <c:pt idx="465">
                  <c:v>0.466</c:v>
                </c:pt>
                <c:pt idx="466">
                  <c:v>0.467</c:v>
                </c:pt>
                <c:pt idx="467">
                  <c:v>0.468</c:v>
                </c:pt>
                <c:pt idx="468">
                  <c:v>0.469</c:v>
                </c:pt>
                <c:pt idx="469">
                  <c:v>0.47</c:v>
                </c:pt>
                <c:pt idx="470">
                  <c:v>0.471</c:v>
                </c:pt>
                <c:pt idx="471">
                  <c:v>0.472</c:v>
                </c:pt>
                <c:pt idx="472">
                  <c:v>0.473</c:v>
                </c:pt>
                <c:pt idx="473">
                  <c:v>0.474</c:v>
                </c:pt>
                <c:pt idx="474">
                  <c:v>0.475</c:v>
                </c:pt>
                <c:pt idx="475">
                  <c:v>0.476</c:v>
                </c:pt>
                <c:pt idx="476">
                  <c:v>0.477</c:v>
                </c:pt>
                <c:pt idx="477">
                  <c:v>0.478</c:v>
                </c:pt>
                <c:pt idx="478">
                  <c:v>0.479</c:v>
                </c:pt>
                <c:pt idx="479">
                  <c:v>0.48</c:v>
                </c:pt>
                <c:pt idx="480">
                  <c:v>0.481</c:v>
                </c:pt>
                <c:pt idx="481">
                  <c:v>0.482</c:v>
                </c:pt>
                <c:pt idx="482">
                  <c:v>0.483</c:v>
                </c:pt>
                <c:pt idx="483">
                  <c:v>0.484</c:v>
                </c:pt>
                <c:pt idx="484">
                  <c:v>0.485</c:v>
                </c:pt>
                <c:pt idx="485">
                  <c:v>0.486</c:v>
                </c:pt>
                <c:pt idx="486">
                  <c:v>0.487</c:v>
                </c:pt>
                <c:pt idx="487">
                  <c:v>0.488</c:v>
                </c:pt>
                <c:pt idx="488">
                  <c:v>0.489</c:v>
                </c:pt>
                <c:pt idx="489">
                  <c:v>0.49</c:v>
                </c:pt>
                <c:pt idx="490">
                  <c:v>0.491</c:v>
                </c:pt>
                <c:pt idx="491">
                  <c:v>0.492</c:v>
                </c:pt>
                <c:pt idx="492">
                  <c:v>0.493</c:v>
                </c:pt>
                <c:pt idx="493">
                  <c:v>0.494</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c:v>
                </c:pt>
                <c:pt idx="506">
                  <c:v>0.507</c:v>
                </c:pt>
                <c:pt idx="507">
                  <c:v>0.508</c:v>
                </c:pt>
                <c:pt idx="508">
                  <c:v>0.509</c:v>
                </c:pt>
                <c:pt idx="509">
                  <c:v>0.51</c:v>
                </c:pt>
                <c:pt idx="510">
                  <c:v>0.511</c:v>
                </c:pt>
                <c:pt idx="511">
                  <c:v>0.512</c:v>
                </c:pt>
                <c:pt idx="512">
                  <c:v>0.513</c:v>
                </c:pt>
                <c:pt idx="513">
                  <c:v>0.514</c:v>
                </c:pt>
                <c:pt idx="514">
                  <c:v>0.515</c:v>
                </c:pt>
                <c:pt idx="515">
                  <c:v>0.516</c:v>
                </c:pt>
                <c:pt idx="516">
                  <c:v>0.517</c:v>
                </c:pt>
                <c:pt idx="517">
                  <c:v>0.518</c:v>
                </c:pt>
                <c:pt idx="518">
                  <c:v>0.519</c:v>
                </c:pt>
                <c:pt idx="519">
                  <c:v>0.52</c:v>
                </c:pt>
                <c:pt idx="520">
                  <c:v>0.521</c:v>
                </c:pt>
                <c:pt idx="521">
                  <c:v>0.522</c:v>
                </c:pt>
                <c:pt idx="522">
                  <c:v>0.523</c:v>
                </c:pt>
                <c:pt idx="523">
                  <c:v>0.524</c:v>
                </c:pt>
                <c:pt idx="524">
                  <c:v>0.525</c:v>
                </c:pt>
                <c:pt idx="525">
                  <c:v>0.526</c:v>
                </c:pt>
                <c:pt idx="526">
                  <c:v>0.527</c:v>
                </c:pt>
                <c:pt idx="527">
                  <c:v>0.528</c:v>
                </c:pt>
                <c:pt idx="528">
                  <c:v>0.529</c:v>
                </c:pt>
                <c:pt idx="529">
                  <c:v>0.53</c:v>
                </c:pt>
                <c:pt idx="530">
                  <c:v>0.531</c:v>
                </c:pt>
                <c:pt idx="531">
                  <c:v>0.532</c:v>
                </c:pt>
                <c:pt idx="532">
                  <c:v>0.533</c:v>
                </c:pt>
                <c:pt idx="533">
                  <c:v>0.534</c:v>
                </c:pt>
                <c:pt idx="534">
                  <c:v>0.535</c:v>
                </c:pt>
                <c:pt idx="535">
                  <c:v>0.536</c:v>
                </c:pt>
                <c:pt idx="536">
                  <c:v>0.537</c:v>
                </c:pt>
                <c:pt idx="537">
                  <c:v>0.538</c:v>
                </c:pt>
                <c:pt idx="538">
                  <c:v>0.539</c:v>
                </c:pt>
                <c:pt idx="539">
                  <c:v>0.54</c:v>
                </c:pt>
                <c:pt idx="540">
                  <c:v>0.541</c:v>
                </c:pt>
                <c:pt idx="541">
                  <c:v>0.542</c:v>
                </c:pt>
                <c:pt idx="542">
                  <c:v>0.543</c:v>
                </c:pt>
                <c:pt idx="543">
                  <c:v>0.544</c:v>
                </c:pt>
                <c:pt idx="544">
                  <c:v>0.545</c:v>
                </c:pt>
                <c:pt idx="545">
                  <c:v>0.546</c:v>
                </c:pt>
                <c:pt idx="546">
                  <c:v>0.547</c:v>
                </c:pt>
                <c:pt idx="547">
                  <c:v>0.548</c:v>
                </c:pt>
                <c:pt idx="548">
                  <c:v>0.549</c:v>
                </c:pt>
                <c:pt idx="549">
                  <c:v>0.55</c:v>
                </c:pt>
                <c:pt idx="550">
                  <c:v>0.551</c:v>
                </c:pt>
                <c:pt idx="551">
                  <c:v>0.552</c:v>
                </c:pt>
                <c:pt idx="552">
                  <c:v>0.553</c:v>
                </c:pt>
                <c:pt idx="553">
                  <c:v>0.554</c:v>
                </c:pt>
                <c:pt idx="554">
                  <c:v>0.555</c:v>
                </c:pt>
                <c:pt idx="555">
                  <c:v>0.556</c:v>
                </c:pt>
                <c:pt idx="556">
                  <c:v>0.557</c:v>
                </c:pt>
                <c:pt idx="557">
                  <c:v>0.558</c:v>
                </c:pt>
                <c:pt idx="558">
                  <c:v>0.559</c:v>
                </c:pt>
                <c:pt idx="559">
                  <c:v>0.56</c:v>
                </c:pt>
                <c:pt idx="560">
                  <c:v>0.561</c:v>
                </c:pt>
                <c:pt idx="561">
                  <c:v>0.562</c:v>
                </c:pt>
                <c:pt idx="562">
                  <c:v>0.563</c:v>
                </c:pt>
                <c:pt idx="563">
                  <c:v>0.564</c:v>
                </c:pt>
                <c:pt idx="564">
                  <c:v>0.565</c:v>
                </c:pt>
                <c:pt idx="565">
                  <c:v>0.566</c:v>
                </c:pt>
                <c:pt idx="566">
                  <c:v>0.567</c:v>
                </c:pt>
                <c:pt idx="567">
                  <c:v>0.568</c:v>
                </c:pt>
                <c:pt idx="568">
                  <c:v>0.569</c:v>
                </c:pt>
                <c:pt idx="569">
                  <c:v>0.57</c:v>
                </c:pt>
                <c:pt idx="570">
                  <c:v>0.571</c:v>
                </c:pt>
                <c:pt idx="571">
                  <c:v>0.572</c:v>
                </c:pt>
                <c:pt idx="572">
                  <c:v>0.573</c:v>
                </c:pt>
                <c:pt idx="573">
                  <c:v>0.574</c:v>
                </c:pt>
                <c:pt idx="574">
                  <c:v>0.575</c:v>
                </c:pt>
                <c:pt idx="575">
                  <c:v>0.576</c:v>
                </c:pt>
                <c:pt idx="576">
                  <c:v>0.577</c:v>
                </c:pt>
                <c:pt idx="577">
                  <c:v>0.578</c:v>
                </c:pt>
                <c:pt idx="578">
                  <c:v>0.579</c:v>
                </c:pt>
                <c:pt idx="579">
                  <c:v>0.58</c:v>
                </c:pt>
                <c:pt idx="580">
                  <c:v>0.581</c:v>
                </c:pt>
                <c:pt idx="581">
                  <c:v>0.582</c:v>
                </c:pt>
                <c:pt idx="582">
                  <c:v>0.583</c:v>
                </c:pt>
                <c:pt idx="583">
                  <c:v>0.584</c:v>
                </c:pt>
                <c:pt idx="584">
                  <c:v>0.585</c:v>
                </c:pt>
                <c:pt idx="585">
                  <c:v>0.586</c:v>
                </c:pt>
                <c:pt idx="586">
                  <c:v>0.587</c:v>
                </c:pt>
                <c:pt idx="587">
                  <c:v>0.588</c:v>
                </c:pt>
                <c:pt idx="588">
                  <c:v>0.589</c:v>
                </c:pt>
                <c:pt idx="589">
                  <c:v>0.59</c:v>
                </c:pt>
                <c:pt idx="590">
                  <c:v>0.591</c:v>
                </c:pt>
                <c:pt idx="591">
                  <c:v>0.592</c:v>
                </c:pt>
                <c:pt idx="592">
                  <c:v>0.593</c:v>
                </c:pt>
                <c:pt idx="593">
                  <c:v>0.594</c:v>
                </c:pt>
                <c:pt idx="594">
                  <c:v>0.595</c:v>
                </c:pt>
                <c:pt idx="595">
                  <c:v>0.596</c:v>
                </c:pt>
                <c:pt idx="596">
                  <c:v>0.597</c:v>
                </c:pt>
                <c:pt idx="597">
                  <c:v>0.598</c:v>
                </c:pt>
                <c:pt idx="598">
                  <c:v>0.599</c:v>
                </c:pt>
                <c:pt idx="599">
                  <c:v>0.6</c:v>
                </c:pt>
                <c:pt idx="600">
                  <c:v>0.601</c:v>
                </c:pt>
                <c:pt idx="601">
                  <c:v>0.602</c:v>
                </c:pt>
                <c:pt idx="602">
                  <c:v>0.603</c:v>
                </c:pt>
                <c:pt idx="603">
                  <c:v>0.604</c:v>
                </c:pt>
                <c:pt idx="604">
                  <c:v>0.605</c:v>
                </c:pt>
                <c:pt idx="605">
                  <c:v>0.606</c:v>
                </c:pt>
                <c:pt idx="606">
                  <c:v>0.607</c:v>
                </c:pt>
                <c:pt idx="607">
                  <c:v>0.608</c:v>
                </c:pt>
                <c:pt idx="608">
                  <c:v>0.609</c:v>
                </c:pt>
                <c:pt idx="609">
                  <c:v>0.61</c:v>
                </c:pt>
                <c:pt idx="610">
                  <c:v>0.611</c:v>
                </c:pt>
                <c:pt idx="611">
                  <c:v>0.612</c:v>
                </c:pt>
                <c:pt idx="612">
                  <c:v>0.613</c:v>
                </c:pt>
                <c:pt idx="613">
                  <c:v>0.614</c:v>
                </c:pt>
                <c:pt idx="614">
                  <c:v>0.615</c:v>
                </c:pt>
                <c:pt idx="615">
                  <c:v>0.616</c:v>
                </c:pt>
                <c:pt idx="616">
                  <c:v>0.617</c:v>
                </c:pt>
                <c:pt idx="617">
                  <c:v>0.618</c:v>
                </c:pt>
                <c:pt idx="618">
                  <c:v>0.619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c:v>
                </c:pt>
                <c:pt idx="631">
                  <c:v>0.632</c:v>
                </c:pt>
                <c:pt idx="632">
                  <c:v>0.633</c:v>
                </c:pt>
                <c:pt idx="633">
                  <c:v>0.634</c:v>
                </c:pt>
                <c:pt idx="634">
                  <c:v>0.635</c:v>
                </c:pt>
                <c:pt idx="635">
                  <c:v>0.636</c:v>
                </c:pt>
                <c:pt idx="636">
                  <c:v>0.637</c:v>
                </c:pt>
                <c:pt idx="637">
                  <c:v>0.638</c:v>
                </c:pt>
                <c:pt idx="638">
                  <c:v>0.639</c:v>
                </c:pt>
                <c:pt idx="639">
                  <c:v>0.64</c:v>
                </c:pt>
                <c:pt idx="640">
                  <c:v>0.641</c:v>
                </c:pt>
                <c:pt idx="641">
                  <c:v>0.642</c:v>
                </c:pt>
                <c:pt idx="642">
                  <c:v>0.643</c:v>
                </c:pt>
                <c:pt idx="643">
                  <c:v>0.644</c:v>
                </c:pt>
                <c:pt idx="644">
                  <c:v>0.645</c:v>
                </c:pt>
                <c:pt idx="645">
                  <c:v>0.646</c:v>
                </c:pt>
                <c:pt idx="646">
                  <c:v>0.647</c:v>
                </c:pt>
                <c:pt idx="647">
                  <c:v>0.648</c:v>
                </c:pt>
                <c:pt idx="648">
                  <c:v>0.649</c:v>
                </c:pt>
                <c:pt idx="649">
                  <c:v>0.65</c:v>
                </c:pt>
                <c:pt idx="650">
                  <c:v>0.651</c:v>
                </c:pt>
                <c:pt idx="651">
                  <c:v>0.652</c:v>
                </c:pt>
                <c:pt idx="652">
                  <c:v>0.653</c:v>
                </c:pt>
                <c:pt idx="653">
                  <c:v>0.654</c:v>
                </c:pt>
                <c:pt idx="654">
                  <c:v>0.655</c:v>
                </c:pt>
                <c:pt idx="655">
                  <c:v>0.656</c:v>
                </c:pt>
                <c:pt idx="656">
                  <c:v>0.657</c:v>
                </c:pt>
                <c:pt idx="657">
                  <c:v>0.658</c:v>
                </c:pt>
                <c:pt idx="658">
                  <c:v>0.659</c:v>
                </c:pt>
                <c:pt idx="659">
                  <c:v>0.66</c:v>
                </c:pt>
                <c:pt idx="660">
                  <c:v>0.661</c:v>
                </c:pt>
                <c:pt idx="661">
                  <c:v>0.662</c:v>
                </c:pt>
                <c:pt idx="662">
                  <c:v>0.663</c:v>
                </c:pt>
                <c:pt idx="663">
                  <c:v>0.664</c:v>
                </c:pt>
                <c:pt idx="664">
                  <c:v>0.665</c:v>
                </c:pt>
                <c:pt idx="665">
                  <c:v>0.666</c:v>
                </c:pt>
                <c:pt idx="666">
                  <c:v>0.667</c:v>
                </c:pt>
                <c:pt idx="667">
                  <c:v>0.668</c:v>
                </c:pt>
                <c:pt idx="668">
                  <c:v>0.669</c:v>
                </c:pt>
                <c:pt idx="669">
                  <c:v>0.67</c:v>
                </c:pt>
                <c:pt idx="670">
                  <c:v>0.671</c:v>
                </c:pt>
                <c:pt idx="671">
                  <c:v>0.672</c:v>
                </c:pt>
                <c:pt idx="672">
                  <c:v>0.673</c:v>
                </c:pt>
                <c:pt idx="673">
                  <c:v>0.674</c:v>
                </c:pt>
                <c:pt idx="674">
                  <c:v>0.675</c:v>
                </c:pt>
                <c:pt idx="675">
                  <c:v>0.676</c:v>
                </c:pt>
                <c:pt idx="676">
                  <c:v>0.677</c:v>
                </c:pt>
                <c:pt idx="677">
                  <c:v>0.678</c:v>
                </c:pt>
                <c:pt idx="678">
                  <c:v>0.679</c:v>
                </c:pt>
                <c:pt idx="679">
                  <c:v>0.68</c:v>
                </c:pt>
                <c:pt idx="680">
                  <c:v>0.681</c:v>
                </c:pt>
                <c:pt idx="681">
                  <c:v>0.682</c:v>
                </c:pt>
                <c:pt idx="682">
                  <c:v>0.683</c:v>
                </c:pt>
                <c:pt idx="683">
                  <c:v>0.684</c:v>
                </c:pt>
                <c:pt idx="684">
                  <c:v>0.685</c:v>
                </c:pt>
                <c:pt idx="685">
                  <c:v>0.686</c:v>
                </c:pt>
                <c:pt idx="686">
                  <c:v>0.687</c:v>
                </c:pt>
                <c:pt idx="687">
                  <c:v>0.688</c:v>
                </c:pt>
                <c:pt idx="688">
                  <c:v>0.689</c:v>
                </c:pt>
                <c:pt idx="689">
                  <c:v>0.69</c:v>
                </c:pt>
                <c:pt idx="690">
                  <c:v>0.691</c:v>
                </c:pt>
                <c:pt idx="691">
                  <c:v>0.692</c:v>
                </c:pt>
                <c:pt idx="692">
                  <c:v>0.693</c:v>
                </c:pt>
                <c:pt idx="693">
                  <c:v>0.694</c:v>
                </c:pt>
                <c:pt idx="694">
                  <c:v>0.695</c:v>
                </c:pt>
                <c:pt idx="695">
                  <c:v>0.696</c:v>
                </c:pt>
                <c:pt idx="696">
                  <c:v>0.697</c:v>
                </c:pt>
                <c:pt idx="697">
                  <c:v>0.698</c:v>
                </c:pt>
                <c:pt idx="698">
                  <c:v>0.699</c:v>
                </c:pt>
                <c:pt idx="699">
                  <c:v>0.7</c:v>
                </c:pt>
                <c:pt idx="700">
                  <c:v>0.701</c:v>
                </c:pt>
                <c:pt idx="701">
                  <c:v>0.702</c:v>
                </c:pt>
                <c:pt idx="702">
                  <c:v>0.703</c:v>
                </c:pt>
                <c:pt idx="703">
                  <c:v>0.704</c:v>
                </c:pt>
                <c:pt idx="704">
                  <c:v>0.705</c:v>
                </c:pt>
                <c:pt idx="705">
                  <c:v>0.706</c:v>
                </c:pt>
                <c:pt idx="706">
                  <c:v>0.707</c:v>
                </c:pt>
                <c:pt idx="707">
                  <c:v>0.708</c:v>
                </c:pt>
                <c:pt idx="708">
                  <c:v>0.709</c:v>
                </c:pt>
                <c:pt idx="709">
                  <c:v>0.71</c:v>
                </c:pt>
                <c:pt idx="710">
                  <c:v>0.711</c:v>
                </c:pt>
                <c:pt idx="711">
                  <c:v>0.712</c:v>
                </c:pt>
                <c:pt idx="712">
                  <c:v>0.713</c:v>
                </c:pt>
                <c:pt idx="713">
                  <c:v>0.714</c:v>
                </c:pt>
                <c:pt idx="714">
                  <c:v>0.715</c:v>
                </c:pt>
                <c:pt idx="715">
                  <c:v>0.716</c:v>
                </c:pt>
                <c:pt idx="716">
                  <c:v>0.717</c:v>
                </c:pt>
                <c:pt idx="717">
                  <c:v>0.718</c:v>
                </c:pt>
                <c:pt idx="718">
                  <c:v>0.719</c:v>
                </c:pt>
                <c:pt idx="719">
                  <c:v>0.72</c:v>
                </c:pt>
                <c:pt idx="720">
                  <c:v>0.721</c:v>
                </c:pt>
                <c:pt idx="721">
                  <c:v>0.722</c:v>
                </c:pt>
                <c:pt idx="722">
                  <c:v>0.723</c:v>
                </c:pt>
                <c:pt idx="723">
                  <c:v>0.724</c:v>
                </c:pt>
                <c:pt idx="724">
                  <c:v>0.725</c:v>
                </c:pt>
                <c:pt idx="725">
                  <c:v>0.726</c:v>
                </c:pt>
                <c:pt idx="726">
                  <c:v>0.727</c:v>
                </c:pt>
                <c:pt idx="727">
                  <c:v>0.728</c:v>
                </c:pt>
                <c:pt idx="728">
                  <c:v>0.729</c:v>
                </c:pt>
                <c:pt idx="729">
                  <c:v>0.73</c:v>
                </c:pt>
                <c:pt idx="730">
                  <c:v>0.731</c:v>
                </c:pt>
                <c:pt idx="731">
                  <c:v>0.732</c:v>
                </c:pt>
                <c:pt idx="732">
                  <c:v>0.733</c:v>
                </c:pt>
                <c:pt idx="733">
                  <c:v>0.734</c:v>
                </c:pt>
                <c:pt idx="734">
                  <c:v>0.735</c:v>
                </c:pt>
                <c:pt idx="735">
                  <c:v>0.736</c:v>
                </c:pt>
                <c:pt idx="736">
                  <c:v>0.737</c:v>
                </c:pt>
                <c:pt idx="737">
                  <c:v>0.738</c:v>
                </c:pt>
                <c:pt idx="738">
                  <c:v>0.739</c:v>
                </c:pt>
                <c:pt idx="739">
                  <c:v>0.74</c:v>
                </c:pt>
                <c:pt idx="740">
                  <c:v>0.741</c:v>
                </c:pt>
                <c:pt idx="741">
                  <c:v>0.742</c:v>
                </c:pt>
                <c:pt idx="742">
                  <c:v>0.743</c:v>
                </c:pt>
                <c:pt idx="743">
                  <c:v>0.744</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c:v>
                </c:pt>
                <c:pt idx="756">
                  <c:v>0.757</c:v>
                </c:pt>
                <c:pt idx="757">
                  <c:v>0.758</c:v>
                </c:pt>
                <c:pt idx="758">
                  <c:v>0.759</c:v>
                </c:pt>
                <c:pt idx="759">
                  <c:v>0.76</c:v>
                </c:pt>
                <c:pt idx="760">
                  <c:v>0.761</c:v>
                </c:pt>
                <c:pt idx="761">
                  <c:v>0.762</c:v>
                </c:pt>
                <c:pt idx="762">
                  <c:v>0.763</c:v>
                </c:pt>
                <c:pt idx="763">
                  <c:v>0.764</c:v>
                </c:pt>
                <c:pt idx="764">
                  <c:v>0.765</c:v>
                </c:pt>
                <c:pt idx="765">
                  <c:v>0.766</c:v>
                </c:pt>
                <c:pt idx="766">
                  <c:v>0.767</c:v>
                </c:pt>
                <c:pt idx="767">
                  <c:v>0.768</c:v>
                </c:pt>
                <c:pt idx="768">
                  <c:v>0.769</c:v>
                </c:pt>
                <c:pt idx="769">
                  <c:v>0.77</c:v>
                </c:pt>
                <c:pt idx="770">
                  <c:v>0.771</c:v>
                </c:pt>
                <c:pt idx="771">
                  <c:v>0.772</c:v>
                </c:pt>
                <c:pt idx="772">
                  <c:v>0.773</c:v>
                </c:pt>
                <c:pt idx="773">
                  <c:v>0.774</c:v>
                </c:pt>
                <c:pt idx="774">
                  <c:v>0.775</c:v>
                </c:pt>
                <c:pt idx="775">
                  <c:v>0.776</c:v>
                </c:pt>
                <c:pt idx="776">
                  <c:v>0.777</c:v>
                </c:pt>
                <c:pt idx="777">
                  <c:v>0.778</c:v>
                </c:pt>
                <c:pt idx="778">
                  <c:v>0.779</c:v>
                </c:pt>
                <c:pt idx="779">
                  <c:v>0.78</c:v>
                </c:pt>
                <c:pt idx="780">
                  <c:v>0.781</c:v>
                </c:pt>
                <c:pt idx="781">
                  <c:v>0.782</c:v>
                </c:pt>
                <c:pt idx="782">
                  <c:v>0.783</c:v>
                </c:pt>
                <c:pt idx="783">
                  <c:v>0.784</c:v>
                </c:pt>
                <c:pt idx="784">
                  <c:v>0.785</c:v>
                </c:pt>
                <c:pt idx="785">
                  <c:v>0.786</c:v>
                </c:pt>
                <c:pt idx="786">
                  <c:v>0.787</c:v>
                </c:pt>
                <c:pt idx="787">
                  <c:v>0.788</c:v>
                </c:pt>
                <c:pt idx="788">
                  <c:v>0.789</c:v>
                </c:pt>
                <c:pt idx="789">
                  <c:v>0.79</c:v>
                </c:pt>
                <c:pt idx="790">
                  <c:v>0.791</c:v>
                </c:pt>
                <c:pt idx="791">
                  <c:v>0.792</c:v>
                </c:pt>
                <c:pt idx="792">
                  <c:v>0.793</c:v>
                </c:pt>
                <c:pt idx="793">
                  <c:v>0.794</c:v>
                </c:pt>
                <c:pt idx="794">
                  <c:v>0.795</c:v>
                </c:pt>
                <c:pt idx="795">
                  <c:v>0.796</c:v>
                </c:pt>
                <c:pt idx="796">
                  <c:v>0.797</c:v>
                </c:pt>
                <c:pt idx="797">
                  <c:v>0.798</c:v>
                </c:pt>
                <c:pt idx="798">
                  <c:v>0.799</c:v>
                </c:pt>
                <c:pt idx="799">
                  <c:v>0.8</c:v>
                </c:pt>
                <c:pt idx="800">
                  <c:v>0.801</c:v>
                </c:pt>
                <c:pt idx="801">
                  <c:v>0.802</c:v>
                </c:pt>
                <c:pt idx="802">
                  <c:v>0.803</c:v>
                </c:pt>
                <c:pt idx="803">
                  <c:v>0.804</c:v>
                </c:pt>
                <c:pt idx="804">
                  <c:v>0.805</c:v>
                </c:pt>
                <c:pt idx="805">
                  <c:v>0.806</c:v>
                </c:pt>
                <c:pt idx="806">
                  <c:v>0.807</c:v>
                </c:pt>
                <c:pt idx="807">
                  <c:v>0.808</c:v>
                </c:pt>
                <c:pt idx="808">
                  <c:v>0.809</c:v>
                </c:pt>
                <c:pt idx="809">
                  <c:v>0.81</c:v>
                </c:pt>
                <c:pt idx="810">
                  <c:v>0.811</c:v>
                </c:pt>
                <c:pt idx="811">
                  <c:v>0.812</c:v>
                </c:pt>
                <c:pt idx="812">
                  <c:v>0.813</c:v>
                </c:pt>
                <c:pt idx="813">
                  <c:v>0.814</c:v>
                </c:pt>
                <c:pt idx="814">
                  <c:v>0.815</c:v>
                </c:pt>
                <c:pt idx="815">
                  <c:v>0.816</c:v>
                </c:pt>
                <c:pt idx="816">
                  <c:v>0.817</c:v>
                </c:pt>
                <c:pt idx="817">
                  <c:v>0.818</c:v>
                </c:pt>
                <c:pt idx="818">
                  <c:v>0.819</c:v>
                </c:pt>
                <c:pt idx="819">
                  <c:v>0.82</c:v>
                </c:pt>
                <c:pt idx="820">
                  <c:v>0.821</c:v>
                </c:pt>
                <c:pt idx="821">
                  <c:v>0.822</c:v>
                </c:pt>
                <c:pt idx="822">
                  <c:v>0.823</c:v>
                </c:pt>
                <c:pt idx="823">
                  <c:v>0.824</c:v>
                </c:pt>
                <c:pt idx="824">
                  <c:v>0.825</c:v>
                </c:pt>
                <c:pt idx="825">
                  <c:v>0.826</c:v>
                </c:pt>
                <c:pt idx="826">
                  <c:v>0.827</c:v>
                </c:pt>
                <c:pt idx="827">
                  <c:v>0.828</c:v>
                </c:pt>
                <c:pt idx="828">
                  <c:v>0.829</c:v>
                </c:pt>
                <c:pt idx="829">
                  <c:v>0.83</c:v>
                </c:pt>
                <c:pt idx="830">
                  <c:v>0.831</c:v>
                </c:pt>
                <c:pt idx="831">
                  <c:v>0.832</c:v>
                </c:pt>
                <c:pt idx="832">
                  <c:v>0.833</c:v>
                </c:pt>
                <c:pt idx="833">
                  <c:v>0.834</c:v>
                </c:pt>
                <c:pt idx="834">
                  <c:v>0.835</c:v>
                </c:pt>
                <c:pt idx="835">
                  <c:v>0.836</c:v>
                </c:pt>
                <c:pt idx="836">
                  <c:v>0.837</c:v>
                </c:pt>
                <c:pt idx="837">
                  <c:v>0.838</c:v>
                </c:pt>
                <c:pt idx="838">
                  <c:v>0.839</c:v>
                </c:pt>
                <c:pt idx="839">
                  <c:v>0.84</c:v>
                </c:pt>
                <c:pt idx="840">
                  <c:v>0.841</c:v>
                </c:pt>
                <c:pt idx="841">
                  <c:v>0.842</c:v>
                </c:pt>
                <c:pt idx="842">
                  <c:v>0.843</c:v>
                </c:pt>
                <c:pt idx="843">
                  <c:v>0.844</c:v>
                </c:pt>
                <c:pt idx="844">
                  <c:v>0.845</c:v>
                </c:pt>
                <c:pt idx="845">
                  <c:v>0.846</c:v>
                </c:pt>
                <c:pt idx="846">
                  <c:v>0.847</c:v>
                </c:pt>
                <c:pt idx="847">
                  <c:v>0.848</c:v>
                </c:pt>
                <c:pt idx="848">
                  <c:v>0.849</c:v>
                </c:pt>
                <c:pt idx="849">
                  <c:v>0.85</c:v>
                </c:pt>
                <c:pt idx="850">
                  <c:v>0.851</c:v>
                </c:pt>
                <c:pt idx="851">
                  <c:v>0.852</c:v>
                </c:pt>
                <c:pt idx="852">
                  <c:v>0.853</c:v>
                </c:pt>
                <c:pt idx="853">
                  <c:v>0.854</c:v>
                </c:pt>
                <c:pt idx="854">
                  <c:v>0.855</c:v>
                </c:pt>
                <c:pt idx="855">
                  <c:v>0.856</c:v>
                </c:pt>
                <c:pt idx="856">
                  <c:v>0.857</c:v>
                </c:pt>
                <c:pt idx="857">
                  <c:v>0.858</c:v>
                </c:pt>
                <c:pt idx="858">
                  <c:v>0.859</c:v>
                </c:pt>
                <c:pt idx="859">
                  <c:v>0.86</c:v>
                </c:pt>
                <c:pt idx="860">
                  <c:v>0.861</c:v>
                </c:pt>
                <c:pt idx="861">
                  <c:v>0.862</c:v>
                </c:pt>
                <c:pt idx="862">
                  <c:v>0.863</c:v>
                </c:pt>
                <c:pt idx="863">
                  <c:v>0.864</c:v>
                </c:pt>
                <c:pt idx="864">
                  <c:v>0.865</c:v>
                </c:pt>
                <c:pt idx="865">
                  <c:v>0.866</c:v>
                </c:pt>
                <c:pt idx="866">
                  <c:v>0.867</c:v>
                </c:pt>
                <c:pt idx="867">
                  <c:v>0.868</c:v>
                </c:pt>
                <c:pt idx="868">
                  <c:v>0.869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c:v>
                </c:pt>
                <c:pt idx="881">
                  <c:v>0.882</c:v>
                </c:pt>
                <c:pt idx="882">
                  <c:v>0.883</c:v>
                </c:pt>
                <c:pt idx="883">
                  <c:v>0.884</c:v>
                </c:pt>
                <c:pt idx="884">
                  <c:v>0.885</c:v>
                </c:pt>
                <c:pt idx="885">
                  <c:v>0.886</c:v>
                </c:pt>
                <c:pt idx="886">
                  <c:v>0.887</c:v>
                </c:pt>
                <c:pt idx="887">
                  <c:v>0.888</c:v>
                </c:pt>
                <c:pt idx="888">
                  <c:v>0.889</c:v>
                </c:pt>
                <c:pt idx="889">
                  <c:v>0.89</c:v>
                </c:pt>
                <c:pt idx="890">
                  <c:v>0.891</c:v>
                </c:pt>
                <c:pt idx="891">
                  <c:v>0.892</c:v>
                </c:pt>
                <c:pt idx="892">
                  <c:v>0.893</c:v>
                </c:pt>
                <c:pt idx="893">
                  <c:v>0.894</c:v>
                </c:pt>
                <c:pt idx="894">
                  <c:v>0.895</c:v>
                </c:pt>
                <c:pt idx="895">
                  <c:v>0.896</c:v>
                </c:pt>
                <c:pt idx="896">
                  <c:v>0.897</c:v>
                </c:pt>
                <c:pt idx="897">
                  <c:v>0.898</c:v>
                </c:pt>
                <c:pt idx="898">
                  <c:v>0.899</c:v>
                </c:pt>
                <c:pt idx="899">
                  <c:v>0.9</c:v>
                </c:pt>
                <c:pt idx="900">
                  <c:v>0.901</c:v>
                </c:pt>
                <c:pt idx="901">
                  <c:v>0.902</c:v>
                </c:pt>
                <c:pt idx="902">
                  <c:v>0.903</c:v>
                </c:pt>
                <c:pt idx="903">
                  <c:v>0.904</c:v>
                </c:pt>
                <c:pt idx="904">
                  <c:v>0.905</c:v>
                </c:pt>
                <c:pt idx="905">
                  <c:v>0.906</c:v>
                </c:pt>
                <c:pt idx="906">
                  <c:v>0.907</c:v>
                </c:pt>
                <c:pt idx="907">
                  <c:v>0.908</c:v>
                </c:pt>
                <c:pt idx="908">
                  <c:v>0.909</c:v>
                </c:pt>
                <c:pt idx="909">
                  <c:v>0.91</c:v>
                </c:pt>
                <c:pt idx="910">
                  <c:v>0.911</c:v>
                </c:pt>
                <c:pt idx="911">
                  <c:v>0.912</c:v>
                </c:pt>
                <c:pt idx="912">
                  <c:v>0.913</c:v>
                </c:pt>
                <c:pt idx="913">
                  <c:v>0.914</c:v>
                </c:pt>
                <c:pt idx="914">
                  <c:v>0.915</c:v>
                </c:pt>
                <c:pt idx="915">
                  <c:v>0.916</c:v>
                </c:pt>
                <c:pt idx="916">
                  <c:v>0.917</c:v>
                </c:pt>
                <c:pt idx="917">
                  <c:v>0.918</c:v>
                </c:pt>
                <c:pt idx="918">
                  <c:v>0.919</c:v>
                </c:pt>
                <c:pt idx="919">
                  <c:v>0.92</c:v>
                </c:pt>
                <c:pt idx="920">
                  <c:v>0.921</c:v>
                </c:pt>
                <c:pt idx="921">
                  <c:v>0.922</c:v>
                </c:pt>
                <c:pt idx="922">
                  <c:v>0.923</c:v>
                </c:pt>
                <c:pt idx="923">
                  <c:v>0.924</c:v>
                </c:pt>
                <c:pt idx="924">
                  <c:v>0.925</c:v>
                </c:pt>
                <c:pt idx="925">
                  <c:v>0.926</c:v>
                </c:pt>
                <c:pt idx="926">
                  <c:v>0.927</c:v>
                </c:pt>
                <c:pt idx="927">
                  <c:v>0.928</c:v>
                </c:pt>
                <c:pt idx="928">
                  <c:v>0.929</c:v>
                </c:pt>
                <c:pt idx="929">
                  <c:v>0.93</c:v>
                </c:pt>
                <c:pt idx="930">
                  <c:v>0.931</c:v>
                </c:pt>
                <c:pt idx="931">
                  <c:v>0.932</c:v>
                </c:pt>
                <c:pt idx="932">
                  <c:v>0.933</c:v>
                </c:pt>
                <c:pt idx="933">
                  <c:v>0.934</c:v>
                </c:pt>
                <c:pt idx="934">
                  <c:v>0.935</c:v>
                </c:pt>
                <c:pt idx="935">
                  <c:v>0.936</c:v>
                </c:pt>
                <c:pt idx="936">
                  <c:v>0.937</c:v>
                </c:pt>
                <c:pt idx="937">
                  <c:v>0.938</c:v>
                </c:pt>
                <c:pt idx="938">
                  <c:v>0.939</c:v>
                </c:pt>
                <c:pt idx="939">
                  <c:v>0.94</c:v>
                </c:pt>
                <c:pt idx="940">
                  <c:v>0.941</c:v>
                </c:pt>
                <c:pt idx="941">
                  <c:v>0.942</c:v>
                </c:pt>
                <c:pt idx="942">
                  <c:v>0.943</c:v>
                </c:pt>
                <c:pt idx="943">
                  <c:v>0.944</c:v>
                </c:pt>
                <c:pt idx="944">
                  <c:v>0.945</c:v>
                </c:pt>
                <c:pt idx="945">
                  <c:v>0.946</c:v>
                </c:pt>
                <c:pt idx="946">
                  <c:v>0.947</c:v>
                </c:pt>
                <c:pt idx="947">
                  <c:v>0.948</c:v>
                </c:pt>
                <c:pt idx="948">
                  <c:v>0.949</c:v>
                </c:pt>
                <c:pt idx="949">
                  <c:v>0.95</c:v>
                </c:pt>
                <c:pt idx="950">
                  <c:v>0.951</c:v>
                </c:pt>
                <c:pt idx="951">
                  <c:v>0.952</c:v>
                </c:pt>
                <c:pt idx="952">
                  <c:v>0.953</c:v>
                </c:pt>
                <c:pt idx="953">
                  <c:v>0.954</c:v>
                </c:pt>
                <c:pt idx="954">
                  <c:v>0.955</c:v>
                </c:pt>
                <c:pt idx="955">
                  <c:v>0.956</c:v>
                </c:pt>
                <c:pt idx="956">
                  <c:v>0.957</c:v>
                </c:pt>
                <c:pt idx="957">
                  <c:v>0.958</c:v>
                </c:pt>
                <c:pt idx="958">
                  <c:v>0.959</c:v>
                </c:pt>
                <c:pt idx="959">
                  <c:v>0.96</c:v>
                </c:pt>
                <c:pt idx="960">
                  <c:v>0.961</c:v>
                </c:pt>
                <c:pt idx="961">
                  <c:v>0.962</c:v>
                </c:pt>
                <c:pt idx="962">
                  <c:v>0.963</c:v>
                </c:pt>
                <c:pt idx="963">
                  <c:v>0.964</c:v>
                </c:pt>
                <c:pt idx="964">
                  <c:v>0.965</c:v>
                </c:pt>
                <c:pt idx="965">
                  <c:v>0.966</c:v>
                </c:pt>
                <c:pt idx="966">
                  <c:v>0.967</c:v>
                </c:pt>
                <c:pt idx="967">
                  <c:v>0.968</c:v>
                </c:pt>
                <c:pt idx="968">
                  <c:v>0.969</c:v>
                </c:pt>
                <c:pt idx="969">
                  <c:v>0.97</c:v>
                </c:pt>
                <c:pt idx="970">
                  <c:v>0.971</c:v>
                </c:pt>
                <c:pt idx="971">
                  <c:v>0.972</c:v>
                </c:pt>
                <c:pt idx="972">
                  <c:v>0.973</c:v>
                </c:pt>
                <c:pt idx="973">
                  <c:v>0.974</c:v>
                </c:pt>
                <c:pt idx="974">
                  <c:v>0.975</c:v>
                </c:pt>
                <c:pt idx="975">
                  <c:v>0.976</c:v>
                </c:pt>
                <c:pt idx="976">
                  <c:v>0.977</c:v>
                </c:pt>
                <c:pt idx="977">
                  <c:v>0.978</c:v>
                </c:pt>
                <c:pt idx="978">
                  <c:v>0.979</c:v>
                </c:pt>
                <c:pt idx="979">
                  <c:v>0.98</c:v>
                </c:pt>
                <c:pt idx="980">
                  <c:v>0.981</c:v>
                </c:pt>
                <c:pt idx="981">
                  <c:v>0.982</c:v>
                </c:pt>
                <c:pt idx="982">
                  <c:v>0.983</c:v>
                </c:pt>
                <c:pt idx="983">
                  <c:v>0.984</c:v>
                </c:pt>
                <c:pt idx="984">
                  <c:v>0.985</c:v>
                </c:pt>
                <c:pt idx="985">
                  <c:v>0.986</c:v>
                </c:pt>
                <c:pt idx="986">
                  <c:v>0.987</c:v>
                </c:pt>
                <c:pt idx="987">
                  <c:v>0.988</c:v>
                </c:pt>
                <c:pt idx="988">
                  <c:v>0.989</c:v>
                </c:pt>
                <c:pt idx="989">
                  <c:v>0.99</c:v>
                </c:pt>
                <c:pt idx="990">
                  <c:v>0.991</c:v>
                </c:pt>
                <c:pt idx="991">
                  <c:v>0.992</c:v>
                </c:pt>
                <c:pt idx="992">
                  <c:v>0.993</c:v>
                </c:pt>
                <c:pt idx="993">
                  <c:v>0.994</c:v>
                </c:pt>
                <c:pt idx="994">
                  <c:v>0.995</c:v>
                </c:pt>
                <c:pt idx="995">
                  <c:v>0.996</c:v>
                </c:pt>
                <c:pt idx="996">
                  <c:v>0.997</c:v>
                </c:pt>
                <c:pt idx="997">
                  <c:v>0.998</c:v>
                </c:pt>
                <c:pt idx="998">
                  <c:v>0.999</c:v>
                </c:pt>
                <c:pt idx="999">
                  <c:v>1</c:v>
                </c:pt>
              </c:numCache>
            </c:numRef>
          </c:yVal>
          <c:smooth val="0"/>
        </c:ser>
        <c:ser>
          <c:idx val="1"/>
          <c:order val="1"/>
          <c:tx>
            <c:strRef>
              <c:f>"Normal"</c:f>
              <c:strCache>
                <c:ptCount val="1"/>
                <c:pt idx="0">
                  <c:v>Normal</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BTC_Fit!$B$37:$B$1036</c:f>
              <c:numCache>
                <c:formatCode>0.0000%</c:formatCode>
                <c:ptCount val="1000"/>
                <c:pt idx="0">
                  <c:v>-0.00540459767562251</c:v>
                </c:pt>
                <c:pt idx="1">
                  <c:v>-0.00513662656395619</c:v>
                </c:pt>
                <c:pt idx="2">
                  <c:v>-0.00484009629879822</c:v>
                </c:pt>
                <c:pt idx="3">
                  <c:v>-0.00434376534633485</c:v>
                </c:pt>
                <c:pt idx="4">
                  <c:v>-0.00423945312351037</c:v>
                </c:pt>
                <c:pt idx="5">
                  <c:v>-0.00419245011043712</c:v>
                </c:pt>
                <c:pt idx="6">
                  <c:v>-0.00407042871523866</c:v>
                </c:pt>
                <c:pt idx="7">
                  <c:v>-0.00380228109993475</c:v>
                </c:pt>
                <c:pt idx="8">
                  <c:v>-0.00379642429465144</c:v>
                </c:pt>
                <c:pt idx="9">
                  <c:v>-0.00359003867696783</c:v>
                </c:pt>
                <c:pt idx="10">
                  <c:v>-0.00345760208480739</c:v>
                </c:pt>
                <c:pt idx="11">
                  <c:v>-0.00333430300896975</c:v>
                </c:pt>
                <c:pt idx="12">
                  <c:v>-0.00332216746339409</c:v>
                </c:pt>
                <c:pt idx="13">
                  <c:v>-0.00322209509831739</c:v>
                </c:pt>
                <c:pt idx="14">
                  <c:v>-0.00317514068497671</c:v>
                </c:pt>
                <c:pt idx="15">
                  <c:v>-0.00306578528733237</c:v>
                </c:pt>
                <c:pt idx="16">
                  <c:v>-0.00300852627159698</c:v>
                </c:pt>
                <c:pt idx="17">
                  <c:v>-0.00300001002830286</c:v>
                </c:pt>
                <c:pt idx="18">
                  <c:v>-0.00298382691337806</c:v>
                </c:pt>
                <c:pt idx="19">
                  <c:v>-0.00294153166093325</c:v>
                </c:pt>
                <c:pt idx="20">
                  <c:v>-0.00284676420137775</c:v>
                </c:pt>
                <c:pt idx="21">
                  <c:v>-0.00282722770309729</c:v>
                </c:pt>
                <c:pt idx="22">
                  <c:v>-0.00278253416086793</c:v>
                </c:pt>
                <c:pt idx="23">
                  <c:v>-0.00277890596350994</c:v>
                </c:pt>
                <c:pt idx="24">
                  <c:v>-0.00276573216990728</c:v>
                </c:pt>
                <c:pt idx="25">
                  <c:v>-0.00270255452720181</c:v>
                </c:pt>
                <c:pt idx="26">
                  <c:v>-0.00270123773010234</c:v>
                </c:pt>
                <c:pt idx="27">
                  <c:v>-0.00256259890404198</c:v>
                </c:pt>
                <c:pt idx="28">
                  <c:v>-0.00254392416473803</c:v>
                </c:pt>
                <c:pt idx="29">
                  <c:v>-0.00253703597225963</c:v>
                </c:pt>
                <c:pt idx="30">
                  <c:v>-0.00253043455567015</c:v>
                </c:pt>
                <c:pt idx="31">
                  <c:v>-0.00250786019524984</c:v>
                </c:pt>
                <c:pt idx="32">
                  <c:v>-0.00249436157958771</c:v>
                </c:pt>
                <c:pt idx="33">
                  <c:v>-0.00237191790952029</c:v>
                </c:pt>
                <c:pt idx="34">
                  <c:v>-0.00236649392356991</c:v>
                </c:pt>
                <c:pt idx="35">
                  <c:v>-0.0023639273101298</c:v>
                </c:pt>
                <c:pt idx="36">
                  <c:v>-0.00234404050081205</c:v>
                </c:pt>
                <c:pt idx="37">
                  <c:v>-0.00233334525492268</c:v>
                </c:pt>
                <c:pt idx="38">
                  <c:v>-0.00226975291626363</c:v>
                </c:pt>
                <c:pt idx="39">
                  <c:v>-0.0022520961614021</c:v>
                </c:pt>
                <c:pt idx="40">
                  <c:v>-0.0022491975940333</c:v>
                </c:pt>
                <c:pt idx="41">
                  <c:v>-0.00223755124262626</c:v>
                </c:pt>
                <c:pt idx="42">
                  <c:v>-0.00222176181636602</c:v>
                </c:pt>
                <c:pt idx="43">
                  <c:v>-0.00219817688880519</c:v>
                </c:pt>
                <c:pt idx="44">
                  <c:v>-0.00219140063011414</c:v>
                </c:pt>
                <c:pt idx="45">
                  <c:v>-0.00217419877801539</c:v>
                </c:pt>
                <c:pt idx="46">
                  <c:v>-0.00216893710230925</c:v>
                </c:pt>
                <c:pt idx="47">
                  <c:v>-0.00216369409353911</c:v>
                </c:pt>
                <c:pt idx="48">
                  <c:v>-0.00212088525486365</c:v>
                </c:pt>
                <c:pt idx="49">
                  <c:v>-0.0020984595114556</c:v>
                </c:pt>
                <c:pt idx="50">
                  <c:v>-0.00209606853770594</c:v>
                </c:pt>
                <c:pt idx="51">
                  <c:v>-0.00209117906202438</c:v>
                </c:pt>
                <c:pt idx="52">
                  <c:v>-0.00208585618844215</c:v>
                </c:pt>
                <c:pt idx="53">
                  <c:v>-0.00207040106637357</c:v>
                </c:pt>
                <c:pt idx="54">
                  <c:v>-0.00206302816046555</c:v>
                </c:pt>
                <c:pt idx="55">
                  <c:v>-0.00205519438386093</c:v>
                </c:pt>
                <c:pt idx="56">
                  <c:v>-0.0020429690022683</c:v>
                </c:pt>
                <c:pt idx="57">
                  <c:v>-0.00203768175795527</c:v>
                </c:pt>
                <c:pt idx="58">
                  <c:v>-0.00201341638097163</c:v>
                </c:pt>
                <c:pt idx="59">
                  <c:v>-0.00199476660178033</c:v>
                </c:pt>
                <c:pt idx="60">
                  <c:v>-0.00198009343199723</c:v>
                </c:pt>
                <c:pt idx="61">
                  <c:v>-0.00197730341752822</c:v>
                </c:pt>
                <c:pt idx="62">
                  <c:v>-0.00195074814197682</c:v>
                </c:pt>
                <c:pt idx="63">
                  <c:v>-0.00193706764542911</c:v>
                </c:pt>
                <c:pt idx="64">
                  <c:v>-0.0019340566032221</c:v>
                </c:pt>
                <c:pt idx="65">
                  <c:v>-0.0019003446679281</c:v>
                </c:pt>
                <c:pt idx="66">
                  <c:v>-0.00185272653943447</c:v>
                </c:pt>
                <c:pt idx="67">
                  <c:v>-0.00182888795982572</c:v>
                </c:pt>
                <c:pt idx="68">
                  <c:v>-0.00181487530845836</c:v>
                </c:pt>
                <c:pt idx="69">
                  <c:v>-0.00180667965582926</c:v>
                </c:pt>
                <c:pt idx="70">
                  <c:v>-0.00174637149936463</c:v>
                </c:pt>
                <c:pt idx="71">
                  <c:v>-0.00174341150918711</c:v>
                </c:pt>
                <c:pt idx="72">
                  <c:v>-0.00167086264008975</c:v>
                </c:pt>
                <c:pt idx="73">
                  <c:v>-0.00164876712663165</c:v>
                </c:pt>
                <c:pt idx="74">
                  <c:v>-0.00161912194044767</c:v>
                </c:pt>
                <c:pt idx="75">
                  <c:v>-0.00160417597594753</c:v>
                </c:pt>
                <c:pt idx="76">
                  <c:v>-0.00160066018860705</c:v>
                </c:pt>
                <c:pt idx="77">
                  <c:v>-0.00160013833003414</c:v>
                </c:pt>
                <c:pt idx="78">
                  <c:v>-0.00159675477298793</c:v>
                </c:pt>
                <c:pt idx="79">
                  <c:v>-0.00159667261910057</c:v>
                </c:pt>
                <c:pt idx="80">
                  <c:v>-0.00156713697868649</c:v>
                </c:pt>
                <c:pt idx="81">
                  <c:v>-0.00156652423089443</c:v>
                </c:pt>
                <c:pt idx="82">
                  <c:v>-0.00154284647444847</c:v>
                </c:pt>
                <c:pt idx="83">
                  <c:v>-0.00153891974543241</c:v>
                </c:pt>
                <c:pt idx="84">
                  <c:v>-0.00152626693955926</c:v>
                </c:pt>
                <c:pt idx="85">
                  <c:v>-0.00150348435895709</c:v>
                </c:pt>
                <c:pt idx="86">
                  <c:v>-0.00150248391742414</c:v>
                </c:pt>
                <c:pt idx="87">
                  <c:v>-0.00149972414863198</c:v>
                </c:pt>
                <c:pt idx="88">
                  <c:v>-0.00149418556949532</c:v>
                </c:pt>
                <c:pt idx="89">
                  <c:v>-0.00149374871177932</c:v>
                </c:pt>
                <c:pt idx="90">
                  <c:v>-0.00148157611618738</c:v>
                </c:pt>
                <c:pt idx="91">
                  <c:v>-0.00147610406921173</c:v>
                </c:pt>
                <c:pt idx="92">
                  <c:v>-0.00145822330932588</c:v>
                </c:pt>
                <c:pt idx="93">
                  <c:v>-0.0014565119540384</c:v>
                </c:pt>
                <c:pt idx="94">
                  <c:v>-0.00144973503359191</c:v>
                </c:pt>
                <c:pt idx="95">
                  <c:v>-0.0014449479587253</c:v>
                </c:pt>
                <c:pt idx="96">
                  <c:v>-0.00143357491148388</c:v>
                </c:pt>
                <c:pt idx="97">
                  <c:v>-0.00143160434045153</c:v>
                </c:pt>
                <c:pt idx="98">
                  <c:v>-0.00142186875915351</c:v>
                </c:pt>
                <c:pt idx="99">
                  <c:v>-0.00141837409138279</c:v>
                </c:pt>
                <c:pt idx="100">
                  <c:v>-0.0014078910704115</c:v>
                </c:pt>
                <c:pt idx="101">
                  <c:v>-0.00140475669450513</c:v>
                </c:pt>
                <c:pt idx="102">
                  <c:v>-0.00140220074576591</c:v>
                </c:pt>
                <c:pt idx="103">
                  <c:v>-0.00139691733774971</c:v>
                </c:pt>
                <c:pt idx="104">
                  <c:v>-0.00139249983155554</c:v>
                </c:pt>
                <c:pt idx="105">
                  <c:v>-0.00138139677770299</c:v>
                </c:pt>
                <c:pt idx="106">
                  <c:v>-0.00137444846898238</c:v>
                </c:pt>
                <c:pt idx="107">
                  <c:v>-0.00136974706796866</c:v>
                </c:pt>
                <c:pt idx="108">
                  <c:v>-0.00136860367278269</c:v>
                </c:pt>
                <c:pt idx="109">
                  <c:v>-0.00135791264473595</c:v>
                </c:pt>
                <c:pt idx="110">
                  <c:v>-0.0013575874274887</c:v>
                </c:pt>
                <c:pt idx="111">
                  <c:v>-0.00135707244253847</c:v>
                </c:pt>
                <c:pt idx="112">
                  <c:v>-0.00134971906392378</c:v>
                </c:pt>
                <c:pt idx="113">
                  <c:v>-0.00134593659411486</c:v>
                </c:pt>
                <c:pt idx="114">
                  <c:v>-0.00132974244327111</c:v>
                </c:pt>
                <c:pt idx="115">
                  <c:v>-0.00132639559813219</c:v>
                </c:pt>
                <c:pt idx="116">
                  <c:v>-0.00131887895945659</c:v>
                </c:pt>
                <c:pt idx="117">
                  <c:v>-0.00131602735896741</c:v>
                </c:pt>
                <c:pt idx="118">
                  <c:v>-0.0013063918995726</c:v>
                </c:pt>
                <c:pt idx="119">
                  <c:v>-0.00129948634323485</c:v>
                </c:pt>
                <c:pt idx="120">
                  <c:v>-0.00129588961163418</c:v>
                </c:pt>
                <c:pt idx="121">
                  <c:v>-0.00129228876330345</c:v>
                </c:pt>
                <c:pt idx="122">
                  <c:v>-0.0012902956444959</c:v>
                </c:pt>
                <c:pt idx="123">
                  <c:v>-0.00128686246573428</c:v>
                </c:pt>
                <c:pt idx="124">
                  <c:v>-0.00128640362222521</c:v>
                </c:pt>
                <c:pt idx="125">
                  <c:v>-0.00127949865868016</c:v>
                </c:pt>
                <c:pt idx="126">
                  <c:v>-0.00127076511335777</c:v>
                </c:pt>
                <c:pt idx="127">
                  <c:v>-0.00127011021662182</c:v>
                </c:pt>
                <c:pt idx="128">
                  <c:v>-0.00126395340184915</c:v>
                </c:pt>
                <c:pt idx="129">
                  <c:v>-0.00125668570319326</c:v>
                </c:pt>
                <c:pt idx="130">
                  <c:v>-0.00125583243108796</c:v>
                </c:pt>
                <c:pt idx="131">
                  <c:v>-0.00124821892138838</c:v>
                </c:pt>
                <c:pt idx="132">
                  <c:v>-0.00124289327950577</c:v>
                </c:pt>
                <c:pt idx="133">
                  <c:v>-0.00124030744354864</c:v>
                </c:pt>
                <c:pt idx="134">
                  <c:v>-0.00123401083380303</c:v>
                </c:pt>
                <c:pt idx="135">
                  <c:v>-0.00122552300310019</c:v>
                </c:pt>
                <c:pt idx="136">
                  <c:v>-0.00121291482913799</c:v>
                </c:pt>
                <c:pt idx="137">
                  <c:v>-0.00120506728904801</c:v>
                </c:pt>
                <c:pt idx="138">
                  <c:v>-0.0012047249135021</c:v>
                </c:pt>
                <c:pt idx="139">
                  <c:v>-0.00120029972228275</c:v>
                </c:pt>
                <c:pt idx="140">
                  <c:v>-0.00119984282793628</c:v>
                </c:pt>
                <c:pt idx="141">
                  <c:v>-0.00119792681362529</c:v>
                </c:pt>
                <c:pt idx="142">
                  <c:v>-0.00118445410422841</c:v>
                </c:pt>
                <c:pt idx="143">
                  <c:v>-0.00118263026974008</c:v>
                </c:pt>
                <c:pt idx="144">
                  <c:v>-0.0011813941949439</c:v>
                </c:pt>
                <c:pt idx="145">
                  <c:v>-0.00116633929056187</c:v>
                </c:pt>
                <c:pt idx="146">
                  <c:v>-0.0011624910855329</c:v>
                </c:pt>
                <c:pt idx="147">
                  <c:v>-0.00115997326675521</c:v>
                </c:pt>
                <c:pt idx="148">
                  <c:v>-0.00115727328674098</c:v>
                </c:pt>
                <c:pt idx="149">
                  <c:v>-0.00114726158973333</c:v>
                </c:pt>
                <c:pt idx="150">
                  <c:v>-0.00114715880047012</c:v>
                </c:pt>
                <c:pt idx="151">
                  <c:v>-0.0011469733458167</c:v>
                </c:pt>
                <c:pt idx="152">
                  <c:v>-0.00114406835322733</c:v>
                </c:pt>
                <c:pt idx="153">
                  <c:v>-0.00114348952674681</c:v>
                </c:pt>
                <c:pt idx="154">
                  <c:v>-0.00113546604466797</c:v>
                </c:pt>
                <c:pt idx="155">
                  <c:v>-0.00112644800467787</c:v>
                </c:pt>
                <c:pt idx="156">
                  <c:v>-0.00112206920378022</c:v>
                </c:pt>
                <c:pt idx="157">
                  <c:v>-0.00112110851806957</c:v>
                </c:pt>
                <c:pt idx="158">
                  <c:v>-0.00112096383457527</c:v>
                </c:pt>
                <c:pt idx="159">
                  <c:v>-0.00111703887868508</c:v>
                </c:pt>
                <c:pt idx="160">
                  <c:v>-0.00111328118751286</c:v>
                </c:pt>
                <c:pt idx="161">
                  <c:v>-0.00110682862719724</c:v>
                </c:pt>
                <c:pt idx="162">
                  <c:v>-0.00109696892227051</c:v>
                </c:pt>
                <c:pt idx="163">
                  <c:v>-0.00109299180712918</c:v>
                </c:pt>
                <c:pt idx="164">
                  <c:v>-0.00108734275382916</c:v>
                </c:pt>
                <c:pt idx="165">
                  <c:v>-0.00108085478445519</c:v>
                </c:pt>
                <c:pt idx="166">
                  <c:v>-0.00107954453657233</c:v>
                </c:pt>
                <c:pt idx="167">
                  <c:v>-0.00106980832820425</c:v>
                </c:pt>
                <c:pt idx="168">
                  <c:v>-0.00106648295944423</c:v>
                </c:pt>
                <c:pt idx="169">
                  <c:v>-0.00106408048470485</c:v>
                </c:pt>
                <c:pt idx="170">
                  <c:v>-0.00106215611932681</c:v>
                </c:pt>
                <c:pt idx="171">
                  <c:v>-0.00106215555279288</c:v>
                </c:pt>
                <c:pt idx="172">
                  <c:v>-0.00105819794707085</c:v>
                </c:pt>
                <c:pt idx="173">
                  <c:v>-0.0010528252230636</c:v>
                </c:pt>
                <c:pt idx="174">
                  <c:v>-0.00105149812906136</c:v>
                </c:pt>
                <c:pt idx="175">
                  <c:v>-0.00103903073654865</c:v>
                </c:pt>
                <c:pt idx="176">
                  <c:v>-0.00102373819193657</c:v>
                </c:pt>
                <c:pt idx="177">
                  <c:v>-0.00101846747020629</c:v>
                </c:pt>
                <c:pt idx="178">
                  <c:v>-0.00101836299367253</c:v>
                </c:pt>
                <c:pt idx="179">
                  <c:v>-0.00101019053904872</c:v>
                </c:pt>
                <c:pt idx="180">
                  <c:v>-0.00100948440929405</c:v>
                </c:pt>
                <c:pt idx="181">
                  <c:v>-0.00100559188964222</c:v>
                </c:pt>
                <c:pt idx="182">
                  <c:v>-0.00100463516218618</c:v>
                </c:pt>
                <c:pt idx="183">
                  <c:v>-0.000999944417252929</c:v>
                </c:pt>
                <c:pt idx="184">
                  <c:v>-0.000996099461972655</c:v>
                </c:pt>
                <c:pt idx="185">
                  <c:v>-0.000995142180612252</c:v>
                </c:pt>
                <c:pt idx="186">
                  <c:v>-0.000994907568254155</c:v>
                </c:pt>
                <c:pt idx="187">
                  <c:v>-0.000992861968805658</c:v>
                </c:pt>
                <c:pt idx="188">
                  <c:v>-0.000987103687290269</c:v>
                </c:pt>
                <c:pt idx="189">
                  <c:v>-0.00096779163906513</c:v>
                </c:pt>
                <c:pt idx="190">
                  <c:v>-0.000964117590738889</c:v>
                </c:pt>
                <c:pt idx="191">
                  <c:v>-0.000955478936995879</c:v>
                </c:pt>
                <c:pt idx="192">
                  <c:v>-0.000955219351931436</c:v>
                </c:pt>
                <c:pt idx="193">
                  <c:v>-0.000954523902902627</c:v>
                </c:pt>
                <c:pt idx="194">
                  <c:v>-0.000946688832304865</c:v>
                </c:pt>
                <c:pt idx="195">
                  <c:v>-0.000935774688649804</c:v>
                </c:pt>
                <c:pt idx="196">
                  <c:v>-0.000932039164934451</c:v>
                </c:pt>
                <c:pt idx="197">
                  <c:v>-0.000927311243710927</c:v>
                </c:pt>
                <c:pt idx="198">
                  <c:v>-0.000923149240634302</c:v>
                </c:pt>
                <c:pt idx="199">
                  <c:v>-0.000922028146212228</c:v>
                </c:pt>
                <c:pt idx="200">
                  <c:v>-0.000914871963423436</c:v>
                </c:pt>
                <c:pt idx="201">
                  <c:v>-0.000912025246672443</c:v>
                </c:pt>
                <c:pt idx="202">
                  <c:v>-0.000901995704729486</c:v>
                </c:pt>
                <c:pt idx="203">
                  <c:v>-0.000893953827525551</c:v>
                </c:pt>
                <c:pt idx="204">
                  <c:v>-0.000891110566904163</c:v>
                </c:pt>
                <c:pt idx="205">
                  <c:v>-0.000883995614228583</c:v>
                </c:pt>
                <c:pt idx="206">
                  <c:v>-0.00088230099176001</c:v>
                </c:pt>
                <c:pt idx="207">
                  <c:v>-0.000878806977899993</c:v>
                </c:pt>
                <c:pt idx="208">
                  <c:v>-0.000873326870473923</c:v>
                </c:pt>
                <c:pt idx="209">
                  <c:v>-0.000863266454418477</c:v>
                </c:pt>
                <c:pt idx="210">
                  <c:v>-0.000856538219256686</c:v>
                </c:pt>
                <c:pt idx="211">
                  <c:v>-0.000849120147455973</c:v>
                </c:pt>
                <c:pt idx="212">
                  <c:v>-0.000840853115053886</c:v>
                </c:pt>
                <c:pt idx="213">
                  <c:v>-0.000839439321090318</c:v>
                </c:pt>
                <c:pt idx="214">
                  <c:v>-0.000832781986267905</c:v>
                </c:pt>
                <c:pt idx="215">
                  <c:v>-0.000826725941648565</c:v>
                </c:pt>
                <c:pt idx="216">
                  <c:v>-0.000825675749459909</c:v>
                </c:pt>
                <c:pt idx="217">
                  <c:v>-0.000825069820301394</c:v>
                </c:pt>
                <c:pt idx="218">
                  <c:v>-0.00081667587583556</c:v>
                </c:pt>
                <c:pt idx="219">
                  <c:v>-0.000815804692167577</c:v>
                </c:pt>
                <c:pt idx="220">
                  <c:v>-0.000815311799097662</c:v>
                </c:pt>
                <c:pt idx="221">
                  <c:v>-0.00081409068209326</c:v>
                </c:pt>
                <c:pt idx="222">
                  <c:v>-0.000813896343583642</c:v>
                </c:pt>
                <c:pt idx="223">
                  <c:v>-0.000805088434934431</c:v>
                </c:pt>
                <c:pt idx="224">
                  <c:v>-0.000794518408263611</c:v>
                </c:pt>
                <c:pt idx="225">
                  <c:v>-0.000793607564729904</c:v>
                </c:pt>
                <c:pt idx="226">
                  <c:v>-0.000790587637237827</c:v>
                </c:pt>
                <c:pt idx="227">
                  <c:v>-0.000784800258013196</c:v>
                </c:pt>
                <c:pt idx="228">
                  <c:v>-0.000772420621988901</c:v>
                </c:pt>
                <c:pt idx="229">
                  <c:v>-0.000771590426861923</c:v>
                </c:pt>
                <c:pt idx="230">
                  <c:v>-0.000761308784245851</c:v>
                </c:pt>
                <c:pt idx="231">
                  <c:v>-0.000753919943169201</c:v>
                </c:pt>
                <c:pt idx="232">
                  <c:v>-0.000748635810960519</c:v>
                </c:pt>
                <c:pt idx="233">
                  <c:v>-0.000716290207650072</c:v>
                </c:pt>
                <c:pt idx="234">
                  <c:v>-0.000711055383938675</c:v>
                </c:pt>
                <c:pt idx="235">
                  <c:v>-0.000709752447283774</c:v>
                </c:pt>
                <c:pt idx="236">
                  <c:v>-0.000705738152316227</c:v>
                </c:pt>
                <c:pt idx="237">
                  <c:v>-0.000700223037921055</c:v>
                </c:pt>
                <c:pt idx="238">
                  <c:v>-0.000698032613252519</c:v>
                </c:pt>
                <c:pt idx="239">
                  <c:v>-0.000693879851533241</c:v>
                </c:pt>
                <c:pt idx="240">
                  <c:v>-0.000688873357348463</c:v>
                </c:pt>
                <c:pt idx="241">
                  <c:v>-0.000688604592878117</c:v>
                </c:pt>
                <c:pt idx="242">
                  <c:v>-0.000687780205535504</c:v>
                </c:pt>
                <c:pt idx="243">
                  <c:v>-0.000683595040359419</c:v>
                </c:pt>
                <c:pt idx="244">
                  <c:v>-0.00068130350637452</c:v>
                </c:pt>
                <c:pt idx="245">
                  <c:v>-0.00067915214799219</c:v>
                </c:pt>
                <c:pt idx="246">
                  <c:v>-0.000673171495660929</c:v>
                </c:pt>
                <c:pt idx="247">
                  <c:v>-0.000672861555582105</c:v>
                </c:pt>
                <c:pt idx="248">
                  <c:v>-0.000669404296004483</c:v>
                </c:pt>
                <c:pt idx="249">
                  <c:v>-0.000666020643527943</c:v>
                </c:pt>
                <c:pt idx="250">
                  <c:v>-0.000657467341875107</c:v>
                </c:pt>
                <c:pt idx="251">
                  <c:v>-0.00065693876407924</c:v>
                </c:pt>
                <c:pt idx="252">
                  <c:v>-0.000655449549465614</c:v>
                </c:pt>
                <c:pt idx="253">
                  <c:v>-0.000654444197574988</c:v>
                </c:pt>
                <c:pt idx="254">
                  <c:v>-0.000651308471843692</c:v>
                </c:pt>
                <c:pt idx="255">
                  <c:v>-0.000647180498764444</c:v>
                </c:pt>
                <c:pt idx="256">
                  <c:v>-0.000646921306491355</c:v>
                </c:pt>
                <c:pt idx="257">
                  <c:v>-0.000642768213629963</c:v>
                </c:pt>
                <c:pt idx="258">
                  <c:v>-0.000641068583375093</c:v>
                </c:pt>
                <c:pt idx="259">
                  <c:v>-0.000638101025577265</c:v>
                </c:pt>
                <c:pt idx="260">
                  <c:v>-0.000631647423424364</c:v>
                </c:pt>
                <c:pt idx="261">
                  <c:v>-0.000629583667891343</c:v>
                </c:pt>
                <c:pt idx="262">
                  <c:v>-0.000626043301186874</c:v>
                </c:pt>
                <c:pt idx="263">
                  <c:v>-0.000615105577846054</c:v>
                </c:pt>
                <c:pt idx="264">
                  <c:v>-0.00061243935554911</c:v>
                </c:pt>
                <c:pt idx="265">
                  <c:v>-0.000612189233640148</c:v>
                </c:pt>
                <c:pt idx="266">
                  <c:v>-0.000611724865569374</c:v>
                </c:pt>
                <c:pt idx="267">
                  <c:v>-0.000610736543212753</c:v>
                </c:pt>
                <c:pt idx="268">
                  <c:v>-0.000608607737226152</c:v>
                </c:pt>
                <c:pt idx="269">
                  <c:v>-0.000602612683877735</c:v>
                </c:pt>
                <c:pt idx="270">
                  <c:v>-0.000590480774909863</c:v>
                </c:pt>
                <c:pt idx="271">
                  <c:v>-0.000587332600639923</c:v>
                </c:pt>
                <c:pt idx="272">
                  <c:v>-0.000580059065289795</c:v>
                </c:pt>
                <c:pt idx="273">
                  <c:v>-0.000572955595458558</c:v>
                </c:pt>
                <c:pt idx="274">
                  <c:v>-0.00056843958936581</c:v>
                </c:pt>
                <c:pt idx="275">
                  <c:v>-0.000566437565942879</c:v>
                </c:pt>
                <c:pt idx="276">
                  <c:v>-0.000564705158343837</c:v>
                </c:pt>
                <c:pt idx="277">
                  <c:v>-0.00055278834704886</c:v>
                </c:pt>
                <c:pt idx="278">
                  <c:v>-0.000552041537528636</c:v>
                </c:pt>
                <c:pt idx="279">
                  <c:v>-0.000547122353045548</c:v>
                </c:pt>
                <c:pt idx="280">
                  <c:v>-0.00054400194985238</c:v>
                </c:pt>
                <c:pt idx="281">
                  <c:v>-0.000538623222938517</c:v>
                </c:pt>
                <c:pt idx="282">
                  <c:v>-0.000528214982514208</c:v>
                </c:pt>
                <c:pt idx="283">
                  <c:v>-0.000528043729244088</c:v>
                </c:pt>
                <c:pt idx="284">
                  <c:v>-0.0005279188752636</c:v>
                </c:pt>
                <c:pt idx="285">
                  <c:v>-0.000519880887574487</c:v>
                </c:pt>
                <c:pt idx="286">
                  <c:v>-0.000518958654947777</c:v>
                </c:pt>
                <c:pt idx="287">
                  <c:v>-0.000517887945973183</c:v>
                </c:pt>
                <c:pt idx="288">
                  <c:v>-0.000517400731332329</c:v>
                </c:pt>
                <c:pt idx="289">
                  <c:v>-0.000511457787571557</c:v>
                </c:pt>
                <c:pt idx="290">
                  <c:v>-0.000509368858554238</c:v>
                </c:pt>
                <c:pt idx="291">
                  <c:v>-0.000507358689627591</c:v>
                </c:pt>
                <c:pt idx="292">
                  <c:v>-0.00050678237980617</c:v>
                </c:pt>
                <c:pt idx="293">
                  <c:v>-0.000501344509786783</c:v>
                </c:pt>
                <c:pt idx="294">
                  <c:v>-0.00049599689141655</c:v>
                </c:pt>
                <c:pt idx="295">
                  <c:v>-0.000495770603684775</c:v>
                </c:pt>
                <c:pt idx="296">
                  <c:v>-0.000495458177748542</c:v>
                </c:pt>
                <c:pt idx="297">
                  <c:v>-0.000487405827558796</c:v>
                </c:pt>
                <c:pt idx="298">
                  <c:v>-0.000483890418363719</c:v>
                </c:pt>
                <c:pt idx="299">
                  <c:v>-0.00047916653496205</c:v>
                </c:pt>
                <c:pt idx="300">
                  <c:v>-0.000475615224972858</c:v>
                </c:pt>
                <c:pt idx="301">
                  <c:v>-0.000475551145073694</c:v>
                </c:pt>
                <c:pt idx="302">
                  <c:v>-0.000473778341847031</c:v>
                </c:pt>
                <c:pt idx="303">
                  <c:v>-0.00047172347440616</c:v>
                </c:pt>
                <c:pt idx="304">
                  <c:v>-0.000470716185701603</c:v>
                </c:pt>
                <c:pt idx="305">
                  <c:v>-0.000469157968034595</c:v>
                </c:pt>
                <c:pt idx="306">
                  <c:v>-0.000462917614204139</c:v>
                </c:pt>
                <c:pt idx="307">
                  <c:v>-0.000461589181700806</c:v>
                </c:pt>
                <c:pt idx="308">
                  <c:v>-0.000456906741761909</c:v>
                </c:pt>
                <c:pt idx="309">
                  <c:v>-0.000455723204238034</c:v>
                </c:pt>
                <c:pt idx="310">
                  <c:v>-0.000455209461300177</c:v>
                </c:pt>
                <c:pt idx="311">
                  <c:v>-0.000453975108064109</c:v>
                </c:pt>
                <c:pt idx="312">
                  <c:v>-0.000453549715144996</c:v>
                </c:pt>
                <c:pt idx="313">
                  <c:v>-0.000447971208750508</c:v>
                </c:pt>
                <c:pt idx="314">
                  <c:v>-0.000446443782664341</c:v>
                </c:pt>
                <c:pt idx="315">
                  <c:v>-0.000445737663554602</c:v>
                </c:pt>
                <c:pt idx="316">
                  <c:v>-0.000442051958711387</c:v>
                </c:pt>
                <c:pt idx="317">
                  <c:v>-0.00043742216349385</c:v>
                </c:pt>
                <c:pt idx="318">
                  <c:v>-0.0004292977454744</c:v>
                </c:pt>
                <c:pt idx="319">
                  <c:v>-0.000429264814008512</c:v>
                </c:pt>
                <c:pt idx="320">
                  <c:v>-0.000427447326856401</c:v>
                </c:pt>
                <c:pt idx="321">
                  <c:v>-0.00042338542860243</c:v>
                </c:pt>
                <c:pt idx="322">
                  <c:v>-0.000422800467472895</c:v>
                </c:pt>
                <c:pt idx="323">
                  <c:v>-0.00041899743235041</c:v>
                </c:pt>
                <c:pt idx="324">
                  <c:v>-0.000417438324705643</c:v>
                </c:pt>
                <c:pt idx="325">
                  <c:v>-0.000417402268225175</c:v>
                </c:pt>
                <c:pt idx="326">
                  <c:v>-0.000413177328637104</c:v>
                </c:pt>
                <c:pt idx="327">
                  <c:v>-0.000412374784320213</c:v>
                </c:pt>
                <c:pt idx="328">
                  <c:v>-0.0004100146858248</c:v>
                </c:pt>
                <c:pt idx="329">
                  <c:v>-0.000409733488470954</c:v>
                </c:pt>
                <c:pt idx="330">
                  <c:v>-0.000409699347729053</c:v>
                </c:pt>
                <c:pt idx="331">
                  <c:v>-0.000408332090353514</c:v>
                </c:pt>
                <c:pt idx="332">
                  <c:v>-0.000407326599404123</c:v>
                </c:pt>
                <c:pt idx="333">
                  <c:v>-0.000406173028754453</c:v>
                </c:pt>
                <c:pt idx="334">
                  <c:v>-0.000404099110748457</c:v>
                </c:pt>
                <c:pt idx="335">
                  <c:v>-0.000397356219496103</c:v>
                </c:pt>
                <c:pt idx="336">
                  <c:v>-0.000394677444521596</c:v>
                </c:pt>
                <c:pt idx="337">
                  <c:v>-0.000394674347403035</c:v>
                </c:pt>
                <c:pt idx="338">
                  <c:v>-0.000386757320398168</c:v>
                </c:pt>
                <c:pt idx="339">
                  <c:v>-0.00038542272171882</c:v>
                </c:pt>
                <c:pt idx="340">
                  <c:v>-0.000380822169662509</c:v>
                </c:pt>
                <c:pt idx="341">
                  <c:v>-0.000378449770388922</c:v>
                </c:pt>
                <c:pt idx="342">
                  <c:v>-0.000374344426630091</c:v>
                </c:pt>
                <c:pt idx="343">
                  <c:v>-0.000371955768358356</c:v>
                </c:pt>
                <c:pt idx="344">
                  <c:v>-0.000369695381214674</c:v>
                </c:pt>
                <c:pt idx="345">
                  <c:v>-0.000365566579232923</c:v>
                </c:pt>
                <c:pt idx="346">
                  <c:v>-0.000364101016563922</c:v>
                </c:pt>
                <c:pt idx="347">
                  <c:v>-0.000362761007468682</c:v>
                </c:pt>
                <c:pt idx="348">
                  <c:v>-0.000351195537884763</c:v>
                </c:pt>
                <c:pt idx="349">
                  <c:v>-0.000350125427433623</c:v>
                </c:pt>
                <c:pt idx="350">
                  <c:v>-0.000348893220712743</c:v>
                </c:pt>
                <c:pt idx="351">
                  <c:v>-0.000348479324572493</c:v>
                </c:pt>
                <c:pt idx="352">
                  <c:v>-0.000345537850625077</c:v>
                </c:pt>
                <c:pt idx="353">
                  <c:v>-0.000343438872995927</c:v>
                </c:pt>
                <c:pt idx="354">
                  <c:v>-0.000342006551929397</c:v>
                </c:pt>
                <c:pt idx="355">
                  <c:v>-0.000340759893243225</c:v>
                </c:pt>
                <c:pt idx="356">
                  <c:v>-0.000338422981599806</c:v>
                </c:pt>
                <c:pt idx="357">
                  <c:v>-0.00033010797486055</c:v>
                </c:pt>
                <c:pt idx="358">
                  <c:v>-0.000330078007744095</c:v>
                </c:pt>
                <c:pt idx="359">
                  <c:v>-0.000329094989384382</c:v>
                </c:pt>
                <c:pt idx="360">
                  <c:v>-0.000326088239123612</c:v>
                </c:pt>
                <c:pt idx="361">
                  <c:v>-0.000309447563600296</c:v>
                </c:pt>
                <c:pt idx="362">
                  <c:v>-0.000294016554567178</c:v>
                </c:pt>
                <c:pt idx="363">
                  <c:v>-0.000291827880237738</c:v>
                </c:pt>
                <c:pt idx="364">
                  <c:v>-0.000291130953869345</c:v>
                </c:pt>
                <c:pt idx="365">
                  <c:v>-0.000285230437424233</c:v>
                </c:pt>
                <c:pt idx="366">
                  <c:v>-0.000283443494577651</c:v>
                </c:pt>
                <c:pt idx="367">
                  <c:v>-0.000282308464410463</c:v>
                </c:pt>
                <c:pt idx="368">
                  <c:v>-0.000279811411952102</c:v>
                </c:pt>
                <c:pt idx="369">
                  <c:v>-0.000279281839816958</c:v>
                </c:pt>
                <c:pt idx="370">
                  <c:v>-0.000277067417919774</c:v>
                </c:pt>
                <c:pt idx="371">
                  <c:v>-0.000269874158609573</c:v>
                </c:pt>
                <c:pt idx="372">
                  <c:v>-0.000269055491459502</c:v>
                </c:pt>
                <c:pt idx="373">
                  <c:v>-0.000268758989859008</c:v>
                </c:pt>
                <c:pt idx="374">
                  <c:v>-0.000267958882026353</c:v>
                </c:pt>
                <c:pt idx="375">
                  <c:v>-0.000265506475789601</c:v>
                </c:pt>
                <c:pt idx="376">
                  <c:v>-0.000264438536576983</c:v>
                </c:pt>
                <c:pt idx="377">
                  <c:v>-0.000262242757484321</c:v>
                </c:pt>
                <c:pt idx="378">
                  <c:v>-0.00026214311822248</c:v>
                </c:pt>
                <c:pt idx="379">
                  <c:v>-0.000260879296305583</c:v>
                </c:pt>
                <c:pt idx="380">
                  <c:v>-0.000255661746834002</c:v>
                </c:pt>
                <c:pt idx="381">
                  <c:v>-0.000253780977195306</c:v>
                </c:pt>
                <c:pt idx="382">
                  <c:v>-0.000253637390058348</c:v>
                </c:pt>
                <c:pt idx="383">
                  <c:v>-0.000249245461221848</c:v>
                </c:pt>
                <c:pt idx="384">
                  <c:v>-0.000248265277308368</c:v>
                </c:pt>
                <c:pt idx="385">
                  <c:v>-0.000244577366435017</c:v>
                </c:pt>
                <c:pt idx="386">
                  <c:v>-0.000239167240592475</c:v>
                </c:pt>
                <c:pt idx="387">
                  <c:v>-0.000236391787201695</c:v>
                </c:pt>
                <c:pt idx="388">
                  <c:v>-0.000235019994889285</c:v>
                </c:pt>
                <c:pt idx="389">
                  <c:v>-0.000229457042205783</c:v>
                </c:pt>
                <c:pt idx="390">
                  <c:v>-0.000228611534596301</c:v>
                </c:pt>
                <c:pt idx="391">
                  <c:v>-0.000218157718534173</c:v>
                </c:pt>
                <c:pt idx="392">
                  <c:v>-0.000217697599548483</c:v>
                </c:pt>
                <c:pt idx="393">
                  <c:v>-0.000215270150935476</c:v>
                </c:pt>
                <c:pt idx="394">
                  <c:v>-0.000214182461022783</c:v>
                </c:pt>
                <c:pt idx="395">
                  <c:v>-0.000214146272785709</c:v>
                </c:pt>
                <c:pt idx="396">
                  <c:v>-0.000212989290938048</c:v>
                </c:pt>
                <c:pt idx="397">
                  <c:v>-0.000212139313625626</c:v>
                </c:pt>
                <c:pt idx="398">
                  <c:v>-0.000209502091760738</c:v>
                </c:pt>
                <c:pt idx="399">
                  <c:v>-0.000207746351190474</c:v>
                </c:pt>
                <c:pt idx="400">
                  <c:v>-0.000206291998777974</c:v>
                </c:pt>
                <c:pt idx="401">
                  <c:v>-0.000204092382026566</c:v>
                </c:pt>
                <c:pt idx="402">
                  <c:v>-0.000199814029335332</c:v>
                </c:pt>
                <c:pt idx="403">
                  <c:v>-0.000197788010791844</c:v>
                </c:pt>
                <c:pt idx="404">
                  <c:v>-0.000191799937306225</c:v>
                </c:pt>
                <c:pt idx="405">
                  <c:v>-0.000189972496003055</c:v>
                </c:pt>
                <c:pt idx="406">
                  <c:v>-0.000186575050907578</c:v>
                </c:pt>
                <c:pt idx="407">
                  <c:v>-0.000183136972180087</c:v>
                </c:pt>
                <c:pt idx="408">
                  <c:v>-0.000183093618883579</c:v>
                </c:pt>
                <c:pt idx="409">
                  <c:v>-0.000181847660803314</c:v>
                </c:pt>
                <c:pt idx="410">
                  <c:v>-0.000181279649976607</c:v>
                </c:pt>
                <c:pt idx="411">
                  <c:v>-0.000180496649826667</c:v>
                </c:pt>
                <c:pt idx="412">
                  <c:v>-0.000175145839282798</c:v>
                </c:pt>
                <c:pt idx="413">
                  <c:v>-0.000174640673465398</c:v>
                </c:pt>
                <c:pt idx="414">
                  <c:v>-0.000172970214511015</c:v>
                </c:pt>
                <c:pt idx="415">
                  <c:v>-0.000170811271693383</c:v>
                </c:pt>
                <c:pt idx="416">
                  <c:v>-0.000169807771439823</c:v>
                </c:pt>
                <c:pt idx="417">
                  <c:v>-0.000165952471834707</c:v>
                </c:pt>
                <c:pt idx="418">
                  <c:v>-0.000164957781747077</c:v>
                </c:pt>
                <c:pt idx="419">
                  <c:v>-0.000164212977358136</c:v>
                </c:pt>
                <c:pt idx="420">
                  <c:v>-0.000163608087910938</c:v>
                </c:pt>
                <c:pt idx="421">
                  <c:v>-0.000160347754356582</c:v>
                </c:pt>
                <c:pt idx="422">
                  <c:v>-0.000159900180559225</c:v>
                </c:pt>
                <c:pt idx="423">
                  <c:v>-0.000158819845446301</c:v>
                </c:pt>
                <c:pt idx="424">
                  <c:v>-0.00015847545466019</c:v>
                </c:pt>
                <c:pt idx="425">
                  <c:v>-0.000156097000261424</c:v>
                </c:pt>
                <c:pt idx="426">
                  <c:v>-0.00014439906864061</c:v>
                </c:pt>
                <c:pt idx="427">
                  <c:v>-0.000140144829489541</c:v>
                </c:pt>
                <c:pt idx="428">
                  <c:v>-0.000132964488624543</c:v>
                </c:pt>
                <c:pt idx="429">
                  <c:v>-0.000132770390916082</c:v>
                </c:pt>
                <c:pt idx="430">
                  <c:v>-0.000131377508983066</c:v>
                </c:pt>
                <c:pt idx="431">
                  <c:v>-0.000129543122637688</c:v>
                </c:pt>
                <c:pt idx="432">
                  <c:v>-0.000127857958503674</c:v>
                </c:pt>
                <c:pt idx="433">
                  <c:v>-0.00012623806572043</c:v>
                </c:pt>
                <c:pt idx="434">
                  <c:v>-0.00012513699737049</c:v>
                </c:pt>
                <c:pt idx="435">
                  <c:v>-0.000121790575143388</c:v>
                </c:pt>
                <c:pt idx="436">
                  <c:v>-0.000120891841840387</c:v>
                </c:pt>
                <c:pt idx="437">
                  <c:v>-0.000119346346930227</c:v>
                </c:pt>
                <c:pt idx="438">
                  <c:v>-0.000119169775001593</c:v>
                </c:pt>
                <c:pt idx="439">
                  <c:v>-0.000118350914956378</c:v>
                </c:pt>
                <c:pt idx="440">
                  <c:v>-0.000117346157344045</c:v>
                </c:pt>
                <c:pt idx="441">
                  <c:v>-0.000117278579918056</c:v>
                </c:pt>
                <c:pt idx="442">
                  <c:v>-0.000114866179645179</c:v>
                </c:pt>
                <c:pt idx="443">
                  <c:v>-0.000110328858176856</c:v>
                </c:pt>
                <c:pt idx="444">
                  <c:v>-0.000108087681649605</c:v>
                </c:pt>
                <c:pt idx="445">
                  <c:v>-0.00010255191089048</c:v>
                </c:pt>
                <c:pt idx="446">
                  <c:v>-9.84150978152742E-005</c:v>
                </c:pt>
                <c:pt idx="447">
                  <c:v>-9.83397448822698E-005</c:v>
                </c:pt>
                <c:pt idx="448">
                  <c:v>-9.61069871324716E-005</c:v>
                </c:pt>
                <c:pt idx="449">
                  <c:v>-9.51011855971906E-005</c:v>
                </c:pt>
                <c:pt idx="450">
                  <c:v>-9.40509603953865E-005</c:v>
                </c:pt>
                <c:pt idx="451">
                  <c:v>-8.82909615477212E-005</c:v>
                </c:pt>
                <c:pt idx="452">
                  <c:v>-8.70673082077333E-005</c:v>
                </c:pt>
                <c:pt idx="453">
                  <c:v>-8.62358301317867E-005</c:v>
                </c:pt>
                <c:pt idx="454">
                  <c:v>-8.59594624524895E-005</c:v>
                </c:pt>
                <c:pt idx="455">
                  <c:v>-8.46465594057655E-005</c:v>
                </c:pt>
                <c:pt idx="456">
                  <c:v>-8.3335918034444E-005</c:v>
                </c:pt>
                <c:pt idx="457">
                  <c:v>-7.78909283103424E-005</c:v>
                </c:pt>
                <c:pt idx="458">
                  <c:v>-7.78662790332785E-005</c:v>
                </c:pt>
                <c:pt idx="459">
                  <c:v>-7.71643587705873E-005</c:v>
                </c:pt>
                <c:pt idx="460">
                  <c:v>-7.35342780778803E-005</c:v>
                </c:pt>
                <c:pt idx="461">
                  <c:v>-7.13762870530044E-005</c:v>
                </c:pt>
                <c:pt idx="462">
                  <c:v>-6.95850437703038E-005</c:v>
                </c:pt>
                <c:pt idx="463">
                  <c:v>-6.53696778498691E-005</c:v>
                </c:pt>
                <c:pt idx="464">
                  <c:v>-6.52892577859277E-005</c:v>
                </c:pt>
                <c:pt idx="465">
                  <c:v>-6.34105110565164E-005</c:v>
                </c:pt>
                <c:pt idx="466">
                  <c:v>-6.19877586316431E-005</c:v>
                </c:pt>
                <c:pt idx="467">
                  <c:v>-6.07246309731746E-005</c:v>
                </c:pt>
                <c:pt idx="468">
                  <c:v>-6.02231039068535E-005</c:v>
                </c:pt>
                <c:pt idx="469">
                  <c:v>-5.87218391423505E-005</c:v>
                </c:pt>
                <c:pt idx="470">
                  <c:v>-5.80649643578957E-005</c:v>
                </c:pt>
                <c:pt idx="471">
                  <c:v>-5.69817741666867E-005</c:v>
                </c:pt>
                <c:pt idx="472">
                  <c:v>-5.65455006215077E-005</c:v>
                </c:pt>
                <c:pt idx="473">
                  <c:v>-5.6074379681581E-005</c:v>
                </c:pt>
                <c:pt idx="474">
                  <c:v>-5.35924328880499E-005</c:v>
                </c:pt>
                <c:pt idx="475">
                  <c:v>-4.90265581795102E-005</c:v>
                </c:pt>
                <c:pt idx="476">
                  <c:v>-4.78056721268105E-005</c:v>
                </c:pt>
                <c:pt idx="477">
                  <c:v>-4.77332681840803E-005</c:v>
                </c:pt>
                <c:pt idx="478">
                  <c:v>-4.48227600654549E-005</c:v>
                </c:pt>
                <c:pt idx="479">
                  <c:v>-4.37903589444177E-005</c:v>
                </c:pt>
                <c:pt idx="480">
                  <c:v>-4.14351188847695E-005</c:v>
                </c:pt>
                <c:pt idx="481">
                  <c:v>-4.07268333192379E-005</c:v>
                </c:pt>
                <c:pt idx="482">
                  <c:v>-3.79222937230139E-005</c:v>
                </c:pt>
                <c:pt idx="483">
                  <c:v>-3.6996574684145E-005</c:v>
                </c:pt>
                <c:pt idx="484">
                  <c:v>-3.50287164132546E-005</c:v>
                </c:pt>
                <c:pt idx="485">
                  <c:v>-3.39455277120759E-005</c:v>
                </c:pt>
                <c:pt idx="486">
                  <c:v>-3.2945038714316E-005</c:v>
                </c:pt>
                <c:pt idx="487">
                  <c:v>-3.24367636260758E-005</c:v>
                </c:pt>
                <c:pt idx="488">
                  <c:v>-3.19284553402799E-005</c:v>
                </c:pt>
                <c:pt idx="489">
                  <c:v>-2.43444998455633E-005</c:v>
                </c:pt>
                <c:pt idx="490">
                  <c:v>-2.07862416602422E-005</c:v>
                </c:pt>
                <c:pt idx="491">
                  <c:v>-1.91014394448352E-005</c:v>
                </c:pt>
                <c:pt idx="492">
                  <c:v>-1.87362593258023E-005</c:v>
                </c:pt>
                <c:pt idx="493">
                  <c:v>-1.78148990557236E-005</c:v>
                </c:pt>
                <c:pt idx="494">
                  <c:v>-1.70645750984244E-005</c:v>
                </c:pt>
                <c:pt idx="495">
                  <c:v>-1.68900392881755E-005</c:v>
                </c:pt>
                <c:pt idx="496">
                  <c:v>-1.42415335526724E-005</c:v>
                </c:pt>
                <c:pt idx="497">
                  <c:v>-1.21644111501507E-005</c:v>
                </c:pt>
                <c:pt idx="498">
                  <c:v>-1.08821040597507E-005</c:v>
                </c:pt>
                <c:pt idx="499">
                  <c:v>-1.06040138776464E-005</c:v>
                </c:pt>
                <c:pt idx="500">
                  <c:v>-8.12250669057768E-006</c:v>
                </c:pt>
                <c:pt idx="501">
                  <c:v>-5.57313722515662E-006</c:v>
                </c:pt>
                <c:pt idx="502">
                  <c:v>-2.12498362073266E-006</c:v>
                </c:pt>
                <c:pt idx="503">
                  <c:v>1.34361425518925E-006</c:v>
                </c:pt>
                <c:pt idx="504">
                  <c:v>1.88116651034242E-006</c:v>
                </c:pt>
                <c:pt idx="505">
                  <c:v>6.56295889767122E-006</c:v>
                </c:pt>
                <c:pt idx="506">
                  <c:v>8.1835244958306E-006</c:v>
                </c:pt>
                <c:pt idx="507">
                  <c:v>8.19695750298166E-006</c:v>
                </c:pt>
                <c:pt idx="508">
                  <c:v>8.67228717038593E-006</c:v>
                </c:pt>
                <c:pt idx="509">
                  <c:v>1.14720898896081E-005</c:v>
                </c:pt>
                <c:pt idx="510">
                  <c:v>1.321993842196E-005</c:v>
                </c:pt>
                <c:pt idx="511">
                  <c:v>1.48255186225299E-005</c:v>
                </c:pt>
                <c:pt idx="512">
                  <c:v>1.51587090739813E-005</c:v>
                </c:pt>
                <c:pt idx="513">
                  <c:v>2.32102251376265E-005</c:v>
                </c:pt>
                <c:pt idx="514">
                  <c:v>2.32348764870327E-005</c:v>
                </c:pt>
                <c:pt idx="515">
                  <c:v>2.59728155820316E-005</c:v>
                </c:pt>
                <c:pt idx="516">
                  <c:v>2.66420213974605E-005</c:v>
                </c:pt>
                <c:pt idx="517">
                  <c:v>2.67270031011346E-005</c:v>
                </c:pt>
                <c:pt idx="518">
                  <c:v>2.75185640656872E-005</c:v>
                </c:pt>
                <c:pt idx="519">
                  <c:v>2.9433144193014E-005</c:v>
                </c:pt>
                <c:pt idx="520">
                  <c:v>3.11775238999168E-005</c:v>
                </c:pt>
                <c:pt idx="521">
                  <c:v>3.23568594557955E-005</c:v>
                </c:pt>
                <c:pt idx="522">
                  <c:v>3.45999790591911E-005</c:v>
                </c:pt>
                <c:pt idx="523">
                  <c:v>3.71682159341358E-005</c:v>
                </c:pt>
                <c:pt idx="524">
                  <c:v>3.7253606548715E-005</c:v>
                </c:pt>
                <c:pt idx="525">
                  <c:v>3.80044671697277E-005</c:v>
                </c:pt>
                <c:pt idx="526">
                  <c:v>4.05216516572438E-005</c:v>
                </c:pt>
                <c:pt idx="527">
                  <c:v>4.16845805195631E-005</c:v>
                </c:pt>
                <c:pt idx="528">
                  <c:v>4.38057105838219E-005</c:v>
                </c:pt>
                <c:pt idx="529">
                  <c:v>4.63324334709636E-005</c:v>
                </c:pt>
                <c:pt idx="530">
                  <c:v>5.48104451749687E-005</c:v>
                </c:pt>
                <c:pt idx="531">
                  <c:v>5.5207477208219E-005</c:v>
                </c:pt>
                <c:pt idx="532">
                  <c:v>5.71619796900791E-005</c:v>
                </c:pt>
                <c:pt idx="533">
                  <c:v>5.73147561651055E-005</c:v>
                </c:pt>
                <c:pt idx="534">
                  <c:v>5.83918540966177E-005</c:v>
                </c:pt>
                <c:pt idx="535">
                  <c:v>5.93086128446441E-005</c:v>
                </c:pt>
                <c:pt idx="536">
                  <c:v>6.09118497809646E-005</c:v>
                </c:pt>
                <c:pt idx="537">
                  <c:v>6.61610011292169E-005</c:v>
                </c:pt>
                <c:pt idx="538">
                  <c:v>6.73849202017518E-005</c:v>
                </c:pt>
                <c:pt idx="539">
                  <c:v>6.7632588305333E-005</c:v>
                </c:pt>
                <c:pt idx="540">
                  <c:v>6.83468937321408E-005</c:v>
                </c:pt>
                <c:pt idx="541">
                  <c:v>7.41187730310955E-005</c:v>
                </c:pt>
                <c:pt idx="542">
                  <c:v>7.67172144111594E-005</c:v>
                </c:pt>
                <c:pt idx="543">
                  <c:v>7.96813040395694E-005</c:v>
                </c:pt>
                <c:pt idx="544">
                  <c:v>9.31146005573869E-005</c:v>
                </c:pt>
                <c:pt idx="545">
                  <c:v>0.000100639967808291</c:v>
                </c:pt>
                <c:pt idx="546">
                  <c:v>0.000100827713540363</c:v>
                </c:pt>
                <c:pt idx="547">
                  <c:v>0.000101056883222039</c:v>
                </c:pt>
                <c:pt idx="548">
                  <c:v>0.000101938387599088</c:v>
                </c:pt>
                <c:pt idx="549">
                  <c:v>0.000102014219061086</c:v>
                </c:pt>
                <c:pt idx="550">
                  <c:v>0.000102935289285178</c:v>
                </c:pt>
                <c:pt idx="551">
                  <c:v>0.00010369919040909</c:v>
                </c:pt>
                <c:pt idx="552">
                  <c:v>0.000104038476253177</c:v>
                </c:pt>
                <c:pt idx="553">
                  <c:v>0.000104585749114872</c:v>
                </c:pt>
                <c:pt idx="554">
                  <c:v>0.000105288792180636</c:v>
                </c:pt>
                <c:pt idx="555">
                  <c:v>0.000105809679440405</c:v>
                </c:pt>
                <c:pt idx="556">
                  <c:v>0.000106848048045061</c:v>
                </c:pt>
                <c:pt idx="557">
                  <c:v>0.000108997772098718</c:v>
                </c:pt>
                <c:pt idx="558">
                  <c:v>0.000113427204528449</c:v>
                </c:pt>
                <c:pt idx="559">
                  <c:v>0.000118100582547909</c:v>
                </c:pt>
                <c:pt idx="560">
                  <c:v>0.00011950021827567</c:v>
                </c:pt>
                <c:pt idx="561">
                  <c:v>0.000125231287739558</c:v>
                </c:pt>
                <c:pt idx="562">
                  <c:v>0.000125826819758812</c:v>
                </c:pt>
                <c:pt idx="563">
                  <c:v>0.000126934013617186</c:v>
                </c:pt>
                <c:pt idx="564">
                  <c:v>0.0001293549424497</c:v>
                </c:pt>
                <c:pt idx="565">
                  <c:v>0.000133105108225839</c:v>
                </c:pt>
                <c:pt idx="566">
                  <c:v>0.000134089106689217</c:v>
                </c:pt>
                <c:pt idx="567">
                  <c:v>0.000135604279701163</c:v>
                </c:pt>
                <c:pt idx="568">
                  <c:v>0.000138323988113642</c:v>
                </c:pt>
                <c:pt idx="569">
                  <c:v>0.000139356464731844</c:v>
                </c:pt>
                <c:pt idx="570">
                  <c:v>0.000140811085537429</c:v>
                </c:pt>
                <c:pt idx="571">
                  <c:v>0.000140849803077936</c:v>
                </c:pt>
                <c:pt idx="572">
                  <c:v>0.000140895761907345</c:v>
                </c:pt>
                <c:pt idx="573">
                  <c:v>0.000145993803825961</c:v>
                </c:pt>
                <c:pt idx="574">
                  <c:v>0.000152677596164885</c:v>
                </c:pt>
                <c:pt idx="575">
                  <c:v>0.000155249816608638</c:v>
                </c:pt>
                <c:pt idx="576">
                  <c:v>0.00015904055463789</c:v>
                </c:pt>
                <c:pt idx="577">
                  <c:v>0.000159192299708399</c:v>
                </c:pt>
                <c:pt idx="578">
                  <c:v>0.000159314963623869</c:v>
                </c:pt>
                <c:pt idx="579">
                  <c:v>0.000165747367146585</c:v>
                </c:pt>
                <c:pt idx="580">
                  <c:v>0.000166024658873498</c:v>
                </c:pt>
                <c:pt idx="581">
                  <c:v>0.000166911702775163</c:v>
                </c:pt>
                <c:pt idx="582">
                  <c:v>0.000170836102666438</c:v>
                </c:pt>
                <c:pt idx="583">
                  <c:v>0.000172310848246093</c:v>
                </c:pt>
                <c:pt idx="584">
                  <c:v>0.000173441977600719</c:v>
                </c:pt>
                <c:pt idx="585">
                  <c:v>0.000174796209959194</c:v>
                </c:pt>
                <c:pt idx="586">
                  <c:v>0.00017489423461492</c:v>
                </c:pt>
                <c:pt idx="587">
                  <c:v>0.000178765237498713</c:v>
                </c:pt>
                <c:pt idx="588">
                  <c:v>0.000179037183056785</c:v>
                </c:pt>
                <c:pt idx="589">
                  <c:v>0.000179312700626655</c:v>
                </c:pt>
                <c:pt idx="590">
                  <c:v>0.000180250647530356</c:v>
                </c:pt>
                <c:pt idx="591">
                  <c:v>0.000180617424873075</c:v>
                </c:pt>
                <c:pt idx="592">
                  <c:v>0.000181112266034678</c:v>
                </c:pt>
                <c:pt idx="593">
                  <c:v>0.000186720207347113</c:v>
                </c:pt>
                <c:pt idx="594">
                  <c:v>0.000187048248232236</c:v>
                </c:pt>
                <c:pt idx="595">
                  <c:v>0.000188392796822923</c:v>
                </c:pt>
                <c:pt idx="596">
                  <c:v>0.00018868819120299</c:v>
                </c:pt>
                <c:pt idx="597">
                  <c:v>0.000190121217842121</c:v>
                </c:pt>
                <c:pt idx="598">
                  <c:v>0.000191241345961268</c:v>
                </c:pt>
                <c:pt idx="599">
                  <c:v>0.000191970002783703</c:v>
                </c:pt>
                <c:pt idx="600">
                  <c:v>0.000197410621752381</c:v>
                </c:pt>
                <c:pt idx="601">
                  <c:v>0.00019943862369165</c:v>
                </c:pt>
                <c:pt idx="602">
                  <c:v>0.000199921159935501</c:v>
                </c:pt>
                <c:pt idx="603">
                  <c:v>0.000202483963200883</c:v>
                </c:pt>
                <c:pt idx="604">
                  <c:v>0.000202720684659541</c:v>
                </c:pt>
                <c:pt idx="605">
                  <c:v>0.000204828893944686</c:v>
                </c:pt>
                <c:pt idx="606">
                  <c:v>0.000207846986284066</c:v>
                </c:pt>
                <c:pt idx="607">
                  <c:v>0.000208572468305634</c:v>
                </c:pt>
                <c:pt idx="608">
                  <c:v>0.000214261260985449</c:v>
                </c:pt>
                <c:pt idx="609">
                  <c:v>0.000214471182714338</c:v>
                </c:pt>
                <c:pt idx="610">
                  <c:v>0.000219311855430338</c:v>
                </c:pt>
                <c:pt idx="611">
                  <c:v>0.000220708931366387</c:v>
                </c:pt>
                <c:pt idx="612">
                  <c:v>0.000225393151023434</c:v>
                </c:pt>
                <c:pt idx="613">
                  <c:v>0.000225901717385124</c:v>
                </c:pt>
                <c:pt idx="614">
                  <c:v>0.000227191473612054</c:v>
                </c:pt>
                <c:pt idx="615">
                  <c:v>0.000233781495233343</c:v>
                </c:pt>
                <c:pt idx="616">
                  <c:v>0.000237951145328319</c:v>
                </c:pt>
                <c:pt idx="617">
                  <c:v>0.000238293153098423</c:v>
                </c:pt>
                <c:pt idx="618">
                  <c:v>0.00023933481929217</c:v>
                </c:pt>
                <c:pt idx="619">
                  <c:v>0.000244904436482285</c:v>
                </c:pt>
                <c:pt idx="620">
                  <c:v>0.000247347799137376</c:v>
                </c:pt>
                <c:pt idx="621">
                  <c:v>0.000247843422072513</c:v>
                </c:pt>
                <c:pt idx="622">
                  <c:v>0.000251251238647443</c:v>
                </c:pt>
                <c:pt idx="623">
                  <c:v>0.000251500405556104</c:v>
                </c:pt>
                <c:pt idx="624">
                  <c:v>0.000253427370721759</c:v>
                </c:pt>
                <c:pt idx="625">
                  <c:v>0.000261343392722324</c:v>
                </c:pt>
                <c:pt idx="626">
                  <c:v>0.000264475248716867</c:v>
                </c:pt>
                <c:pt idx="627">
                  <c:v>0.000271018556090352</c:v>
                </c:pt>
                <c:pt idx="628">
                  <c:v>0.000271676498972306</c:v>
                </c:pt>
                <c:pt idx="629">
                  <c:v>0.000273017483058302</c:v>
                </c:pt>
                <c:pt idx="630">
                  <c:v>0.000275044542065617</c:v>
                </c:pt>
                <c:pt idx="631">
                  <c:v>0.000278124793800627</c:v>
                </c:pt>
                <c:pt idx="632">
                  <c:v>0.000280212901361043</c:v>
                </c:pt>
                <c:pt idx="633">
                  <c:v>0.000280710301432841</c:v>
                </c:pt>
                <c:pt idx="634">
                  <c:v>0.000282105357447326</c:v>
                </c:pt>
                <c:pt idx="635">
                  <c:v>0.000282320927886603</c:v>
                </c:pt>
                <c:pt idx="636">
                  <c:v>0.00028254624591284</c:v>
                </c:pt>
                <c:pt idx="637">
                  <c:v>0.000286715352247224</c:v>
                </c:pt>
                <c:pt idx="638">
                  <c:v>0.000288366743304014</c:v>
                </c:pt>
                <c:pt idx="639">
                  <c:v>0.000289651782900524</c:v>
                </c:pt>
                <c:pt idx="640">
                  <c:v>0.000293186113205612</c:v>
                </c:pt>
                <c:pt idx="641">
                  <c:v>0.000294560093067053</c:v>
                </c:pt>
                <c:pt idx="642">
                  <c:v>0.000297878349745151</c:v>
                </c:pt>
                <c:pt idx="643">
                  <c:v>0.000301877172305121</c:v>
                </c:pt>
                <c:pt idx="644">
                  <c:v>0.000305370810753436</c:v>
                </c:pt>
                <c:pt idx="645">
                  <c:v>0.000315751654564211</c:v>
                </c:pt>
                <c:pt idx="646">
                  <c:v>0.000318813924019556</c:v>
                </c:pt>
                <c:pt idx="647">
                  <c:v>0.000319037952631884</c:v>
                </c:pt>
                <c:pt idx="648">
                  <c:v>0.000320607777505755</c:v>
                </c:pt>
                <c:pt idx="649">
                  <c:v>0.000321325859045762</c:v>
                </c:pt>
                <c:pt idx="650">
                  <c:v>0.000325989632460111</c:v>
                </c:pt>
                <c:pt idx="651">
                  <c:v>0.000327286644017155</c:v>
                </c:pt>
                <c:pt idx="652">
                  <c:v>0.000327510658174823</c:v>
                </c:pt>
                <c:pt idx="653">
                  <c:v>0.000327678169951051</c:v>
                </c:pt>
                <c:pt idx="654">
                  <c:v>0.000328549221173091</c:v>
                </c:pt>
                <c:pt idx="655">
                  <c:v>0.000329889025097785</c:v>
                </c:pt>
                <c:pt idx="656">
                  <c:v>0.000331615891467463</c:v>
                </c:pt>
                <c:pt idx="657">
                  <c:v>0.00033727639427017</c:v>
                </c:pt>
                <c:pt idx="658">
                  <c:v>0.000341450716041525</c:v>
                </c:pt>
                <c:pt idx="659">
                  <c:v>0.000345572499385494</c:v>
                </c:pt>
                <c:pt idx="660">
                  <c:v>0.000351507269595874</c:v>
                </c:pt>
                <c:pt idx="661">
                  <c:v>0.000352177370296136</c:v>
                </c:pt>
                <c:pt idx="662">
                  <c:v>0.000354716157566326</c:v>
                </c:pt>
                <c:pt idx="663">
                  <c:v>0.000356734777246404</c:v>
                </c:pt>
                <c:pt idx="664">
                  <c:v>0.00035858721881743</c:v>
                </c:pt>
                <c:pt idx="665">
                  <c:v>0.000360030779313014</c:v>
                </c:pt>
                <c:pt idx="666">
                  <c:v>0.000362274743003876</c:v>
                </c:pt>
                <c:pt idx="667">
                  <c:v>0.000369620249679903</c:v>
                </c:pt>
                <c:pt idx="668">
                  <c:v>0.000373450876423265</c:v>
                </c:pt>
                <c:pt idx="669">
                  <c:v>0.000374526901615102</c:v>
                </c:pt>
                <c:pt idx="670">
                  <c:v>0.000377332040359502</c:v>
                </c:pt>
                <c:pt idx="671">
                  <c:v>0.000378373747093042</c:v>
                </c:pt>
                <c:pt idx="672">
                  <c:v>0.000380099564142533</c:v>
                </c:pt>
                <c:pt idx="673">
                  <c:v>0.000386585727225386</c:v>
                </c:pt>
                <c:pt idx="674">
                  <c:v>0.000388545927646256</c:v>
                </c:pt>
                <c:pt idx="675">
                  <c:v>0.000394055281483618</c:v>
                </c:pt>
                <c:pt idx="676">
                  <c:v>0.00039500103559198</c:v>
                </c:pt>
                <c:pt idx="677">
                  <c:v>0.000395097270480038</c:v>
                </c:pt>
                <c:pt idx="678">
                  <c:v>0.000403669496403136</c:v>
                </c:pt>
                <c:pt idx="679">
                  <c:v>0.000408703395298637</c:v>
                </c:pt>
                <c:pt idx="680">
                  <c:v>0.000408953683564084</c:v>
                </c:pt>
                <c:pt idx="681">
                  <c:v>0.000410278643858675</c:v>
                </c:pt>
                <c:pt idx="682">
                  <c:v>0.000410861809230445</c:v>
                </c:pt>
                <c:pt idx="683">
                  <c:v>0.000414577993682608</c:v>
                </c:pt>
                <c:pt idx="684">
                  <c:v>0.000417955966003802</c:v>
                </c:pt>
                <c:pt idx="685">
                  <c:v>0.000418964704318903</c:v>
                </c:pt>
                <c:pt idx="686">
                  <c:v>0.000423477682543805</c:v>
                </c:pt>
                <c:pt idx="687">
                  <c:v>0.000439264048729848</c:v>
                </c:pt>
                <c:pt idx="688">
                  <c:v>0.000442690347912444</c:v>
                </c:pt>
                <c:pt idx="689">
                  <c:v>0.000444270848725115</c:v>
                </c:pt>
                <c:pt idx="690">
                  <c:v>0.000448770288041356</c:v>
                </c:pt>
                <c:pt idx="691">
                  <c:v>0.000451876247760774</c:v>
                </c:pt>
                <c:pt idx="692">
                  <c:v>0.000454124717359505</c:v>
                </c:pt>
                <c:pt idx="693">
                  <c:v>0.000454332461996998</c:v>
                </c:pt>
                <c:pt idx="694">
                  <c:v>0.000458867352170156</c:v>
                </c:pt>
                <c:pt idx="695">
                  <c:v>0.000459068912602501</c:v>
                </c:pt>
                <c:pt idx="696">
                  <c:v>0.000460535693259212</c:v>
                </c:pt>
                <c:pt idx="697">
                  <c:v>0.000462389899331894</c:v>
                </c:pt>
                <c:pt idx="698">
                  <c:v>0.000465770294052481</c:v>
                </c:pt>
                <c:pt idx="699">
                  <c:v>0.000468894344841653</c:v>
                </c:pt>
                <c:pt idx="700">
                  <c:v>0.000475375235061248</c:v>
                </c:pt>
                <c:pt idx="701">
                  <c:v>0.0004761087243772</c:v>
                </c:pt>
                <c:pt idx="702">
                  <c:v>0.000484346522678925</c:v>
                </c:pt>
                <c:pt idx="703">
                  <c:v>0.00048895213526623</c:v>
                </c:pt>
                <c:pt idx="704">
                  <c:v>0.0004899619943739</c:v>
                </c:pt>
                <c:pt idx="705">
                  <c:v>0.000491019292753414</c:v>
                </c:pt>
                <c:pt idx="706">
                  <c:v>0.000495102576094864</c:v>
                </c:pt>
                <c:pt idx="707">
                  <c:v>0.000500427244500834</c:v>
                </c:pt>
                <c:pt idx="708">
                  <c:v>0.000507188855784602</c:v>
                </c:pt>
                <c:pt idx="709">
                  <c:v>0.000511903260778324</c:v>
                </c:pt>
                <c:pt idx="710">
                  <c:v>0.000514272226313395</c:v>
                </c:pt>
                <c:pt idx="711">
                  <c:v>0.00051465991707822</c:v>
                </c:pt>
                <c:pt idx="712">
                  <c:v>0.00051962841314479</c:v>
                </c:pt>
                <c:pt idx="713">
                  <c:v>0.000520111966359371</c:v>
                </c:pt>
                <c:pt idx="714">
                  <c:v>0.000524082211452503</c:v>
                </c:pt>
                <c:pt idx="715">
                  <c:v>0.000529457517833176</c:v>
                </c:pt>
                <c:pt idx="716">
                  <c:v>0.000538649953175652</c:v>
                </c:pt>
                <c:pt idx="717">
                  <c:v>0.000540396708853086</c:v>
                </c:pt>
                <c:pt idx="718">
                  <c:v>0.000540567580535889</c:v>
                </c:pt>
                <c:pt idx="719">
                  <c:v>0.000544601207675299</c:v>
                </c:pt>
                <c:pt idx="720">
                  <c:v>0.000553525964857693</c:v>
                </c:pt>
                <c:pt idx="721">
                  <c:v>0.000558358829094496</c:v>
                </c:pt>
                <c:pt idx="722">
                  <c:v>0.000562644395898149</c:v>
                </c:pt>
                <c:pt idx="723">
                  <c:v>0.000566300979697898</c:v>
                </c:pt>
                <c:pt idx="724">
                  <c:v>0.000567161429170904</c:v>
                </c:pt>
                <c:pt idx="725">
                  <c:v>0.000570105321662462</c:v>
                </c:pt>
                <c:pt idx="726">
                  <c:v>0.000571021324023535</c:v>
                </c:pt>
                <c:pt idx="727">
                  <c:v>0.000571835595618353</c:v>
                </c:pt>
                <c:pt idx="728">
                  <c:v>0.000577201533453975</c:v>
                </c:pt>
                <c:pt idx="729">
                  <c:v>0.000583638944375409</c:v>
                </c:pt>
                <c:pt idx="730">
                  <c:v>0.000585026772512487</c:v>
                </c:pt>
                <c:pt idx="731">
                  <c:v>0.000586570921150997</c:v>
                </c:pt>
                <c:pt idx="732">
                  <c:v>0.000594144258931229</c:v>
                </c:pt>
                <c:pt idx="733">
                  <c:v>0.000594493651856265</c:v>
                </c:pt>
                <c:pt idx="734">
                  <c:v>0.000596586940075916</c:v>
                </c:pt>
                <c:pt idx="735">
                  <c:v>0.000597905473828986</c:v>
                </c:pt>
                <c:pt idx="736">
                  <c:v>0.000601084717014366</c:v>
                </c:pt>
                <c:pt idx="737">
                  <c:v>0.000605162035743012</c:v>
                </c:pt>
                <c:pt idx="738">
                  <c:v>0.000606670705962653</c:v>
                </c:pt>
                <c:pt idx="739">
                  <c:v>0.000609595347545344</c:v>
                </c:pt>
                <c:pt idx="740">
                  <c:v>0.000612347903349075</c:v>
                </c:pt>
                <c:pt idx="741">
                  <c:v>0.000618831600200265</c:v>
                </c:pt>
                <c:pt idx="742">
                  <c:v>0.000623777521753466</c:v>
                </c:pt>
                <c:pt idx="743">
                  <c:v>0.000626864758444201</c:v>
                </c:pt>
                <c:pt idx="744">
                  <c:v>0.000630930790726181</c:v>
                </c:pt>
                <c:pt idx="745">
                  <c:v>0.000636536561425594</c:v>
                </c:pt>
                <c:pt idx="746">
                  <c:v>0.000643225801058689</c:v>
                </c:pt>
                <c:pt idx="747">
                  <c:v>0.000653433056692965</c:v>
                </c:pt>
                <c:pt idx="748">
                  <c:v>0.000654675153522133</c:v>
                </c:pt>
                <c:pt idx="749">
                  <c:v>0.000655038111317507</c:v>
                </c:pt>
                <c:pt idx="750">
                  <c:v>0.000660634458572229</c:v>
                </c:pt>
                <c:pt idx="751">
                  <c:v>0.000664858132686907</c:v>
                </c:pt>
                <c:pt idx="752">
                  <c:v>0.000665960697525003</c:v>
                </c:pt>
                <c:pt idx="753">
                  <c:v>0.00067012230805652</c:v>
                </c:pt>
                <c:pt idx="754">
                  <c:v>0.000671525228328695</c:v>
                </c:pt>
                <c:pt idx="755">
                  <c:v>0.000675406105165921</c:v>
                </c:pt>
                <c:pt idx="756">
                  <c:v>0.000678766063684</c:v>
                </c:pt>
                <c:pt idx="757">
                  <c:v>0.00067951294008739</c:v>
                </c:pt>
                <c:pt idx="758">
                  <c:v>0.000693528015813349</c:v>
                </c:pt>
                <c:pt idx="759">
                  <c:v>0.000693604773845502</c:v>
                </c:pt>
                <c:pt idx="760">
                  <c:v>0.000706785902008678</c:v>
                </c:pt>
                <c:pt idx="761">
                  <c:v>0.000707159441921901</c:v>
                </c:pt>
                <c:pt idx="762">
                  <c:v>0.0007071672956247</c:v>
                </c:pt>
                <c:pt idx="763">
                  <c:v>0.000708131754501462</c:v>
                </c:pt>
                <c:pt idx="764">
                  <c:v>0.000710451684955205</c:v>
                </c:pt>
                <c:pt idx="765">
                  <c:v>0.000713555179198133</c:v>
                </c:pt>
                <c:pt idx="766">
                  <c:v>0.000714490000000012</c:v>
                </c:pt>
                <c:pt idx="767">
                  <c:v>0.000715946093582831</c:v>
                </c:pt>
                <c:pt idx="768">
                  <c:v>0.000725755745969448</c:v>
                </c:pt>
                <c:pt idx="769">
                  <c:v>0.000728071062203517</c:v>
                </c:pt>
                <c:pt idx="770">
                  <c:v>0.000728148738267986</c:v>
                </c:pt>
                <c:pt idx="771">
                  <c:v>0.000728331899630286</c:v>
                </c:pt>
                <c:pt idx="772">
                  <c:v>0.000732301090325294</c:v>
                </c:pt>
                <c:pt idx="773">
                  <c:v>0.000733779109606036</c:v>
                </c:pt>
                <c:pt idx="774">
                  <c:v>0.000734794115646809</c:v>
                </c:pt>
                <c:pt idx="775">
                  <c:v>0.000736751809463421</c:v>
                </c:pt>
                <c:pt idx="776">
                  <c:v>0.000740112947434035</c:v>
                </c:pt>
                <c:pt idx="777">
                  <c:v>0.000741265362435017</c:v>
                </c:pt>
                <c:pt idx="778">
                  <c:v>0.000741865114738394</c:v>
                </c:pt>
                <c:pt idx="779">
                  <c:v>0.000744190697830938</c:v>
                </c:pt>
                <c:pt idx="780">
                  <c:v>0.00074712097070706</c:v>
                </c:pt>
                <c:pt idx="781">
                  <c:v>0.000749686602299571</c:v>
                </c:pt>
                <c:pt idx="782">
                  <c:v>0.000750147198952611</c:v>
                </c:pt>
                <c:pt idx="783">
                  <c:v>0.000751076274123408</c:v>
                </c:pt>
                <c:pt idx="784">
                  <c:v>0.000754658137778863</c:v>
                </c:pt>
                <c:pt idx="785">
                  <c:v>0.000754976278536157</c:v>
                </c:pt>
                <c:pt idx="786">
                  <c:v>0.000755737436983317</c:v>
                </c:pt>
                <c:pt idx="787">
                  <c:v>0.000758586098325464</c:v>
                </c:pt>
                <c:pt idx="788">
                  <c:v>0.00076404100255445</c:v>
                </c:pt>
                <c:pt idx="789">
                  <c:v>0.000767669889301104</c:v>
                </c:pt>
                <c:pt idx="790">
                  <c:v>0.000769812901599165</c:v>
                </c:pt>
                <c:pt idx="791">
                  <c:v>0.000770476733168435</c:v>
                </c:pt>
                <c:pt idx="792">
                  <c:v>0.000789251099837074</c:v>
                </c:pt>
                <c:pt idx="793">
                  <c:v>0.000796466990225397</c:v>
                </c:pt>
                <c:pt idx="794">
                  <c:v>0.000796668543223911</c:v>
                </c:pt>
                <c:pt idx="795">
                  <c:v>0.000800058707840279</c:v>
                </c:pt>
                <c:pt idx="796">
                  <c:v>0.00080294126902869</c:v>
                </c:pt>
                <c:pt idx="797">
                  <c:v>0.000806967950932824</c:v>
                </c:pt>
                <c:pt idx="798">
                  <c:v>0.000810457567478329</c:v>
                </c:pt>
                <c:pt idx="799">
                  <c:v>0.000816145966995308</c:v>
                </c:pt>
                <c:pt idx="800">
                  <c:v>0.000821129653004071</c:v>
                </c:pt>
                <c:pt idx="801">
                  <c:v>0.000821273936847167</c:v>
                </c:pt>
                <c:pt idx="802">
                  <c:v>0.000824078264002548</c:v>
                </c:pt>
                <c:pt idx="803">
                  <c:v>0.000828591027567605</c:v>
                </c:pt>
                <c:pt idx="804">
                  <c:v>0.000828656444656017</c:v>
                </c:pt>
                <c:pt idx="805">
                  <c:v>0.000829004744753448</c:v>
                </c:pt>
                <c:pt idx="806">
                  <c:v>0.000831360822722393</c:v>
                </c:pt>
                <c:pt idx="807">
                  <c:v>0.000833821501797782</c:v>
                </c:pt>
                <c:pt idx="808">
                  <c:v>0.000833979661097661</c:v>
                </c:pt>
                <c:pt idx="809">
                  <c:v>0.000843418335524815</c:v>
                </c:pt>
                <c:pt idx="810">
                  <c:v>0.000844512468381575</c:v>
                </c:pt>
                <c:pt idx="811">
                  <c:v>0.000844649153618482</c:v>
                </c:pt>
                <c:pt idx="812">
                  <c:v>0.000846367085836075</c:v>
                </c:pt>
                <c:pt idx="813">
                  <c:v>0.000858749004847059</c:v>
                </c:pt>
                <c:pt idx="814">
                  <c:v>0.000862576010365102</c:v>
                </c:pt>
                <c:pt idx="815">
                  <c:v>0.000885916776034001</c:v>
                </c:pt>
                <c:pt idx="816">
                  <c:v>0.000890077919404098</c:v>
                </c:pt>
                <c:pt idx="817">
                  <c:v>0.00089307536209815</c:v>
                </c:pt>
                <c:pt idx="818">
                  <c:v>0.000902489920825644</c:v>
                </c:pt>
                <c:pt idx="819">
                  <c:v>0.000911060955726128</c:v>
                </c:pt>
                <c:pt idx="820">
                  <c:v>0.000932500797140801</c:v>
                </c:pt>
                <c:pt idx="821">
                  <c:v>0.000933399977333771</c:v>
                </c:pt>
                <c:pt idx="822">
                  <c:v>0.000943112787074041</c:v>
                </c:pt>
                <c:pt idx="823">
                  <c:v>0.00094689981036078</c:v>
                </c:pt>
                <c:pt idx="824">
                  <c:v>0.000951514701289291</c:v>
                </c:pt>
                <c:pt idx="825">
                  <c:v>0.000956086366938225</c:v>
                </c:pt>
                <c:pt idx="826">
                  <c:v>0.000958482131447891</c:v>
                </c:pt>
                <c:pt idx="827">
                  <c:v>0.000967907269510127</c:v>
                </c:pt>
                <c:pt idx="828">
                  <c:v>0.000969819851340148</c:v>
                </c:pt>
                <c:pt idx="829">
                  <c:v>0.000976834870668908</c:v>
                </c:pt>
                <c:pt idx="830">
                  <c:v>0.000982968177971832</c:v>
                </c:pt>
                <c:pt idx="831">
                  <c:v>0.000985225592642358</c:v>
                </c:pt>
                <c:pt idx="832">
                  <c:v>0.000989422465113021</c:v>
                </c:pt>
                <c:pt idx="833">
                  <c:v>0.00100461714787436</c:v>
                </c:pt>
                <c:pt idx="834">
                  <c:v>0.00100494282041597</c:v>
                </c:pt>
                <c:pt idx="835">
                  <c:v>0.00100820483246511</c:v>
                </c:pt>
                <c:pt idx="836">
                  <c:v>0.00101088482042422</c:v>
                </c:pt>
                <c:pt idx="837">
                  <c:v>0.00101419465537322</c:v>
                </c:pt>
                <c:pt idx="838">
                  <c:v>0.00102026815883893</c:v>
                </c:pt>
                <c:pt idx="839">
                  <c:v>0.00103228599243499</c:v>
                </c:pt>
                <c:pt idx="840">
                  <c:v>0.00103677537521918</c:v>
                </c:pt>
                <c:pt idx="841">
                  <c:v>0.00104583053001117</c:v>
                </c:pt>
                <c:pt idx="842">
                  <c:v>0.00104589872786787</c:v>
                </c:pt>
                <c:pt idx="843">
                  <c:v>0.0010510409968052</c:v>
                </c:pt>
                <c:pt idx="844">
                  <c:v>0.00105870421605991</c:v>
                </c:pt>
                <c:pt idx="845">
                  <c:v>0.00106269620872501</c:v>
                </c:pt>
                <c:pt idx="846">
                  <c:v>0.00107498142231455</c:v>
                </c:pt>
                <c:pt idx="847">
                  <c:v>0.00108004076364798</c:v>
                </c:pt>
                <c:pt idx="848">
                  <c:v>0.00108019670944159</c:v>
                </c:pt>
                <c:pt idx="849">
                  <c:v>0.00108522820859225</c:v>
                </c:pt>
                <c:pt idx="850">
                  <c:v>0.00108678752056024</c:v>
                </c:pt>
                <c:pt idx="851">
                  <c:v>0.0010903862246372</c:v>
                </c:pt>
                <c:pt idx="852">
                  <c:v>0.00109038867172351</c:v>
                </c:pt>
                <c:pt idx="853">
                  <c:v>0.00109161302281735</c:v>
                </c:pt>
                <c:pt idx="854">
                  <c:v>0.00109525193559534</c:v>
                </c:pt>
                <c:pt idx="855">
                  <c:v>0.00109574496083242</c:v>
                </c:pt>
                <c:pt idx="856">
                  <c:v>0.00110042366541374</c:v>
                </c:pt>
                <c:pt idx="857">
                  <c:v>0.00110387400135359</c:v>
                </c:pt>
                <c:pt idx="858">
                  <c:v>0.0011040239821154</c:v>
                </c:pt>
                <c:pt idx="859">
                  <c:v>0.00110423232901824</c:v>
                </c:pt>
                <c:pt idx="860">
                  <c:v>0.0011171381540509</c:v>
                </c:pt>
                <c:pt idx="861">
                  <c:v>0.00112375157863731</c:v>
                </c:pt>
                <c:pt idx="862">
                  <c:v>0.00112417046749846</c:v>
                </c:pt>
                <c:pt idx="863">
                  <c:v>0.00113019618025079</c:v>
                </c:pt>
                <c:pt idx="864">
                  <c:v>0.00113370502641286</c:v>
                </c:pt>
                <c:pt idx="865">
                  <c:v>0.00113670132110921</c:v>
                </c:pt>
                <c:pt idx="866">
                  <c:v>0.00113915877947979</c:v>
                </c:pt>
                <c:pt idx="867">
                  <c:v>0.00115029668969835</c:v>
                </c:pt>
                <c:pt idx="868">
                  <c:v>0.00116362039926599</c:v>
                </c:pt>
                <c:pt idx="869">
                  <c:v>0.00118144598090497</c:v>
                </c:pt>
                <c:pt idx="870">
                  <c:v>0.00118221746139957</c:v>
                </c:pt>
                <c:pt idx="871">
                  <c:v>0.00119048573654901</c:v>
                </c:pt>
                <c:pt idx="872">
                  <c:v>0.00119516082634119</c:v>
                </c:pt>
                <c:pt idx="873">
                  <c:v>0.00119684030289813</c:v>
                </c:pt>
                <c:pt idx="874">
                  <c:v>0.00123969476128472</c:v>
                </c:pt>
                <c:pt idx="875">
                  <c:v>0.00124274202493391</c:v>
                </c:pt>
                <c:pt idx="876">
                  <c:v>0.00124452007760678</c:v>
                </c:pt>
                <c:pt idx="877">
                  <c:v>0.00124461814620247</c:v>
                </c:pt>
                <c:pt idx="878">
                  <c:v>0.00124770176982891</c:v>
                </c:pt>
                <c:pt idx="879">
                  <c:v>0.00126006288062896</c:v>
                </c:pt>
                <c:pt idx="880">
                  <c:v>0.00127222908279334</c:v>
                </c:pt>
                <c:pt idx="881">
                  <c:v>0.001278427507869</c:v>
                </c:pt>
                <c:pt idx="882">
                  <c:v>0.00128726836425108</c:v>
                </c:pt>
                <c:pt idx="883">
                  <c:v>0.00129220394371221</c:v>
                </c:pt>
                <c:pt idx="884">
                  <c:v>0.00131604665929141</c:v>
                </c:pt>
                <c:pt idx="885">
                  <c:v>0.00133374984284229</c:v>
                </c:pt>
                <c:pt idx="886">
                  <c:v>0.00133498068806626</c:v>
                </c:pt>
                <c:pt idx="887">
                  <c:v>0.00134305495766651</c:v>
                </c:pt>
                <c:pt idx="888">
                  <c:v>0.00134640401351049</c:v>
                </c:pt>
                <c:pt idx="889">
                  <c:v>0.00135990396178221</c:v>
                </c:pt>
                <c:pt idx="890">
                  <c:v>0.00136287581228767</c:v>
                </c:pt>
                <c:pt idx="891">
                  <c:v>0.00136922619695712</c:v>
                </c:pt>
                <c:pt idx="892">
                  <c:v>0.00137653963719298</c:v>
                </c:pt>
                <c:pt idx="893">
                  <c:v>0.00138861368530696</c:v>
                </c:pt>
                <c:pt idx="894">
                  <c:v>0.00139136434313292</c:v>
                </c:pt>
                <c:pt idx="895">
                  <c:v>0.00141004577815607</c:v>
                </c:pt>
                <c:pt idx="896">
                  <c:v>0.00141425775639537</c:v>
                </c:pt>
                <c:pt idx="897">
                  <c:v>0.00141458560489127</c:v>
                </c:pt>
                <c:pt idx="898">
                  <c:v>0.00142186464455829</c:v>
                </c:pt>
                <c:pt idx="899">
                  <c:v>0.00142218391638949</c:v>
                </c:pt>
                <c:pt idx="900">
                  <c:v>0.0014245288793413</c:v>
                </c:pt>
                <c:pt idx="901">
                  <c:v>0.00143391194550202</c:v>
                </c:pt>
                <c:pt idx="902">
                  <c:v>0.00146339327204026</c:v>
                </c:pt>
                <c:pt idx="903">
                  <c:v>0.00147177596921932</c:v>
                </c:pt>
                <c:pt idx="904">
                  <c:v>0.00147221786086948</c:v>
                </c:pt>
                <c:pt idx="905">
                  <c:v>0.00147268899233399</c:v>
                </c:pt>
                <c:pt idx="906">
                  <c:v>0.00147895693066413</c:v>
                </c:pt>
                <c:pt idx="907">
                  <c:v>0.00148498607952785</c:v>
                </c:pt>
                <c:pt idx="908">
                  <c:v>0.00151481891002359</c:v>
                </c:pt>
                <c:pt idx="909">
                  <c:v>0.0015292391887618</c:v>
                </c:pt>
                <c:pt idx="910">
                  <c:v>0.00153402354249188</c:v>
                </c:pt>
                <c:pt idx="911">
                  <c:v>0.00153884817296013</c:v>
                </c:pt>
                <c:pt idx="912">
                  <c:v>0.0015497255138357</c:v>
                </c:pt>
                <c:pt idx="913">
                  <c:v>0.00156951762307078</c:v>
                </c:pt>
                <c:pt idx="914">
                  <c:v>0.00159793161026034</c:v>
                </c:pt>
                <c:pt idx="915">
                  <c:v>0.00160553967560806</c:v>
                </c:pt>
                <c:pt idx="916">
                  <c:v>0.00160914664534606</c:v>
                </c:pt>
                <c:pt idx="917">
                  <c:v>0.00161454536912475</c:v>
                </c:pt>
                <c:pt idx="918">
                  <c:v>0.00161985881505289</c:v>
                </c:pt>
                <c:pt idx="919">
                  <c:v>0.00163196611083638</c:v>
                </c:pt>
                <c:pt idx="920">
                  <c:v>0.00163585038392999</c:v>
                </c:pt>
                <c:pt idx="921">
                  <c:v>0.00163617780776937</c:v>
                </c:pt>
                <c:pt idx="922">
                  <c:v>0.00165685127325887</c:v>
                </c:pt>
                <c:pt idx="923">
                  <c:v>0.00166030605603296</c:v>
                </c:pt>
                <c:pt idx="924">
                  <c:v>0.00166130162567457</c:v>
                </c:pt>
                <c:pt idx="925">
                  <c:v>0.00169293007275262</c:v>
                </c:pt>
                <c:pt idx="926">
                  <c:v>0.00170383272463503</c:v>
                </c:pt>
                <c:pt idx="927">
                  <c:v>0.00170510998312534</c:v>
                </c:pt>
                <c:pt idx="928">
                  <c:v>0.00170550980067086</c:v>
                </c:pt>
                <c:pt idx="929">
                  <c:v>0.00170885102237928</c:v>
                </c:pt>
                <c:pt idx="930">
                  <c:v>0.00172883777035859</c:v>
                </c:pt>
                <c:pt idx="931">
                  <c:v>0.00173743183434705</c:v>
                </c:pt>
                <c:pt idx="932">
                  <c:v>0.00173869339187061</c:v>
                </c:pt>
                <c:pt idx="933">
                  <c:v>0.0017415944134096</c:v>
                </c:pt>
                <c:pt idx="934">
                  <c:v>0.00177446162274442</c:v>
                </c:pt>
                <c:pt idx="935">
                  <c:v>0.00178553246571145</c:v>
                </c:pt>
                <c:pt idx="936">
                  <c:v>0.00180923491573948</c:v>
                </c:pt>
                <c:pt idx="937">
                  <c:v>0.00184150230408009</c:v>
                </c:pt>
                <c:pt idx="938">
                  <c:v>0.00184930392200378</c:v>
                </c:pt>
                <c:pt idx="939">
                  <c:v>0.00185077071443307</c:v>
                </c:pt>
                <c:pt idx="940">
                  <c:v>0.00185194358719287</c:v>
                </c:pt>
                <c:pt idx="941">
                  <c:v>0.00185212851340255</c:v>
                </c:pt>
                <c:pt idx="942">
                  <c:v>0.00186166071195815</c:v>
                </c:pt>
                <c:pt idx="943">
                  <c:v>0.00187622008476773</c:v>
                </c:pt>
                <c:pt idx="944">
                  <c:v>0.00190852878270009</c:v>
                </c:pt>
                <c:pt idx="945">
                  <c:v>0.00191720402587015</c:v>
                </c:pt>
                <c:pt idx="946">
                  <c:v>0.00193161940398268</c:v>
                </c:pt>
                <c:pt idx="947">
                  <c:v>0.00200347044342242</c:v>
                </c:pt>
                <c:pt idx="948">
                  <c:v>0.00200350678076444</c:v>
                </c:pt>
                <c:pt idx="949">
                  <c:v>0.00205199902558517</c:v>
                </c:pt>
                <c:pt idx="950">
                  <c:v>0.00209409228655</c:v>
                </c:pt>
                <c:pt idx="951">
                  <c:v>0.00211376213547121</c:v>
                </c:pt>
                <c:pt idx="952">
                  <c:v>0.00212608407917259</c:v>
                </c:pt>
                <c:pt idx="953">
                  <c:v>0.00212799789828777</c:v>
                </c:pt>
                <c:pt idx="954">
                  <c:v>0.00213195889807793</c:v>
                </c:pt>
                <c:pt idx="955">
                  <c:v>0.00216512185429174</c:v>
                </c:pt>
                <c:pt idx="956">
                  <c:v>0.00217417396171515</c:v>
                </c:pt>
                <c:pt idx="957">
                  <c:v>0.00217969741399005</c:v>
                </c:pt>
                <c:pt idx="958">
                  <c:v>0.0022384909703963</c:v>
                </c:pt>
                <c:pt idx="959">
                  <c:v>0.00224131213134959</c:v>
                </c:pt>
                <c:pt idx="960">
                  <c:v>0.00224830521229014</c:v>
                </c:pt>
                <c:pt idx="961">
                  <c:v>0.00225553744450147</c:v>
                </c:pt>
                <c:pt idx="962">
                  <c:v>0.0022582532097617</c:v>
                </c:pt>
                <c:pt idx="963">
                  <c:v>0.00226809560676422</c:v>
                </c:pt>
                <c:pt idx="964">
                  <c:v>0.00230871875995087</c:v>
                </c:pt>
                <c:pt idx="965">
                  <c:v>0.00231689943562885</c:v>
                </c:pt>
                <c:pt idx="966">
                  <c:v>0.00234847118448878</c:v>
                </c:pt>
                <c:pt idx="967">
                  <c:v>0.00242557660008491</c:v>
                </c:pt>
                <c:pt idx="968">
                  <c:v>0.00246030646078377</c:v>
                </c:pt>
                <c:pt idx="969">
                  <c:v>0.00250769620568536</c:v>
                </c:pt>
                <c:pt idx="970">
                  <c:v>0.00252654432424948</c:v>
                </c:pt>
                <c:pt idx="971">
                  <c:v>0.00255326508795783</c:v>
                </c:pt>
                <c:pt idx="972">
                  <c:v>0.00258859876541195</c:v>
                </c:pt>
                <c:pt idx="973">
                  <c:v>0.00271884756758678</c:v>
                </c:pt>
                <c:pt idx="974">
                  <c:v>0.00280781719599332</c:v>
                </c:pt>
                <c:pt idx="975">
                  <c:v>0.00286275364694744</c:v>
                </c:pt>
                <c:pt idx="976">
                  <c:v>0.00287787983811461</c:v>
                </c:pt>
                <c:pt idx="977">
                  <c:v>0.00289821041852689</c:v>
                </c:pt>
                <c:pt idx="978">
                  <c:v>0.00290624844726128</c:v>
                </c:pt>
                <c:pt idx="979">
                  <c:v>0.00298215898703158</c:v>
                </c:pt>
                <c:pt idx="980">
                  <c:v>0.00301034195661987</c:v>
                </c:pt>
                <c:pt idx="981">
                  <c:v>0.00306561139105832</c:v>
                </c:pt>
                <c:pt idx="982">
                  <c:v>0.0031303826274427</c:v>
                </c:pt>
                <c:pt idx="983">
                  <c:v>0.00313093837879275</c:v>
                </c:pt>
                <c:pt idx="984">
                  <c:v>0.00313511999862182</c:v>
                </c:pt>
                <c:pt idx="985">
                  <c:v>0.00318891703873314</c:v>
                </c:pt>
                <c:pt idx="986">
                  <c:v>0.00325954522933181</c:v>
                </c:pt>
                <c:pt idx="987">
                  <c:v>0.00340320111067238</c:v>
                </c:pt>
                <c:pt idx="988">
                  <c:v>0.00344598049761502</c:v>
                </c:pt>
                <c:pt idx="989">
                  <c:v>0.00355024649493885</c:v>
                </c:pt>
                <c:pt idx="990">
                  <c:v>0.00369662773169144</c:v>
                </c:pt>
                <c:pt idx="991">
                  <c:v>0.00376492897852443</c:v>
                </c:pt>
                <c:pt idx="992">
                  <c:v>0.00385277082222735</c:v>
                </c:pt>
                <c:pt idx="993">
                  <c:v>0.00389049690860777</c:v>
                </c:pt>
                <c:pt idx="994">
                  <c:v>0.00409251425002566</c:v>
                </c:pt>
                <c:pt idx="995">
                  <c:v>0.00423239462557645</c:v>
                </c:pt>
                <c:pt idx="996">
                  <c:v>0.00461485221116309</c:v>
                </c:pt>
                <c:pt idx="997">
                  <c:v>0.00479776680225519</c:v>
                </c:pt>
                <c:pt idx="998">
                  <c:v>0.00538755026016213</c:v>
                </c:pt>
                <c:pt idx="999">
                  <c:v>0.00569271403817084</c:v>
                </c:pt>
              </c:numCache>
            </c:numRef>
          </c:xVal>
          <c:yVal>
            <c:numRef>
              <c:f>BTC_Fit!$D$37:$D$1036</c:f>
              <c:numCache>
                <c:formatCode>0.0000</c:formatCode>
                <c:ptCount val="1000"/>
                <c:pt idx="0">
                  <c:v>1.14008441513433E-005</c:v>
                </c:pt>
                <c:pt idx="1">
                  <c:v>2.8479950902002E-005</c:v>
                </c:pt>
                <c:pt idx="2">
                  <c:v>7.46680889025836E-005</c:v>
                </c:pt>
                <c:pt idx="3">
                  <c:v>0.00033403816867698</c:v>
                </c:pt>
                <c:pt idx="4">
                  <c:v>0.000449395240346891</c:v>
                </c:pt>
                <c:pt idx="5">
                  <c:v>0.000512608367058162</c:v>
                </c:pt>
                <c:pt idx="6">
                  <c:v>0.000717098623861548</c:v>
                </c:pt>
                <c:pt idx="7">
                  <c:v>0.00145505227343076</c:v>
                </c:pt>
                <c:pt idx="8">
                  <c:v>0.00147703389643836</c:v>
                </c:pt>
                <c:pt idx="9">
                  <c:v>0.00247412365214378</c:v>
                </c:pt>
                <c:pt idx="10">
                  <c:v>0.00340117235925861</c:v>
                </c:pt>
                <c:pt idx="11">
                  <c:v>0.00453332745607105</c:v>
                </c:pt>
                <c:pt idx="12">
                  <c:v>0.00466119650747765</c:v>
                </c:pt>
                <c:pt idx="13">
                  <c:v>0.00584439162548421</c:v>
                </c:pt>
                <c:pt idx="14">
                  <c:v>0.00648621072985062</c:v>
                </c:pt>
                <c:pt idx="15">
                  <c:v>0.00822807608939617</c:v>
                </c:pt>
                <c:pt idx="16">
                  <c:v>0.00929461190480948</c:v>
                </c:pt>
                <c:pt idx="17">
                  <c:v>0.00946315982921283</c:v>
                </c:pt>
                <c:pt idx="18">
                  <c:v>0.00979082246190212</c:v>
                </c:pt>
                <c:pt idx="19">
                  <c:v>0.0106943881480382</c:v>
                </c:pt>
                <c:pt idx="20">
                  <c:v>0.0129863149333983</c:v>
                </c:pt>
                <c:pt idx="21">
                  <c:v>0.0135083329958708</c:v>
                </c:pt>
                <c:pt idx="22">
                  <c:v>0.0147710920009149</c:v>
                </c:pt>
                <c:pt idx="23">
                  <c:v>0.0148779193951335</c:v>
                </c:pt>
                <c:pt idx="24">
                  <c:v>0.0152714074283497</c:v>
                </c:pt>
                <c:pt idx="25">
                  <c:v>0.0172850076849011</c:v>
                </c:pt>
                <c:pt idx="26">
                  <c:v>0.017329281676884</c:v>
                </c:pt>
                <c:pt idx="27">
                  <c:v>0.0225650835754994</c:v>
                </c:pt>
                <c:pt idx="28">
                  <c:v>0.0233631771262998</c:v>
                </c:pt>
                <c:pt idx="29">
                  <c:v>0.0236634906725063</c:v>
                </c:pt>
                <c:pt idx="30">
                  <c:v>0.0239543410970168</c:v>
                </c:pt>
                <c:pt idx="31">
                  <c:v>0.0249717379765</c:v>
                </c:pt>
                <c:pt idx="32">
                  <c:v>0.0255972352009034</c:v>
                </c:pt>
                <c:pt idx="33">
                  <c:v>0.0318925060880644</c:v>
                </c:pt>
                <c:pt idx="34">
                  <c:v>0.032198621157678</c:v>
                </c:pt>
                <c:pt idx="35">
                  <c:v>0.0323443169760163</c:v>
                </c:pt>
                <c:pt idx="36">
                  <c:v>0.0334917395700092</c:v>
                </c:pt>
                <c:pt idx="37">
                  <c:v>0.0341225587399675</c:v>
                </c:pt>
                <c:pt idx="38">
                  <c:v>0.0380779226958604</c:v>
                </c:pt>
                <c:pt idx="39">
                  <c:v>0.0392401688217928</c:v>
                </c:pt>
                <c:pt idx="40">
                  <c:v>0.039433696016289</c:v>
                </c:pt>
                <c:pt idx="41">
                  <c:v>0.0402191238395029</c:v>
                </c:pt>
                <c:pt idx="42">
                  <c:v>0.0413042023367466</c:v>
                </c:pt>
                <c:pt idx="43">
                  <c:v>0.0429690768411557</c:v>
                </c:pt>
                <c:pt idx="44">
                  <c:v>0.0434573180947875</c:v>
                </c:pt>
                <c:pt idx="45">
                  <c:v>0.0447168734078416</c:v>
                </c:pt>
                <c:pt idx="46">
                  <c:v>0.0451079627904827</c:v>
                </c:pt>
                <c:pt idx="47">
                  <c:v>0.0455003978968166</c:v>
                </c:pt>
                <c:pt idx="48">
                  <c:v>0.0488082593659688</c:v>
                </c:pt>
                <c:pt idx="49">
                  <c:v>0.0506162978238292</c:v>
                </c:pt>
                <c:pt idx="50">
                  <c:v>0.0508121729328908</c:v>
                </c:pt>
                <c:pt idx="51">
                  <c:v>0.0512146110273618</c:v>
                </c:pt>
                <c:pt idx="52">
                  <c:v>0.0516555996259367</c:v>
                </c:pt>
                <c:pt idx="53">
                  <c:v>0.0529531463111404</c:v>
                </c:pt>
                <c:pt idx="54">
                  <c:v>0.0535811857066629</c:v>
                </c:pt>
                <c:pt idx="55">
                  <c:v>0.0542549337124338</c:v>
                </c:pt>
                <c:pt idx="56">
                  <c:v>0.055319757566702</c:v>
                </c:pt>
                <c:pt idx="57">
                  <c:v>0.0557853559291512</c:v>
                </c:pt>
                <c:pt idx="58">
                  <c:v>0.0579619595982291</c:v>
                </c:pt>
                <c:pt idx="59">
                  <c:v>0.0596797736709913</c:v>
                </c:pt>
                <c:pt idx="60">
                  <c:v>0.0610591406944908</c:v>
                </c:pt>
                <c:pt idx="61">
                  <c:v>0.06132421661892</c:v>
                </c:pt>
                <c:pt idx="62">
                  <c:v>0.0638924107670785</c:v>
                </c:pt>
                <c:pt idx="63">
                  <c:v>0.0652477203902619</c:v>
                </c:pt>
                <c:pt idx="64">
                  <c:v>0.0655489942694346</c:v>
                </c:pt>
                <c:pt idx="65">
                  <c:v>0.0689961578246973</c:v>
                </c:pt>
                <c:pt idx="66">
                  <c:v>0.0741012098756481</c:v>
                </c:pt>
                <c:pt idx="67">
                  <c:v>0.0767629380781301</c:v>
                </c:pt>
                <c:pt idx="68">
                  <c:v>0.078361114159191</c:v>
                </c:pt>
                <c:pt idx="69">
                  <c:v>0.0793074701376837</c:v>
                </c:pt>
                <c:pt idx="70">
                  <c:v>0.0865390679751689</c:v>
                </c:pt>
                <c:pt idx="71">
                  <c:v>0.0869062935582539</c:v>
                </c:pt>
                <c:pt idx="72">
                  <c:v>0.0962745138854228</c:v>
                </c:pt>
                <c:pt idx="73">
                  <c:v>0.0992701010130093</c:v>
                </c:pt>
                <c:pt idx="74">
                  <c:v>0.103395508188453</c:v>
                </c:pt>
                <c:pt idx="75">
                  <c:v>0.105521954929716</c:v>
                </c:pt>
                <c:pt idx="76">
                  <c:v>0.10602672871101</c:v>
                </c:pt>
                <c:pt idx="77">
                  <c:v>0.106101802213599</c:v>
                </c:pt>
                <c:pt idx="78">
                  <c:v>0.106589485615172</c:v>
                </c:pt>
                <c:pt idx="79">
                  <c:v>0.106601346817114</c:v>
                </c:pt>
                <c:pt idx="80">
                  <c:v>0.110927586716863</c:v>
                </c:pt>
                <c:pt idx="81">
                  <c:v>0.11101865166165</c:v>
                </c:pt>
                <c:pt idx="82">
                  <c:v>0.11457867543919</c:v>
                </c:pt>
                <c:pt idx="83">
                  <c:v>0.11517683907412</c:v>
                </c:pt>
                <c:pt idx="84">
                  <c:v>0.117119349195716</c:v>
                </c:pt>
                <c:pt idx="85">
                  <c:v>0.120675314432691</c:v>
                </c:pt>
                <c:pt idx="86">
                  <c:v>0.120833189508684</c:v>
                </c:pt>
                <c:pt idx="87">
                  <c:v>0.121269449318787</c:v>
                </c:pt>
                <c:pt idx="88">
                  <c:v>0.122148318315817</c:v>
                </c:pt>
                <c:pt idx="89">
                  <c:v>0.122217829266089</c:v>
                </c:pt>
                <c:pt idx="90">
                  <c:v>0.12416585698379</c:v>
                </c:pt>
                <c:pt idx="91">
                  <c:v>0.125048609849463</c:v>
                </c:pt>
                <c:pt idx="92">
                  <c:v>0.127963667580941</c:v>
                </c:pt>
                <c:pt idx="93">
                  <c:v>0.128245121246123</c:v>
                </c:pt>
                <c:pt idx="94">
                  <c:v>0.129363890406899</c:v>
                </c:pt>
                <c:pt idx="95">
                  <c:v>0.130158230375907</c:v>
                </c:pt>
                <c:pt idx="96">
                  <c:v>0.132058923923468</c:v>
                </c:pt>
                <c:pt idx="97">
                  <c:v>0.132390186589748</c:v>
                </c:pt>
                <c:pt idx="98">
                  <c:v>0.134035186335483</c:v>
                </c:pt>
                <c:pt idx="99">
                  <c:v>0.134629083638995</c:v>
                </c:pt>
                <c:pt idx="100">
                  <c:v>0.136421432198905</c:v>
                </c:pt>
                <c:pt idx="101">
                  <c:v>0.136960491824478</c:v>
                </c:pt>
                <c:pt idx="102">
                  <c:v>0.137401147865221</c:v>
                </c:pt>
                <c:pt idx="103">
                  <c:v>0.138315095122309</c:v>
                </c:pt>
                <c:pt idx="104">
                  <c:v>0.139082428915146</c:v>
                </c:pt>
                <c:pt idx="105">
                  <c:v>0.141023836975106</c:v>
                </c:pt>
                <c:pt idx="106">
                  <c:v>0.142248079847276</c:v>
                </c:pt>
                <c:pt idx="107">
                  <c:v>0.143080500863608</c:v>
                </c:pt>
                <c:pt idx="108">
                  <c:v>0.143283444733657</c:v>
                </c:pt>
                <c:pt idx="109">
                  <c:v>0.145190425472335</c:v>
                </c:pt>
                <c:pt idx="110">
                  <c:v>0.145248701571653</c:v>
                </c:pt>
                <c:pt idx="111">
                  <c:v>0.145341014579746</c:v>
                </c:pt>
                <c:pt idx="112">
                  <c:v>0.146663440838033</c:v>
                </c:pt>
                <c:pt idx="113">
                  <c:v>0.147346812613848</c:v>
                </c:pt>
                <c:pt idx="114">
                  <c:v>0.150296674864735</c:v>
                </c:pt>
                <c:pt idx="115">
                  <c:v>0.150911196477506</c:v>
                </c:pt>
                <c:pt idx="116">
                  <c:v>0.152297431061848</c:v>
                </c:pt>
                <c:pt idx="117">
                  <c:v>0.152825534108107</c:v>
                </c:pt>
                <c:pt idx="118">
                  <c:v>0.154618950683729</c:v>
                </c:pt>
                <c:pt idx="119">
                  <c:v>0.155912781143581</c:v>
                </c:pt>
                <c:pt idx="120">
                  <c:v>0.156589486198719</c:v>
                </c:pt>
                <c:pt idx="121">
                  <c:v>0.157268899837533</c:v>
                </c:pt>
                <c:pt idx="122">
                  <c:v>0.157645796619325</c:v>
                </c:pt>
                <c:pt idx="123">
                  <c:v>0.158296397579701</c:v>
                </c:pt>
                <c:pt idx="124">
                  <c:v>0.158383483514136</c:v>
                </c:pt>
                <c:pt idx="125">
                  <c:v>0.159697801653831</c:v>
                </c:pt>
                <c:pt idx="126">
                  <c:v>0.161370371796948</c:v>
                </c:pt>
                <c:pt idx="127">
                  <c:v>0.161496250550834</c:v>
                </c:pt>
                <c:pt idx="128">
                  <c:v>0.162682791088294</c:v>
                </c:pt>
                <c:pt idx="129">
                  <c:v>0.164090700119878</c:v>
                </c:pt>
                <c:pt idx="130">
                  <c:v>0.164256514131851</c:v>
                </c:pt>
                <c:pt idx="131">
                  <c:v>0.16574083421473</c:v>
                </c:pt>
                <c:pt idx="132">
                  <c:v>0.166784252981713</c:v>
                </c:pt>
                <c:pt idx="133">
                  <c:v>0.167292404320051</c:v>
                </c:pt>
                <c:pt idx="134">
                  <c:v>0.168533940768513</c:v>
                </c:pt>
                <c:pt idx="135">
                  <c:v>0.170216881384455</c:v>
                </c:pt>
                <c:pt idx="136">
                  <c:v>0.17273659455368</c:v>
                </c:pt>
                <c:pt idx="137">
                  <c:v>0.174316849001813</c:v>
                </c:pt>
                <c:pt idx="138">
                  <c:v>0.174386001433259</c:v>
                </c:pt>
                <c:pt idx="139">
                  <c:v>0.175281361918069</c:v>
                </c:pt>
                <c:pt idx="140">
                  <c:v>0.175373972282106</c:v>
                </c:pt>
                <c:pt idx="141">
                  <c:v>0.175762677228375</c:v>
                </c:pt>
                <c:pt idx="142">
                  <c:v>0.178511299651384</c:v>
                </c:pt>
                <c:pt idx="143">
                  <c:v>0.178885457299244</c:v>
                </c:pt>
                <c:pt idx="144">
                  <c:v>0.179139317095029</c:v>
                </c:pt>
                <c:pt idx="145">
                  <c:v>0.182249397096853</c:v>
                </c:pt>
                <c:pt idx="146">
                  <c:v>0.183049752202001</c:v>
                </c:pt>
                <c:pt idx="147">
                  <c:v>0.183574596574379</c:v>
                </c:pt>
                <c:pt idx="148">
                  <c:v>0.184138453740752</c:v>
                </c:pt>
                <c:pt idx="149">
                  <c:v>0.186238667164195</c:v>
                </c:pt>
                <c:pt idx="150">
                  <c:v>0.186260306577298</c:v>
                </c:pt>
                <c:pt idx="151">
                  <c:v>0.186299352824274</c:v>
                </c:pt>
                <c:pt idx="152">
                  <c:v>0.186911641501321</c:v>
                </c:pt>
                <c:pt idx="153">
                  <c:v>0.187033790041267</c:v>
                </c:pt>
                <c:pt idx="154">
                  <c:v>0.188732051461418</c:v>
                </c:pt>
                <c:pt idx="155">
                  <c:v>0.190652126883675</c:v>
                </c:pt>
                <c:pt idx="156">
                  <c:v>0.191588747860771</c:v>
                </c:pt>
                <c:pt idx="157">
                  <c:v>0.191794613939105</c:v>
                </c:pt>
                <c:pt idx="158">
                  <c:v>0.191825630006861</c:v>
                </c:pt>
                <c:pt idx="159">
                  <c:v>0.192668201242722</c:v>
                </c:pt>
                <c:pt idx="160">
                  <c:v>0.193476981255216</c:v>
                </c:pt>
                <c:pt idx="161">
                  <c:v>0.194870609392598</c:v>
                </c:pt>
                <c:pt idx="162">
                  <c:v>0.197011869736182</c:v>
                </c:pt>
                <c:pt idx="163">
                  <c:v>0.197879606621061</c:v>
                </c:pt>
                <c:pt idx="164">
                  <c:v>0.19911609244913</c:v>
                </c:pt>
                <c:pt idx="165">
                  <c:v>0.200541931543704</c:v>
                </c:pt>
                <c:pt idx="166">
                  <c:v>0.200830622661922</c:v>
                </c:pt>
                <c:pt idx="167">
                  <c:v>0.202983634195792</c:v>
                </c:pt>
                <c:pt idx="168">
                  <c:v>0.203722134291587</c:v>
                </c:pt>
                <c:pt idx="169">
                  <c:v>0.204256672802848</c:v>
                </c:pt>
                <c:pt idx="170">
                  <c:v>0.204685436182587</c:v>
                </c:pt>
                <c:pt idx="171">
                  <c:v>0.20468556248948</c:v>
                </c:pt>
                <c:pt idx="172">
                  <c:v>0.205569028791667</c:v>
                </c:pt>
                <c:pt idx="173">
                  <c:v>0.206772011378456</c:v>
                </c:pt>
                <c:pt idx="174">
                  <c:v>0.207069795679049</c:v>
                </c:pt>
                <c:pt idx="175">
                  <c:v>0.209879697937972</c:v>
                </c:pt>
                <c:pt idx="176">
                  <c:v>0.213356758224121</c:v>
                </c:pt>
                <c:pt idx="177">
                  <c:v>0.214562898232107</c:v>
                </c:pt>
                <c:pt idx="178">
                  <c:v>0.214586846398928</c:v>
                </c:pt>
                <c:pt idx="179">
                  <c:v>0.21646494995914</c:v>
                </c:pt>
                <c:pt idx="180">
                  <c:v>0.216627670153368</c:v>
                </c:pt>
                <c:pt idx="181">
                  <c:v>0.217525929594409</c:v>
                </c:pt>
                <c:pt idx="182">
                  <c:v>0.217747038026227</c:v>
                </c:pt>
                <c:pt idx="183">
                  <c:v>0.218832986394771</c:v>
                </c:pt>
                <c:pt idx="184">
                  <c:v>0.219725446426671</c:v>
                </c:pt>
                <c:pt idx="185">
                  <c:v>0.219947967322352</c:v>
                </c:pt>
                <c:pt idx="186">
                  <c:v>0.220002522894604</c:v>
                </c:pt>
                <c:pt idx="187">
                  <c:v>0.220478525094578</c:v>
                </c:pt>
                <c:pt idx="188">
                  <c:v>0.221821616996974</c:v>
                </c:pt>
                <c:pt idx="189">
                  <c:v>0.226360025261167</c:v>
                </c:pt>
                <c:pt idx="190">
                  <c:v>0.227229340813287</c:v>
                </c:pt>
                <c:pt idx="191">
                  <c:v>0.229280725062952</c:v>
                </c:pt>
                <c:pt idx="192">
                  <c:v>0.229342527892682</c:v>
                </c:pt>
                <c:pt idx="193">
                  <c:v>0.229508148602803</c:v>
                </c:pt>
                <c:pt idx="194">
                  <c:v>0.23137868932899</c:v>
                </c:pt>
                <c:pt idx="195">
                  <c:v>0.233998438573822</c:v>
                </c:pt>
                <c:pt idx="196">
                  <c:v>0.23489884554641</c:v>
                </c:pt>
                <c:pt idx="197">
                  <c:v>0.23604119916737</c:v>
                </c:pt>
                <c:pt idx="198">
                  <c:v>0.237049344564986</c:v>
                </c:pt>
                <c:pt idx="199">
                  <c:v>0.23732130677337</c:v>
                </c:pt>
                <c:pt idx="200">
                  <c:v>0.239061330228831</c:v>
                </c:pt>
                <c:pt idx="201">
                  <c:v>0.239755442450357</c:v>
                </c:pt>
                <c:pt idx="202">
                  <c:v>0.242209674811267</c:v>
                </c:pt>
                <c:pt idx="203">
                  <c:v>0.244187320075002</c:v>
                </c:pt>
                <c:pt idx="204">
                  <c:v>0.244888607660332</c:v>
                </c:pt>
                <c:pt idx="205">
                  <c:v>0.246648243495459</c:v>
                </c:pt>
                <c:pt idx="206">
                  <c:v>0.247068345646259</c:v>
                </c:pt>
                <c:pt idx="207">
                  <c:v>0.247935729324798</c:v>
                </c:pt>
                <c:pt idx="208">
                  <c:v>0.249299424364161</c:v>
                </c:pt>
                <c:pt idx="209">
                  <c:v>0.251813248009031</c:v>
                </c:pt>
                <c:pt idx="210">
                  <c:v>0.253501888334364</c:v>
                </c:pt>
                <c:pt idx="211">
                  <c:v>0.255370535976294</c:v>
                </c:pt>
                <c:pt idx="212">
                  <c:v>0.257461491595135</c:v>
                </c:pt>
                <c:pt idx="213">
                  <c:v>0.257819966763279</c:v>
                </c:pt>
                <c:pt idx="214">
                  <c:v>0.259511445325696</c:v>
                </c:pt>
                <c:pt idx="215">
                  <c:v>0.261055112420203</c:v>
                </c:pt>
                <c:pt idx="216">
                  <c:v>0.261323282639116</c:v>
                </c:pt>
                <c:pt idx="217">
                  <c:v>0.261478073103556</c:v>
                </c:pt>
                <c:pt idx="218">
                  <c:v>0.263627220051492</c:v>
                </c:pt>
                <c:pt idx="219">
                  <c:v>0.26385078901098</c:v>
                </c:pt>
                <c:pt idx="220">
                  <c:v>0.263977321318533</c:v>
                </c:pt>
                <c:pt idx="221">
                  <c:v>0.264290931703692</c:v>
                </c:pt>
                <c:pt idx="222">
                  <c:v>0.264340859707985</c:v>
                </c:pt>
                <c:pt idx="223">
                  <c:v>0.266608751274739</c:v>
                </c:pt>
                <c:pt idx="224">
                  <c:v>0.269343285899049</c:v>
                </c:pt>
                <c:pt idx="225">
                  <c:v>0.269579583541978</c:v>
                </c:pt>
                <c:pt idx="226">
                  <c:v>0.270363777440758</c:v>
                </c:pt>
                <c:pt idx="227">
                  <c:v>0.271869783506389</c:v>
                </c:pt>
                <c:pt idx="228">
                  <c:v>0.275105190992971</c:v>
                </c:pt>
                <c:pt idx="229">
                  <c:v>0.275322838380212</c:v>
                </c:pt>
                <c:pt idx="230">
                  <c:v>0.278025318295137</c:v>
                </c:pt>
                <c:pt idx="231">
                  <c:v>0.279975398847634</c:v>
                </c:pt>
                <c:pt idx="232">
                  <c:v>0.281374054663804</c:v>
                </c:pt>
                <c:pt idx="233">
                  <c:v>0.290008309985337</c:v>
                </c:pt>
                <c:pt idx="234">
                  <c:v>0.291417274728275</c:v>
                </c:pt>
                <c:pt idx="235">
                  <c:v>0.291768458819521</c:v>
                </c:pt>
                <c:pt idx="236">
                  <c:v>0.292851680556198</c:v>
                </c:pt>
                <c:pt idx="237">
                  <c:v>0.294342921681831</c:v>
                </c:pt>
                <c:pt idx="238">
                  <c:v>0.294936165666283</c:v>
                </c:pt>
                <c:pt idx="239">
                  <c:v>0.296062389292342</c:v>
                </c:pt>
                <c:pt idx="240">
                  <c:v>0.297422761994674</c:v>
                </c:pt>
                <c:pt idx="241">
                  <c:v>0.297495871788065</c:v>
                </c:pt>
                <c:pt idx="242">
                  <c:v>0.297720174281351</c:v>
                </c:pt>
                <c:pt idx="243">
                  <c:v>0.298860078413725</c:v>
                </c:pt>
                <c:pt idx="244">
                  <c:v>0.29948505737946</c:v>
                </c:pt>
                <c:pt idx="245">
                  <c:v>0.300072344338758</c:v>
                </c:pt>
                <c:pt idx="246">
                  <c:v>0.30170769860521</c:v>
                </c:pt>
                <c:pt idx="247">
                  <c:v>0.301792557983979</c:v>
                </c:pt>
                <c:pt idx="248">
                  <c:v>0.302739857276359</c:v>
                </c:pt>
                <c:pt idx="249">
                  <c:v>0.30366827545412</c:v>
                </c:pt>
                <c:pt idx="250">
                  <c:v>0.306020805889289</c:v>
                </c:pt>
                <c:pt idx="251">
                  <c:v>0.306166452019762</c:v>
                </c:pt>
                <c:pt idx="252">
                  <c:v>0.306576960022715</c:v>
                </c:pt>
                <c:pt idx="253">
                  <c:v>0.306854226637486</c:v>
                </c:pt>
                <c:pt idx="254">
                  <c:v>0.307719739815756</c:v>
                </c:pt>
                <c:pt idx="255">
                  <c:v>0.308860762940332</c:v>
                </c:pt>
                <c:pt idx="256">
                  <c:v>0.308932468655318</c:v>
                </c:pt>
                <c:pt idx="257">
                  <c:v>0.310082416244967</c:v>
                </c:pt>
                <c:pt idx="258">
                  <c:v>0.310553562956567</c:v>
                </c:pt>
                <c:pt idx="259">
                  <c:v>0.311376931143344</c:v>
                </c:pt>
                <c:pt idx="260">
                  <c:v>0.313170781224792</c:v>
                </c:pt>
                <c:pt idx="261">
                  <c:v>0.313745361908918</c:v>
                </c:pt>
                <c:pt idx="262">
                  <c:v>0.314732105843088</c:v>
                </c:pt>
                <c:pt idx="263">
                  <c:v>0.317788926612406</c:v>
                </c:pt>
                <c:pt idx="264">
                  <c:v>0.318535966183194</c:v>
                </c:pt>
                <c:pt idx="265">
                  <c:v>0.318606084896909</c:v>
                </c:pt>
                <c:pt idx="266">
                  <c:v>0.318736282208393</c:v>
                </c:pt>
                <c:pt idx="267">
                  <c:v>0.319013457812008</c:v>
                </c:pt>
                <c:pt idx="268">
                  <c:v>0.319610826449547</c:v>
                </c:pt>
                <c:pt idx="269">
                  <c:v>0.321295623377842</c:v>
                </c:pt>
                <c:pt idx="270">
                  <c:v>0.324716312735172</c:v>
                </c:pt>
                <c:pt idx="271">
                  <c:v>0.325606402081936</c:v>
                </c:pt>
                <c:pt idx="272">
                  <c:v>0.327666662332597</c:v>
                </c:pt>
                <c:pt idx="273">
                  <c:v>0.329683828300701</c:v>
                </c:pt>
                <c:pt idx="274">
                  <c:v>0.330968820151522</c:v>
                </c:pt>
                <c:pt idx="275">
                  <c:v>0.331539118023128</c:v>
                </c:pt>
                <c:pt idx="276">
                  <c:v>0.332032928377845</c:v>
                </c:pt>
                <c:pt idx="277">
                  <c:v>0.335437600084916</c:v>
                </c:pt>
                <c:pt idx="278">
                  <c:v>0.335651420328764</c:v>
                </c:pt>
                <c:pt idx="279">
                  <c:v>0.337061167207118</c:v>
                </c:pt>
                <c:pt idx="280">
                  <c:v>0.337956606017117</c:v>
                </c:pt>
                <c:pt idx="281">
                  <c:v>0.339502251289973</c:v>
                </c:pt>
                <c:pt idx="282">
                  <c:v>0.342500850544294</c:v>
                </c:pt>
                <c:pt idx="283">
                  <c:v>0.342550272112796</c:v>
                </c:pt>
                <c:pt idx="284">
                  <c:v>0.342586305121206</c:v>
                </c:pt>
                <c:pt idx="285">
                  <c:v>0.344909079858475</c:v>
                </c:pt>
                <c:pt idx="286">
                  <c:v>0.34517595790552</c:v>
                </c:pt>
                <c:pt idx="287">
                  <c:v>0.345485899028578</c:v>
                </c:pt>
                <c:pt idx="288">
                  <c:v>0.345626968732028</c:v>
                </c:pt>
                <c:pt idx="289">
                  <c:v>0.347349428442438</c:v>
                </c:pt>
                <c:pt idx="290">
                  <c:v>0.347955620290853</c:v>
                </c:pt>
                <c:pt idx="291">
                  <c:v>0.348539323677114</c:v>
                </c:pt>
                <c:pt idx="292">
                  <c:v>0.34870673604865</c:v>
                </c:pt>
                <c:pt idx="293">
                  <c:v>0.350287830804866</c:v>
                </c:pt>
                <c:pt idx="294">
                  <c:v>0.35184521893721</c:v>
                </c:pt>
                <c:pt idx="295">
                  <c:v>0.35191117583927</c:v>
                </c:pt>
                <c:pt idx="296">
                  <c:v>0.35200224707838</c:v>
                </c:pt>
                <c:pt idx="297">
                  <c:v>0.354352399435487</c:v>
                </c:pt>
                <c:pt idx="298">
                  <c:v>0.355380151959091</c:v>
                </c:pt>
                <c:pt idx="299">
                  <c:v>0.356762866394503</c:v>
                </c:pt>
                <c:pt idx="300">
                  <c:v>0.357803602095169</c:v>
                </c:pt>
                <c:pt idx="301">
                  <c:v>0.357822390888067</c:v>
                </c:pt>
                <c:pt idx="302">
                  <c:v>0.358342328911136</c:v>
                </c:pt>
                <c:pt idx="303">
                  <c:v>0.358945321124173</c:v>
                </c:pt>
                <c:pt idx="304">
                  <c:v>0.359241034295854</c:v>
                </c:pt>
                <c:pt idx="305">
                  <c:v>0.359698651660028</c:v>
                </c:pt>
                <c:pt idx="306">
                  <c:v>0.361533329582725</c:v>
                </c:pt>
                <c:pt idx="307">
                  <c:v>0.36192430472068</c:v>
                </c:pt>
                <c:pt idx="308">
                  <c:v>0.363303555349048</c:v>
                </c:pt>
                <c:pt idx="309">
                  <c:v>0.363652457529642</c:v>
                </c:pt>
                <c:pt idx="310">
                  <c:v>0.363803942137181</c:v>
                </c:pt>
                <c:pt idx="311">
                  <c:v>0.364167996205237</c:v>
                </c:pt>
                <c:pt idx="312">
                  <c:v>0.36429348792246</c:v>
                </c:pt>
                <c:pt idx="313">
                  <c:v>0.365940499735253</c:v>
                </c:pt>
                <c:pt idx="314">
                  <c:v>0.366391893392112</c:v>
                </c:pt>
                <c:pt idx="315">
                  <c:v>0.366600632272302</c:v>
                </c:pt>
                <c:pt idx="316">
                  <c:v>0.367690818483619</c:v>
                </c:pt>
                <c:pt idx="317">
                  <c:v>0.369061766163922</c:v>
                </c:pt>
                <c:pt idx="318">
                  <c:v>0.371471542147656</c:v>
                </c:pt>
                <c:pt idx="319">
                  <c:v>0.371481320250421</c:v>
                </c:pt>
                <c:pt idx="320">
                  <c:v>0.372021102041106</c:v>
                </c:pt>
                <c:pt idx="321">
                  <c:v>0.373228367390337</c:v>
                </c:pt>
                <c:pt idx="322">
                  <c:v>0.373402330688958</c:v>
                </c:pt>
                <c:pt idx="323">
                  <c:v>0.374533954190775</c:v>
                </c:pt>
                <c:pt idx="324">
                  <c:v>0.37499819227333</c:v>
                </c:pt>
                <c:pt idx="325">
                  <c:v>0.375008930554901</c:v>
                </c:pt>
                <c:pt idx="326">
                  <c:v>0.376267863847264</c:v>
                </c:pt>
                <c:pt idx="327">
                  <c:v>0.376507152623915</c:v>
                </c:pt>
                <c:pt idx="328">
                  <c:v>0.377211120664723</c:v>
                </c:pt>
                <c:pt idx="329">
                  <c:v>0.377295023221365</c:v>
                </c:pt>
                <c:pt idx="330">
                  <c:v>0.377305210395599</c:v>
                </c:pt>
                <c:pt idx="331">
                  <c:v>0.377713253156347</c:v>
                </c:pt>
                <c:pt idx="332">
                  <c:v>0.378013417882572</c:v>
                </c:pt>
                <c:pt idx="333">
                  <c:v>0.378357878899661</c:v>
                </c:pt>
                <c:pt idx="334">
                  <c:v>0.378977402503298</c:v>
                </c:pt>
                <c:pt idx="335">
                  <c:v>0.380993790105688</c:v>
                </c:pt>
                <c:pt idx="336">
                  <c:v>0.381795749590836</c:v>
                </c:pt>
                <c:pt idx="337">
                  <c:v>0.381796677086537</c:v>
                </c:pt>
                <c:pt idx="338">
                  <c:v>0.384169797208624</c:v>
                </c:pt>
                <c:pt idx="339">
                  <c:v>0.384570272466974</c:v>
                </c:pt>
                <c:pt idx="340">
                  <c:v>0.38595170979309</c:v>
                </c:pt>
                <c:pt idx="341">
                  <c:v>0.386664652176224</c:v>
                </c:pt>
                <c:pt idx="342">
                  <c:v>0.387899273809852</c:v>
                </c:pt>
                <c:pt idx="343">
                  <c:v>0.388618150308876</c:v>
                </c:pt>
                <c:pt idx="344">
                  <c:v>0.389298774593182</c:v>
                </c:pt>
                <c:pt idx="345">
                  <c:v>0.390542872318299</c:v>
                </c:pt>
                <c:pt idx="346">
                  <c:v>0.390984748543539</c:v>
                </c:pt>
                <c:pt idx="347">
                  <c:v>0.39138889281152</c:v>
                </c:pt>
                <c:pt idx="348">
                  <c:v>0.394881847694763</c:v>
                </c:pt>
                <c:pt idx="349">
                  <c:v>0.395205470165968</c:v>
                </c:pt>
                <c:pt idx="350">
                  <c:v>0.395578203280952</c:v>
                </c:pt>
                <c:pt idx="351">
                  <c:v>0.395703425150261</c:v>
                </c:pt>
                <c:pt idx="352">
                  <c:v>0.396593660407058</c:v>
                </c:pt>
                <c:pt idx="353">
                  <c:v>0.397229244694605</c:v>
                </c:pt>
                <c:pt idx="354">
                  <c:v>0.397663117796244</c:v>
                </c:pt>
                <c:pt idx="355">
                  <c:v>0.398040853862637</c:v>
                </c:pt>
                <c:pt idx="356">
                  <c:v>0.398749192521223</c:v>
                </c:pt>
                <c:pt idx="357">
                  <c:v>0.401272235131503</c:v>
                </c:pt>
                <c:pt idx="358">
                  <c:v>0.401281335644034</c:v>
                </c:pt>
                <c:pt idx="359">
                  <c:v>0.401579891558337</c:v>
                </c:pt>
                <c:pt idx="360">
                  <c:v>0.402493438058578</c:v>
                </c:pt>
                <c:pt idx="361">
                  <c:v>0.407558908322131</c:v>
                </c:pt>
                <c:pt idx="362">
                  <c:v>0.412270024435727</c:v>
                </c:pt>
                <c:pt idx="363">
                  <c:v>0.412939272523603</c:v>
                </c:pt>
                <c:pt idx="364">
                  <c:v>0.41315243038022</c:v>
                </c:pt>
                <c:pt idx="365">
                  <c:v>0.414958148137196</c:v>
                </c:pt>
                <c:pt idx="366">
                  <c:v>0.415505357512873</c:v>
                </c:pt>
                <c:pt idx="367">
                  <c:v>0.415853019095327</c:v>
                </c:pt>
                <c:pt idx="368">
                  <c:v>0.416618101800835</c:v>
                </c:pt>
                <c:pt idx="369">
                  <c:v>0.416780400407002</c:v>
                </c:pt>
                <c:pt idx="370">
                  <c:v>0.417459210306172</c:v>
                </c:pt>
                <c:pt idx="371">
                  <c:v>0.419665923080949</c:v>
                </c:pt>
                <c:pt idx="372">
                  <c:v>0.419917231332537</c:v>
                </c:pt>
                <c:pt idx="373">
                  <c:v>0.42000825721336</c:v>
                </c:pt>
                <c:pt idx="374">
                  <c:v>0.420253911360512</c:v>
                </c:pt>
                <c:pt idx="375">
                  <c:v>0.421007057723932</c:v>
                </c:pt>
                <c:pt idx="376">
                  <c:v>0.421335117804193</c:v>
                </c:pt>
                <c:pt idx="377">
                  <c:v>0.42200981019575</c:v>
                </c:pt>
                <c:pt idx="378">
                  <c:v>0.422040431586096</c:v>
                </c:pt>
                <c:pt idx="379">
                  <c:v>0.422428873379227</c:v>
                </c:pt>
                <c:pt idx="380">
                  <c:v>0.424033307218749</c:v>
                </c:pt>
                <c:pt idx="381">
                  <c:v>0.424611967698091</c:v>
                </c:pt>
                <c:pt idx="382">
                  <c:v>0.424656152157211</c:v>
                </c:pt>
                <c:pt idx="383">
                  <c:v>0.42600808591765</c:v>
                </c:pt>
                <c:pt idx="384">
                  <c:v>0.42630992773927</c:v>
                </c:pt>
                <c:pt idx="385">
                  <c:v>0.427445983376896</c:v>
                </c:pt>
                <c:pt idx="386">
                  <c:v>0.42911365147412</c:v>
                </c:pt>
                <c:pt idx="387">
                  <c:v>0.429969676614026</c:v>
                </c:pt>
                <c:pt idx="388">
                  <c:v>0.430392896442471</c:v>
                </c:pt>
                <c:pt idx="389">
                  <c:v>0.432109970922991</c:v>
                </c:pt>
                <c:pt idx="390">
                  <c:v>0.432371060494526</c:v>
                </c:pt>
                <c:pt idx="391">
                  <c:v>0.435601564630686</c:v>
                </c:pt>
                <c:pt idx="392">
                  <c:v>0.435743853921578</c:v>
                </c:pt>
                <c:pt idx="393">
                  <c:v>0.436494666465197</c:v>
                </c:pt>
                <c:pt idx="394">
                  <c:v>0.43683116456868</c:v>
                </c:pt>
                <c:pt idx="395">
                  <c:v>0.436842360893174</c:v>
                </c:pt>
                <c:pt idx="396">
                  <c:v>0.437200347588894</c:v>
                </c:pt>
                <c:pt idx="397">
                  <c:v>0.437463375482491</c:v>
                </c:pt>
                <c:pt idx="398">
                  <c:v>0.438279646688208</c:v>
                </c:pt>
                <c:pt idx="399">
                  <c:v>0.438823228229673</c:v>
                </c:pt>
                <c:pt idx="400">
                  <c:v>0.439273586704346</c:v>
                </c:pt>
                <c:pt idx="401">
                  <c:v>0.43995487481302</c:v>
                </c:pt>
                <c:pt idx="402">
                  <c:v>0.441280518145051</c:v>
                </c:pt>
                <c:pt idx="403">
                  <c:v>0.441908508516231</c:v>
                </c:pt>
                <c:pt idx="404">
                  <c:v>0.443765436278099</c:v>
                </c:pt>
                <c:pt idx="405">
                  <c:v>0.444332381735998</c:v>
                </c:pt>
                <c:pt idx="406">
                  <c:v>0.44538670714407</c:v>
                </c:pt>
                <c:pt idx="407">
                  <c:v>0.446454035679766</c:v>
                </c:pt>
                <c:pt idx="408">
                  <c:v>0.446467496914202</c:v>
                </c:pt>
                <c:pt idx="409">
                  <c:v>0.446854394231741</c:v>
                </c:pt>
                <c:pt idx="410">
                  <c:v>0.447030790864779</c:v>
                </c:pt>
                <c:pt idx="411">
                  <c:v>0.447273969934487</c:v>
                </c:pt>
                <c:pt idx="412">
                  <c:v>0.448936315610001</c:v>
                </c:pt>
                <c:pt idx="413">
                  <c:v>0.449093303143191</c:v>
                </c:pt>
                <c:pt idx="414">
                  <c:v>0.449612478872355</c:v>
                </c:pt>
                <c:pt idx="415">
                  <c:v>0.450283602202902</c:v>
                </c:pt>
                <c:pt idx="416">
                  <c:v>0.450595596197126</c:v>
                </c:pt>
                <c:pt idx="417">
                  <c:v>0.45179451327728</c:v>
                </c:pt>
                <c:pt idx="418">
                  <c:v>0.452103912780446</c:v>
                </c:pt>
                <c:pt idx="419">
                  <c:v>0.452335604104346</c:v>
                </c:pt>
                <c:pt idx="420">
                  <c:v>0.45252378309202</c:v>
                </c:pt>
                <c:pt idx="421">
                  <c:v>0.453538244034524</c:v>
                </c:pt>
                <c:pt idx="422">
                  <c:v>0.453677531562022</c:v>
                </c:pt>
                <c:pt idx="423">
                  <c:v>0.454013761476025</c:v>
                </c:pt>
                <c:pt idx="424">
                  <c:v>0.454120952272787</c:v>
                </c:pt>
                <c:pt idx="425">
                  <c:v>0.45486133125199</c:v>
                </c:pt>
                <c:pt idx="426">
                  <c:v>0.458504964842947</c:v>
                </c:pt>
                <c:pt idx="427">
                  <c:v>0.459830942759998</c:v>
                </c:pt>
                <c:pt idx="428">
                  <c:v>0.46206994563386</c:v>
                </c:pt>
                <c:pt idx="429">
                  <c:v>0.462130486976615</c:v>
                </c:pt>
                <c:pt idx="430">
                  <c:v>0.46256496877938</c:v>
                </c:pt>
                <c:pt idx="431">
                  <c:v>0.463137237165824</c:v>
                </c:pt>
                <c:pt idx="432">
                  <c:v>0.463663020382849</c:v>
                </c:pt>
                <c:pt idx="433">
                  <c:v>0.464168498319263</c:v>
                </c:pt>
                <c:pt idx="434">
                  <c:v>0.464512113237386</c:v>
                </c:pt>
                <c:pt idx="435">
                  <c:v>0.465556606359103</c:v>
                </c:pt>
                <c:pt idx="436">
                  <c:v>0.465837161823184</c:v>
                </c:pt>
                <c:pt idx="437">
                  <c:v>0.466319654965923</c:v>
                </c:pt>
                <c:pt idx="438">
                  <c:v>0.466374782701815</c:v>
                </c:pt>
                <c:pt idx="439">
                  <c:v>0.466630448405873</c:v>
                </c:pt>
                <c:pt idx="440">
                  <c:v>0.466944174128324</c:v>
                </c:pt>
                <c:pt idx="441">
                  <c:v>0.466965275256909</c:v>
                </c:pt>
                <c:pt idx="442">
                  <c:v>0.467718610370953</c:v>
                </c:pt>
                <c:pt idx="443">
                  <c:v>0.469135818862517</c:v>
                </c:pt>
                <c:pt idx="444">
                  <c:v>0.46983598399871</c:v>
                </c:pt>
                <c:pt idx="445">
                  <c:v>0.471565807331282</c:v>
                </c:pt>
                <c:pt idx="446">
                  <c:v>0.472858835031664</c:v>
                </c:pt>
                <c:pt idx="447">
                  <c:v>0.47288239050122</c:v>
                </c:pt>
                <c:pt idx="448">
                  <c:v>0.473580397481623</c:v>
                </c:pt>
                <c:pt idx="449">
                  <c:v>0.473894858803475</c:v>
                </c:pt>
                <c:pt idx="450">
                  <c:v>0.474223226430379</c:v>
                </c:pt>
                <c:pt idx="451">
                  <c:v>0.476024476297493</c:v>
                </c:pt>
                <c:pt idx="452">
                  <c:v>0.476407197920665</c:v>
                </c:pt>
                <c:pt idx="453">
                  <c:v>0.476667271466019</c:v>
                </c:pt>
                <c:pt idx="454">
                  <c:v>0.476753717228934</c:v>
                </c:pt>
                <c:pt idx="455">
                  <c:v>0.477164398450376</c:v>
                </c:pt>
                <c:pt idx="456">
                  <c:v>0.477574396402159</c:v>
                </c:pt>
                <c:pt idx="457">
                  <c:v>0.47927796031682</c:v>
                </c:pt>
                <c:pt idx="458">
                  <c:v>0.479285673175107</c:v>
                </c:pt>
                <c:pt idx="459">
                  <c:v>0.47950531010272</c:v>
                </c:pt>
                <c:pt idx="460">
                  <c:v>0.480641291617633</c:v>
                </c:pt>
                <c:pt idx="461">
                  <c:v>0.481316678963228</c:v>
                </c:pt>
                <c:pt idx="462">
                  <c:v>0.481877325932383</c:v>
                </c:pt>
                <c:pt idx="463">
                  <c:v>0.483196846261733</c:v>
                </c:pt>
                <c:pt idx="464">
                  <c:v>0.483222021690696</c:v>
                </c:pt>
                <c:pt idx="465">
                  <c:v>0.483810180494029</c:v>
                </c:pt>
                <c:pt idx="466">
                  <c:v>0.484255609630803</c:v>
                </c:pt>
                <c:pt idx="467">
                  <c:v>0.484651080623504</c:v>
                </c:pt>
                <c:pt idx="468">
                  <c:v>0.484808107288428</c:v>
                </c:pt>
                <c:pt idx="469">
                  <c:v>0.485278162901798</c:v>
                </c:pt>
                <c:pt idx="470">
                  <c:v>0.485483841076431</c:v>
                </c:pt>
                <c:pt idx="471">
                  <c:v>0.485823013945017</c:v>
                </c:pt>
                <c:pt idx="472">
                  <c:v>0.485959624582999</c:v>
                </c:pt>
                <c:pt idx="473">
                  <c:v>0.486107148859833</c:v>
                </c:pt>
                <c:pt idx="474">
                  <c:v>0.486884363246271</c:v>
                </c:pt>
                <c:pt idx="475">
                  <c:v>0.488314281537019</c:v>
                </c:pt>
                <c:pt idx="476">
                  <c:v>0.488696658870608</c:v>
                </c:pt>
                <c:pt idx="477">
                  <c:v>0.488719335867508</c:v>
                </c:pt>
                <c:pt idx="478">
                  <c:v>0.489630939712807</c:v>
                </c:pt>
                <c:pt idx="479">
                  <c:v>0.489954312605223</c:v>
                </c:pt>
                <c:pt idx="480">
                  <c:v>0.490692054884137</c:v>
                </c:pt>
                <c:pt idx="481">
                  <c:v>0.490913920652959</c:v>
                </c:pt>
                <c:pt idx="482">
                  <c:v>0.49179245107107</c:v>
                </c:pt>
                <c:pt idx="483">
                  <c:v>0.49208244427814</c:v>
                </c:pt>
                <c:pt idx="484">
                  <c:v>0.492698914503408</c:v>
                </c:pt>
                <c:pt idx="485">
                  <c:v>0.49303825215833</c:v>
                </c:pt>
                <c:pt idx="486">
                  <c:v>0.493351686414017</c:v>
                </c:pt>
                <c:pt idx="487">
                  <c:v>0.493510920957879</c:v>
                </c:pt>
                <c:pt idx="488">
                  <c:v>0.493670166936102</c:v>
                </c:pt>
                <c:pt idx="489">
                  <c:v>0.49604622145656</c:v>
                </c:pt>
                <c:pt idx="490">
                  <c:v>0.497161077824216</c:v>
                </c:pt>
                <c:pt idx="491">
                  <c:v>0.497688960231223</c:v>
                </c:pt>
                <c:pt idx="492">
                  <c:v>0.497803379069862</c:v>
                </c:pt>
                <c:pt idx="493">
                  <c:v>0.498092061974771</c:v>
                </c:pt>
                <c:pt idx="494">
                  <c:v>0.498327156099255</c:v>
                </c:pt>
                <c:pt idx="495">
                  <c:v>0.498381842355556</c:v>
                </c:pt>
                <c:pt idx="496">
                  <c:v>0.499211685873293</c:v>
                </c:pt>
                <c:pt idx="497">
                  <c:v>0.49986250317656</c:v>
                </c:pt>
                <c:pt idx="498">
                  <c:v>0.5002642841453</c:v>
                </c:pt>
                <c:pt idx="499">
                  <c:v>0.500351417185618</c:v>
                </c:pt>
                <c:pt idx="500">
                  <c:v>0.501128938069583</c:v>
                </c:pt>
                <c:pt idx="501">
                  <c:v>0.501927717480499</c:v>
                </c:pt>
                <c:pt idx="502">
                  <c:v>0.503008094911235</c:v>
                </c:pt>
                <c:pt idx="503">
                  <c:v>0.504094855678992</c:v>
                </c:pt>
                <c:pt idx="504">
                  <c:v>0.504263275886274</c:v>
                </c:pt>
                <c:pt idx="505">
                  <c:v>0.505730090344739</c:v>
                </c:pt>
                <c:pt idx="506">
                  <c:v>0.506237799586691</c:v>
                </c:pt>
                <c:pt idx="507">
                  <c:v>0.506242007991028</c:v>
                </c:pt>
                <c:pt idx="508">
                  <c:v>0.506390922776607</c:v>
                </c:pt>
                <c:pt idx="509">
                  <c:v>0.507268046872551</c:v>
                </c:pt>
                <c:pt idx="510">
                  <c:v>0.507815596500364</c:v>
                </c:pt>
                <c:pt idx="511">
                  <c:v>0.508318564684601</c:v>
                </c:pt>
                <c:pt idx="512">
                  <c:v>0.508422939151966</c:v>
                </c:pt>
                <c:pt idx="513">
                  <c:v>0.510944946260641</c:v>
                </c:pt>
                <c:pt idx="514">
                  <c:v>0.510952667276448</c:v>
                </c:pt>
                <c:pt idx="515">
                  <c:v>0.511810187272647</c:v>
                </c:pt>
                <c:pt idx="516">
                  <c:v>0.512019773765007</c:v>
                </c:pt>
                <c:pt idx="517">
                  <c:v>0.512046388684704</c:v>
                </c:pt>
                <c:pt idx="518">
                  <c:v>0.512294290412399</c:v>
                </c:pt>
                <c:pt idx="519">
                  <c:v>0.512893880397856</c:v>
                </c:pt>
                <c:pt idx="520">
                  <c:v>0.513440143296976</c:v>
                </c:pt>
                <c:pt idx="521">
                  <c:v>0.513809445028528</c:v>
                </c:pt>
                <c:pt idx="522">
                  <c:v>0.514511831295285</c:v>
                </c:pt>
                <c:pt idx="523">
                  <c:v>0.515315965865728</c:v>
                </c:pt>
                <c:pt idx="524">
                  <c:v>0.515342701267217</c:v>
                </c:pt>
                <c:pt idx="525">
                  <c:v>0.515577789227692</c:v>
                </c:pt>
                <c:pt idx="526">
                  <c:v>0.516365857930077</c:v>
                </c:pt>
                <c:pt idx="527">
                  <c:v>0.516729921019879</c:v>
                </c:pt>
                <c:pt idx="528">
                  <c:v>0.517393919623627</c:v>
                </c:pt>
                <c:pt idx="529">
                  <c:v>0.518184821899243</c:v>
                </c:pt>
                <c:pt idx="530">
                  <c:v>0.520838026371244</c:v>
                </c:pt>
                <c:pt idx="531">
                  <c:v>0.520962256335597</c:v>
                </c:pt>
                <c:pt idx="532">
                  <c:v>0.521573783555972</c:v>
                </c:pt>
                <c:pt idx="533">
                  <c:v>0.521621582332178</c:v>
                </c:pt>
                <c:pt idx="534">
                  <c:v>0.5219585622808</c:v>
                </c:pt>
                <c:pt idx="535">
                  <c:v>0.522245366290546</c:v>
                </c:pt>
                <c:pt idx="536">
                  <c:v>0.522746904253358</c:v>
                </c:pt>
                <c:pt idx="537">
                  <c:v>0.524388731323796</c:v>
                </c:pt>
                <c:pt idx="538">
                  <c:v>0.524771489653902</c:v>
                </c:pt>
                <c:pt idx="539">
                  <c:v>0.52484894055908</c:v>
                </c:pt>
                <c:pt idx="540">
                  <c:v>0.52507231327421</c:v>
                </c:pt>
                <c:pt idx="541">
                  <c:v>0.526876960774625</c:v>
                </c:pt>
                <c:pt idx="542">
                  <c:v>0.527689216920755</c:v>
                </c:pt>
                <c:pt idx="543">
                  <c:v>0.528615631597664</c:v>
                </c:pt>
                <c:pt idx="544">
                  <c:v>0.532812141774357</c:v>
                </c:pt>
                <c:pt idx="545">
                  <c:v>0.53516147477596</c:v>
                </c:pt>
                <c:pt idx="546">
                  <c:v>0.53522007150674</c:v>
                </c:pt>
                <c:pt idx="547">
                  <c:v>0.535291595901042</c:v>
                </c:pt>
                <c:pt idx="548">
                  <c:v>0.535566704832062</c:v>
                </c:pt>
                <c:pt idx="549">
                  <c:v>0.53559037030045</c:v>
                </c:pt>
                <c:pt idx="550">
                  <c:v>0.535877807645603</c:v>
                </c:pt>
                <c:pt idx="551">
                  <c:v>0.536116183209016</c:v>
                </c:pt>
                <c:pt idx="552">
                  <c:v>0.536222053300536</c:v>
                </c:pt>
                <c:pt idx="553">
                  <c:v>0.536392817845775</c:v>
                </c:pt>
                <c:pt idx="554">
                  <c:v>0.536612177238097</c:v>
                </c:pt>
                <c:pt idx="555">
                  <c:v>0.536774694264404</c:v>
                </c:pt>
                <c:pt idx="556">
                  <c:v>0.537098647331916</c:v>
                </c:pt>
                <c:pt idx="557">
                  <c:v>0.53776924566779</c:v>
                </c:pt>
                <c:pt idx="558">
                  <c:v>0.539150649895928</c:v>
                </c:pt>
                <c:pt idx="559">
                  <c:v>0.540607620925009</c:v>
                </c:pt>
                <c:pt idx="560">
                  <c:v>0.541043865764323</c:v>
                </c:pt>
                <c:pt idx="561">
                  <c:v>0.54282963049901</c:v>
                </c:pt>
                <c:pt idx="562">
                  <c:v>0.543015145517076</c:v>
                </c:pt>
                <c:pt idx="563">
                  <c:v>0.543360024090705</c:v>
                </c:pt>
                <c:pt idx="564">
                  <c:v>0.544114002369784</c:v>
                </c:pt>
                <c:pt idx="565">
                  <c:v>0.545281645953076</c:v>
                </c:pt>
                <c:pt idx="566">
                  <c:v>0.545587957235658</c:v>
                </c:pt>
                <c:pt idx="567">
                  <c:v>0.546059566066524</c:v>
                </c:pt>
                <c:pt idx="568">
                  <c:v>0.546905932143435</c:v>
                </c:pt>
                <c:pt idx="569">
                  <c:v>0.547227180561115</c:v>
                </c:pt>
                <c:pt idx="570">
                  <c:v>0.547679723913152</c:v>
                </c:pt>
                <c:pt idx="571">
                  <c:v>0.547691768384379</c:v>
                </c:pt>
                <c:pt idx="572">
                  <c:v>0.547706065459695</c:v>
                </c:pt>
                <c:pt idx="573">
                  <c:v>0.549291598636604</c:v>
                </c:pt>
                <c:pt idx="574">
                  <c:v>0.551369118325802</c:v>
                </c:pt>
                <c:pt idx="575">
                  <c:v>0.552168268228084</c:v>
                </c:pt>
                <c:pt idx="576">
                  <c:v>0.553345606280588</c:v>
                </c:pt>
                <c:pt idx="577">
                  <c:v>0.553392725974468</c:v>
                </c:pt>
                <c:pt idx="578">
                  <c:v>0.553430814872676</c:v>
                </c:pt>
                <c:pt idx="579">
                  <c:v>0.555427469054805</c:v>
                </c:pt>
                <c:pt idx="580">
                  <c:v>0.55551351072214</c:v>
                </c:pt>
                <c:pt idx="581">
                  <c:v>0.555788736600638</c:v>
                </c:pt>
                <c:pt idx="582">
                  <c:v>0.557006047837977</c:v>
                </c:pt>
                <c:pt idx="583">
                  <c:v>0.557463361356419</c:v>
                </c:pt>
                <c:pt idx="584">
                  <c:v>0.557814068823099</c:v>
                </c:pt>
                <c:pt idx="585">
                  <c:v>0.558233889919288</c:v>
                </c:pt>
                <c:pt idx="586">
                  <c:v>0.558264275685729</c:v>
                </c:pt>
                <c:pt idx="587">
                  <c:v>0.559463936535275</c:v>
                </c:pt>
                <c:pt idx="588">
                  <c:v>0.559548194684167</c:v>
                </c:pt>
                <c:pt idx="589">
                  <c:v>0.559633556816389</c:v>
                </c:pt>
                <c:pt idx="590">
                  <c:v>0.559924135078973</c:v>
                </c:pt>
                <c:pt idx="591">
                  <c:v>0.56003775483471</c:v>
                </c:pt>
                <c:pt idx="592">
                  <c:v>0.5601910381786</c:v>
                </c:pt>
                <c:pt idx="593">
                  <c:v>0.561927533388623</c:v>
                </c:pt>
                <c:pt idx="594">
                  <c:v>0.562029074453035</c:v>
                </c:pt>
                <c:pt idx="595">
                  <c:v>0.562445220362845</c:v>
                </c:pt>
                <c:pt idx="596">
                  <c:v>0.562536637470134</c:v>
                </c:pt>
                <c:pt idx="597">
                  <c:v>0.562980075589837</c:v>
                </c:pt>
                <c:pt idx="598">
                  <c:v>0.56332663481746</c:v>
                </c:pt>
                <c:pt idx="599">
                  <c:v>0.563552049693205</c:v>
                </c:pt>
                <c:pt idx="600">
                  <c:v>0.565234484466192</c:v>
                </c:pt>
                <c:pt idx="601">
                  <c:v>0.565861315086424</c:v>
                </c:pt>
                <c:pt idx="602">
                  <c:v>0.566010436818425</c:v>
                </c:pt>
                <c:pt idx="603">
                  <c:v>0.566802280863254</c:v>
                </c:pt>
                <c:pt idx="604">
                  <c:v>0.566875408573975</c:v>
                </c:pt>
                <c:pt idx="605">
                  <c:v>0.567526572781556</c:v>
                </c:pt>
                <c:pt idx="606">
                  <c:v>0.568458453699912</c:v>
                </c:pt>
                <c:pt idx="607">
                  <c:v>0.568682400483513</c:v>
                </c:pt>
                <c:pt idx="608">
                  <c:v>0.570437685310875</c:v>
                </c:pt>
                <c:pt idx="609">
                  <c:v>0.570502430538863</c:v>
                </c:pt>
                <c:pt idx="610">
                  <c:v>0.57199488823972</c:v>
                </c:pt>
                <c:pt idx="611">
                  <c:v>0.572425438878601</c:v>
                </c:pt>
                <c:pt idx="612">
                  <c:v>0.573868388805228</c:v>
                </c:pt>
                <c:pt idx="613">
                  <c:v>0.574024990937434</c:v>
                </c:pt>
                <c:pt idx="614">
                  <c:v>0.574422091380695</c:v>
                </c:pt>
                <c:pt idx="615">
                  <c:v>0.576449893451096</c:v>
                </c:pt>
                <c:pt idx="616">
                  <c:v>0.577731886466966</c:v>
                </c:pt>
                <c:pt idx="617">
                  <c:v>0.57783700321098</c:v>
                </c:pt>
                <c:pt idx="618">
                  <c:v>0.57815712712371</c:v>
                </c:pt>
                <c:pt idx="619">
                  <c:v>0.579867895613042</c:v>
                </c:pt>
                <c:pt idx="620">
                  <c:v>0.580617927095255</c:v>
                </c:pt>
                <c:pt idx="621">
                  <c:v>0.580770031300637</c:v>
                </c:pt>
                <c:pt idx="622">
                  <c:v>0.581815545221109</c:v>
                </c:pt>
                <c:pt idx="623">
                  <c:v>0.581891966740369</c:v>
                </c:pt>
                <c:pt idx="624">
                  <c:v>0.582482878019414</c:v>
                </c:pt>
                <c:pt idx="625">
                  <c:v>0.584908388866793</c:v>
                </c:pt>
                <c:pt idx="626">
                  <c:v>0.585867118729712</c:v>
                </c:pt>
                <c:pt idx="627">
                  <c:v>0.587868511815479</c:v>
                </c:pt>
                <c:pt idx="628">
                  <c:v>0.588069630494173</c:v>
                </c:pt>
                <c:pt idx="629">
                  <c:v>0.588479468186779</c:v>
                </c:pt>
                <c:pt idx="630">
                  <c:v>0.589098803873998</c:v>
                </c:pt>
                <c:pt idx="631">
                  <c:v>0.590039500330561</c:v>
                </c:pt>
                <c:pt idx="632">
                  <c:v>0.590676905720566</c:v>
                </c:pt>
                <c:pt idx="633">
                  <c:v>0.590828704327903</c:v>
                </c:pt>
                <c:pt idx="634">
                  <c:v>0.591254380544575</c:v>
                </c:pt>
                <c:pt idx="635">
                  <c:v>0.591320148393946</c:v>
                </c:pt>
                <c:pt idx="636">
                  <c:v>0.591388887361825</c:v>
                </c:pt>
                <c:pt idx="637">
                  <c:v>0.59266026938043</c:v>
                </c:pt>
                <c:pt idx="638">
                  <c:v>0.5931635972669</c:v>
                </c:pt>
                <c:pt idx="639">
                  <c:v>0.593555158411024</c:v>
                </c:pt>
                <c:pt idx="640">
                  <c:v>0.594631611694859</c:v>
                </c:pt>
                <c:pt idx="641">
                  <c:v>0.595049892969767</c:v>
                </c:pt>
                <c:pt idx="642">
                  <c:v>0.596059622666842</c:v>
                </c:pt>
                <c:pt idx="643">
                  <c:v>0.597275594813242</c:v>
                </c:pt>
                <c:pt idx="644">
                  <c:v>0.598337180103161</c:v>
                </c:pt>
                <c:pt idx="645">
                  <c:v>0.601487220271727</c:v>
                </c:pt>
                <c:pt idx="646">
                  <c:v>0.602415206410283</c:v>
                </c:pt>
                <c:pt idx="647">
                  <c:v>0.602483073071836</c:v>
                </c:pt>
                <c:pt idx="648">
                  <c:v>0.602958544716244</c:v>
                </c:pt>
                <c:pt idx="649">
                  <c:v>0.603175987709825</c:v>
                </c:pt>
                <c:pt idx="650">
                  <c:v>0.604587446094441</c:v>
                </c:pt>
                <c:pt idx="651">
                  <c:v>0.604979734726212</c:v>
                </c:pt>
                <c:pt idx="652">
                  <c:v>0.605047478337819</c:v>
                </c:pt>
                <c:pt idx="653">
                  <c:v>0.605098133117868</c:v>
                </c:pt>
                <c:pt idx="654">
                  <c:v>0.605361506291926</c:v>
                </c:pt>
                <c:pt idx="655">
                  <c:v>0.60576651865131</c:v>
                </c:pt>
                <c:pt idx="656">
                  <c:v>0.606288368289113</c:v>
                </c:pt>
                <c:pt idx="657">
                  <c:v>0.607997598861487</c:v>
                </c:pt>
                <c:pt idx="658">
                  <c:v>0.609256734321235</c:v>
                </c:pt>
                <c:pt idx="659">
                  <c:v>0.610498899217216</c:v>
                </c:pt>
                <c:pt idx="660">
                  <c:v>0.612285452241679</c:v>
                </c:pt>
                <c:pt idx="661">
                  <c:v>0.612487025188864</c:v>
                </c:pt>
                <c:pt idx="662">
                  <c:v>0.613250442163111</c:v>
                </c:pt>
                <c:pt idx="663">
                  <c:v>0.613857131572988</c:v>
                </c:pt>
                <c:pt idx="664">
                  <c:v>0.614413631877957</c:v>
                </c:pt>
                <c:pt idx="665">
                  <c:v>0.614847135218076</c:v>
                </c:pt>
                <c:pt idx="666">
                  <c:v>0.615520715763022</c:v>
                </c:pt>
                <c:pt idx="667">
                  <c:v>0.617723200662677</c:v>
                </c:pt>
                <c:pt idx="668">
                  <c:v>0.618870275785087</c:v>
                </c:pt>
                <c:pt idx="669">
                  <c:v>0.619192302503134</c:v>
                </c:pt>
                <c:pt idx="670">
                  <c:v>0.620031419893018</c:v>
                </c:pt>
                <c:pt idx="671">
                  <c:v>0.620342888064288</c:v>
                </c:pt>
                <c:pt idx="672">
                  <c:v>0.620858731923724</c:v>
                </c:pt>
                <c:pt idx="673">
                  <c:v>0.622795504730825</c:v>
                </c:pt>
                <c:pt idx="674">
                  <c:v>0.623380217162489</c:v>
                </c:pt>
                <c:pt idx="675">
                  <c:v>0.625022095162481</c:v>
                </c:pt>
                <c:pt idx="676">
                  <c:v>0.625303718658097</c:v>
                </c:pt>
                <c:pt idx="677">
                  <c:v>0.625332371418318</c:v>
                </c:pt>
                <c:pt idx="678">
                  <c:v>0.627881853535595</c:v>
                </c:pt>
                <c:pt idx="679">
                  <c:v>0.629376394745168</c:v>
                </c:pt>
                <c:pt idx="680">
                  <c:v>0.629450653457717</c:v>
                </c:pt>
                <c:pt idx="681">
                  <c:v>0.629843679162187</c:v>
                </c:pt>
                <c:pt idx="682">
                  <c:v>0.630016621777438</c:v>
                </c:pt>
                <c:pt idx="683">
                  <c:v>0.631118068797285</c:v>
                </c:pt>
                <c:pt idx="684">
                  <c:v>0.632118339281666</c:v>
                </c:pt>
                <c:pt idx="685">
                  <c:v>0.632416869200245</c:v>
                </c:pt>
                <c:pt idx="686">
                  <c:v>0.633751475595522</c:v>
                </c:pt>
                <c:pt idx="687">
                  <c:v>0.638407110409156</c:v>
                </c:pt>
                <c:pt idx="688">
                  <c:v>0.639414904246164</c:v>
                </c:pt>
                <c:pt idx="689">
                  <c:v>0.63987945887245</c:v>
                </c:pt>
                <c:pt idx="690">
                  <c:v>0.641200840739492</c:v>
                </c:pt>
                <c:pt idx="691">
                  <c:v>0.642112005907301</c:v>
                </c:pt>
                <c:pt idx="692">
                  <c:v>0.642771113040151</c:v>
                </c:pt>
                <c:pt idx="693">
                  <c:v>0.642831988992124</c:v>
                </c:pt>
                <c:pt idx="694">
                  <c:v>0.644159951353563</c:v>
                </c:pt>
                <c:pt idx="695">
                  <c:v>0.644218934318791</c:v>
                </c:pt>
                <c:pt idx="696">
                  <c:v>0.644648056730104</c:v>
                </c:pt>
                <c:pt idx="697">
                  <c:v>0.645190262193412</c:v>
                </c:pt>
                <c:pt idx="698">
                  <c:v>0.646177997399081</c:v>
                </c:pt>
                <c:pt idx="699">
                  <c:v>0.647089956290166</c:v>
                </c:pt>
                <c:pt idx="700">
                  <c:v>0.648979130971524</c:v>
                </c:pt>
                <c:pt idx="701">
                  <c:v>0.649192711828921</c:v>
                </c:pt>
                <c:pt idx="702">
                  <c:v>0.651588180967983</c:v>
                </c:pt>
                <c:pt idx="703">
                  <c:v>0.652924823981042</c:v>
                </c:pt>
                <c:pt idx="704">
                  <c:v>0.653217652309783</c:v>
                </c:pt>
                <c:pt idx="705">
                  <c:v>0.653524138530492</c:v>
                </c:pt>
                <c:pt idx="706">
                  <c:v>0.654706842535631</c:v>
                </c:pt>
                <c:pt idx="707">
                  <c:v>0.656246839751919</c:v>
                </c:pt>
                <c:pt idx="708">
                  <c:v>0.658198695415635</c:v>
                </c:pt>
                <c:pt idx="709">
                  <c:v>0.659557095618693</c:v>
                </c:pt>
                <c:pt idx="710">
                  <c:v>0.66023890581328</c:v>
                </c:pt>
                <c:pt idx="711">
                  <c:v>0.660350436972677</c:v>
                </c:pt>
                <c:pt idx="712">
                  <c:v>0.661778531694409</c:v>
                </c:pt>
                <c:pt idx="713">
                  <c:v>0.661917395590665</c:v>
                </c:pt>
                <c:pt idx="714">
                  <c:v>0.663056712255166</c:v>
                </c:pt>
                <c:pt idx="715">
                  <c:v>0.664596848258097</c:v>
                </c:pt>
                <c:pt idx="716">
                  <c:v>0.667224259557911</c:v>
                </c:pt>
                <c:pt idx="717">
                  <c:v>0.667722600616767</c:v>
                </c:pt>
                <c:pt idx="718">
                  <c:v>0.667771333590723</c:v>
                </c:pt>
                <c:pt idx="719">
                  <c:v>0.66892090734735</c:v>
                </c:pt>
                <c:pt idx="720">
                  <c:v>0.671458776225031</c:v>
                </c:pt>
                <c:pt idx="721">
                  <c:v>0.672829778349677</c:v>
                </c:pt>
                <c:pt idx="722">
                  <c:v>0.674043574420995</c:v>
                </c:pt>
                <c:pt idx="723">
                  <c:v>0.675077768808519</c:v>
                </c:pt>
                <c:pt idx="724">
                  <c:v>0.67532093479467</c:v>
                </c:pt>
                <c:pt idx="725">
                  <c:v>0.676152323417355</c:v>
                </c:pt>
                <c:pt idx="726">
                  <c:v>0.676410833948174</c:v>
                </c:pt>
                <c:pt idx="727">
                  <c:v>0.676640562978678</c:v>
                </c:pt>
                <c:pt idx="728">
                  <c:v>0.678152758554316</c:v>
                </c:pt>
                <c:pt idx="729">
                  <c:v>0.67996302260562</c:v>
                </c:pt>
                <c:pt idx="730">
                  <c:v>0.680352734818587</c:v>
                </c:pt>
                <c:pt idx="731">
                  <c:v>0.680786109017041</c:v>
                </c:pt>
                <c:pt idx="732">
                  <c:v>0.682908025518519</c:v>
                </c:pt>
                <c:pt idx="733">
                  <c:v>0.683005775013711</c:v>
                </c:pt>
                <c:pt idx="734">
                  <c:v>0.683591145631804</c:v>
                </c:pt>
                <c:pt idx="735">
                  <c:v>0.683959626764229</c:v>
                </c:pt>
                <c:pt idx="736">
                  <c:v>0.684847355183545</c:v>
                </c:pt>
                <c:pt idx="737">
                  <c:v>0.685984288832107</c:v>
                </c:pt>
                <c:pt idx="738">
                  <c:v>0.686404525371754</c:v>
                </c:pt>
                <c:pt idx="739">
                  <c:v>0.687218488370031</c:v>
                </c:pt>
                <c:pt idx="740">
                  <c:v>0.687983724930349</c:v>
                </c:pt>
                <c:pt idx="741">
                  <c:v>0.68978304638294</c:v>
                </c:pt>
                <c:pt idx="742">
                  <c:v>0.691152567295911</c:v>
                </c:pt>
                <c:pt idx="743">
                  <c:v>0.692006076466048</c:v>
                </c:pt>
                <c:pt idx="744">
                  <c:v>0.693128603810612</c:v>
                </c:pt>
                <c:pt idx="745">
                  <c:v>0.694673247289698</c:v>
                </c:pt>
                <c:pt idx="746">
                  <c:v>0.696511907706556</c:v>
                </c:pt>
                <c:pt idx="747">
                  <c:v>0.699307983868052</c:v>
                </c:pt>
                <c:pt idx="748">
                  <c:v>0.699647436868431</c:v>
                </c:pt>
                <c:pt idx="749">
                  <c:v>0.699746597004944</c:v>
                </c:pt>
                <c:pt idx="750">
                  <c:v>0.701273643005052</c:v>
                </c:pt>
                <c:pt idx="751">
                  <c:v>0.702423791828199</c:v>
                </c:pt>
                <c:pt idx="752">
                  <c:v>0.702723698255174</c:v>
                </c:pt>
                <c:pt idx="753">
                  <c:v>0.703854442939279</c:v>
                </c:pt>
                <c:pt idx="754">
                  <c:v>0.704235182966154</c:v>
                </c:pt>
                <c:pt idx="755">
                  <c:v>0.705287244878392</c:v>
                </c:pt>
                <c:pt idx="756">
                  <c:v>0.706196695398247</c:v>
                </c:pt>
                <c:pt idx="757">
                  <c:v>0.706398678253924</c:v>
                </c:pt>
                <c:pt idx="758">
                  <c:v>0.710176890438752</c:v>
                </c:pt>
                <c:pt idx="759">
                  <c:v>0.710197520078459</c:v>
                </c:pt>
                <c:pt idx="760">
                  <c:v>0.713729845371395</c:v>
                </c:pt>
                <c:pt idx="761">
                  <c:v>0.713829649324838</c:v>
                </c:pt>
                <c:pt idx="762">
                  <c:v>0.71383174753253</c:v>
                </c:pt>
                <c:pt idx="763">
                  <c:v>0.71408935832998</c:v>
                </c:pt>
                <c:pt idx="764">
                  <c:v>0.714708569017595</c:v>
                </c:pt>
                <c:pt idx="765">
                  <c:v>0.715535919693128</c:v>
                </c:pt>
                <c:pt idx="766">
                  <c:v>0.715784905788034</c:v>
                </c:pt>
                <c:pt idx="767">
                  <c:v>0.716172523300513</c:v>
                </c:pt>
                <c:pt idx="768">
                  <c:v>0.718777271885988</c:v>
                </c:pt>
                <c:pt idx="769">
                  <c:v>0.719390367906194</c:v>
                </c:pt>
                <c:pt idx="770">
                  <c:v>0.719410925320321</c:v>
                </c:pt>
                <c:pt idx="771">
                  <c:v>0.719459397135704</c:v>
                </c:pt>
                <c:pt idx="772">
                  <c:v>0.720508806970966</c:v>
                </c:pt>
                <c:pt idx="773">
                  <c:v>0.720899091157526</c:v>
                </c:pt>
                <c:pt idx="774">
                  <c:v>0.721166959002144</c:v>
                </c:pt>
                <c:pt idx="775">
                  <c:v>0.721683255716739</c:v>
                </c:pt>
                <c:pt idx="776">
                  <c:v>0.722568590213844</c:v>
                </c:pt>
                <c:pt idx="777">
                  <c:v>0.722871822762563</c:v>
                </c:pt>
                <c:pt idx="778">
                  <c:v>0.723029570142246</c:v>
                </c:pt>
                <c:pt idx="779">
                  <c:v>0.723640831020475</c:v>
                </c:pt>
                <c:pt idx="780">
                  <c:v>0.724410086344956</c:v>
                </c:pt>
                <c:pt idx="781">
                  <c:v>0.725082750360043</c:v>
                </c:pt>
                <c:pt idx="782">
                  <c:v>0.725203425079735</c:v>
                </c:pt>
                <c:pt idx="783">
                  <c:v>0.725446760053302</c:v>
                </c:pt>
                <c:pt idx="784">
                  <c:v>0.726383893292764</c:v>
                </c:pt>
                <c:pt idx="785">
                  <c:v>0.726467052773568</c:v>
                </c:pt>
                <c:pt idx="786">
                  <c:v>0.726665962797905</c:v>
                </c:pt>
                <c:pt idx="787">
                  <c:v>0.727409753990819</c:v>
                </c:pt>
                <c:pt idx="788">
                  <c:v>0.728831230546817</c:v>
                </c:pt>
                <c:pt idx="789">
                  <c:v>0.729774819301436</c:v>
                </c:pt>
                <c:pt idx="790">
                  <c:v>0.730331276526121</c:v>
                </c:pt>
                <c:pt idx="791">
                  <c:v>0.730503531337377</c:v>
                </c:pt>
                <c:pt idx="792">
                  <c:v>0.735352260920214</c:v>
                </c:pt>
                <c:pt idx="793">
                  <c:v>0.73720398507936</c:v>
                </c:pt>
                <c:pt idx="794">
                  <c:v>0.737255611825337</c:v>
                </c:pt>
                <c:pt idx="795">
                  <c:v>0.738123206547659</c:v>
                </c:pt>
                <c:pt idx="796">
                  <c:v>0.738859740400062</c:v>
                </c:pt>
                <c:pt idx="797">
                  <c:v>0.739886827417895</c:v>
                </c:pt>
                <c:pt idx="798">
                  <c:v>0.740775237636896</c:v>
                </c:pt>
                <c:pt idx="799">
                  <c:v>0.742220059707841</c:v>
                </c:pt>
                <c:pt idx="800">
                  <c:v>0.743482444705534</c:v>
                </c:pt>
                <c:pt idx="801">
                  <c:v>0.743518944278312</c:v>
                </c:pt>
                <c:pt idx="802">
                  <c:v>0.744227818931936</c:v>
                </c:pt>
                <c:pt idx="803">
                  <c:v>0.745366399291769</c:v>
                </c:pt>
                <c:pt idx="804">
                  <c:v>0.745382884628539</c:v>
                </c:pt>
                <c:pt idx="805">
                  <c:v>0.745470648067782</c:v>
                </c:pt>
                <c:pt idx="806">
                  <c:v>0.746063907885883</c:v>
                </c:pt>
                <c:pt idx="807">
                  <c:v>0.746682730657196</c:v>
                </c:pt>
                <c:pt idx="808">
                  <c:v>0.746722478144636</c:v>
                </c:pt>
                <c:pt idx="809">
                  <c:v>0.749088590176478</c:v>
                </c:pt>
                <c:pt idx="810">
                  <c:v>0.749362111624306</c:v>
                </c:pt>
                <c:pt idx="811">
                  <c:v>0.749396270362622</c:v>
                </c:pt>
                <c:pt idx="812">
                  <c:v>0.74982538505127</c:v>
                </c:pt>
                <c:pt idx="813">
                  <c:v>0.75290664805174</c:v>
                </c:pt>
                <c:pt idx="814">
                  <c:v>0.753854881949181</c:v>
                </c:pt>
                <c:pt idx="815">
                  <c:v>0.759595638028052</c:v>
                </c:pt>
                <c:pt idx="816">
                  <c:v>0.760611373633905</c:v>
                </c:pt>
                <c:pt idx="817">
                  <c:v>0.761341594950667</c:v>
                </c:pt>
                <c:pt idx="818">
                  <c:v>0.76362717387173</c:v>
                </c:pt>
                <c:pt idx="819">
                  <c:v>0.76569744719217</c:v>
                </c:pt>
                <c:pt idx="820">
                  <c:v>0.770831870066955</c:v>
                </c:pt>
                <c:pt idx="821">
                  <c:v>0.771045818545409</c:v>
                </c:pt>
                <c:pt idx="822">
                  <c:v>0.773349701050368</c:v>
                </c:pt>
                <c:pt idx="823">
                  <c:v>0.774244426756551</c:v>
                </c:pt>
                <c:pt idx="824">
                  <c:v>0.775332039474934</c:v>
                </c:pt>
                <c:pt idx="825">
                  <c:v>0.776406528654297</c:v>
                </c:pt>
                <c:pt idx="826">
                  <c:v>0.776968441648073</c:v>
                </c:pt>
                <c:pt idx="827">
                  <c:v>0.779171232758403</c:v>
                </c:pt>
                <c:pt idx="828">
                  <c:v>0.779616705522941</c:v>
                </c:pt>
                <c:pt idx="829">
                  <c:v>0.781246206137047</c:v>
                </c:pt>
                <c:pt idx="830">
                  <c:v>0.782665197688838</c:v>
                </c:pt>
                <c:pt idx="831">
                  <c:v>0.783186128112778</c:v>
                </c:pt>
                <c:pt idx="832">
                  <c:v>0.784152694728037</c:v>
                </c:pt>
                <c:pt idx="833">
                  <c:v>0.787631172495768</c:v>
                </c:pt>
                <c:pt idx="834">
                  <c:v>0.787705367483117</c:v>
                </c:pt>
                <c:pt idx="835">
                  <c:v>0.788447685535535</c:v>
                </c:pt>
                <c:pt idx="836">
                  <c:v>0.789056416881642</c:v>
                </c:pt>
                <c:pt idx="837">
                  <c:v>0.78980679224718</c:v>
                </c:pt>
                <c:pt idx="838">
                  <c:v>0.791179635994091</c:v>
                </c:pt>
                <c:pt idx="839">
                  <c:v>0.793880503172092</c:v>
                </c:pt>
                <c:pt idx="840">
                  <c:v>0.794884101485874</c:v>
                </c:pt>
                <c:pt idx="841">
                  <c:v>0.796899517257738</c:v>
                </c:pt>
                <c:pt idx="842">
                  <c:v>0.796914651133531</c:v>
                </c:pt>
                <c:pt idx="843">
                  <c:v>0.79805383837615</c:v>
                </c:pt>
                <c:pt idx="844">
                  <c:v>0.799744386319934</c:v>
                </c:pt>
                <c:pt idx="845">
                  <c:v>0.800621662693395</c:v>
                </c:pt>
                <c:pt idx="846">
                  <c:v>0.803306895526811</c:v>
                </c:pt>
                <c:pt idx="847">
                  <c:v>0.804406339594084</c:v>
                </c:pt>
                <c:pt idx="848">
                  <c:v>0.804440168744192</c:v>
                </c:pt>
                <c:pt idx="849">
                  <c:v>0.805529738898125</c:v>
                </c:pt>
                <c:pt idx="850">
                  <c:v>0.805866656140253</c:v>
                </c:pt>
                <c:pt idx="851">
                  <c:v>0.806642862188631</c:v>
                </c:pt>
                <c:pt idx="852">
                  <c:v>0.806643389356621</c:v>
                </c:pt>
                <c:pt idx="853">
                  <c:v>0.806907037403582</c:v>
                </c:pt>
                <c:pt idx="854">
                  <c:v>0.807689333342807</c:v>
                </c:pt>
                <c:pt idx="855">
                  <c:v>0.807795174940956</c:v>
                </c:pt>
                <c:pt idx="856">
                  <c:v>0.808797814649021</c:v>
                </c:pt>
                <c:pt idx="857">
                  <c:v>0.809535158488141</c:v>
                </c:pt>
                <c:pt idx="858">
                  <c:v>0.809567170035218</c:v>
                </c:pt>
                <c:pt idx="859">
                  <c:v>0.809611633633369</c:v>
                </c:pt>
                <c:pt idx="860">
                  <c:v>0.812353441768416</c:v>
                </c:pt>
                <c:pt idx="861">
                  <c:v>0.813748944469639</c:v>
                </c:pt>
                <c:pt idx="862">
                  <c:v>0.813837117362053</c:v>
                </c:pt>
                <c:pt idx="863">
                  <c:v>0.815102619472795</c:v>
                </c:pt>
                <c:pt idx="864">
                  <c:v>0.815837067842798</c:v>
                </c:pt>
                <c:pt idx="865">
                  <c:v>0.816462792881056</c:v>
                </c:pt>
                <c:pt idx="866">
                  <c:v>0.816975000870849</c:v>
                </c:pt>
                <c:pt idx="867">
                  <c:v>0.819285277058279</c:v>
                </c:pt>
                <c:pt idx="868">
                  <c:v>0.82202480721745</c:v>
                </c:pt>
                <c:pt idx="869">
                  <c:v>0.825648787807122</c:v>
                </c:pt>
                <c:pt idx="870">
                  <c:v>0.825804565768071</c:v>
                </c:pt>
                <c:pt idx="871">
                  <c:v>0.827468545220656</c:v>
                </c:pt>
                <c:pt idx="872">
                  <c:v>0.828404899782129</c:v>
                </c:pt>
                <c:pt idx="873">
                  <c:v>0.828740481055787</c:v>
                </c:pt>
                <c:pt idx="874">
                  <c:v>0.837161172608198</c:v>
                </c:pt>
                <c:pt idx="875">
                  <c:v>0.837749515046515</c:v>
                </c:pt>
                <c:pt idx="876">
                  <c:v>0.838092167758973</c:v>
                </c:pt>
                <c:pt idx="877">
                  <c:v>0.838111053060449</c:v>
                </c:pt>
                <c:pt idx="878">
                  <c:v>0.838704141676989</c:v>
                </c:pt>
                <c:pt idx="879">
                  <c:v>0.841067368781289</c:v>
                </c:pt>
                <c:pt idx="880">
                  <c:v>0.8433710635589</c:v>
                </c:pt>
                <c:pt idx="881">
                  <c:v>0.844536253104094</c:v>
                </c:pt>
                <c:pt idx="882">
                  <c:v>0.846188250287478</c:v>
                </c:pt>
                <c:pt idx="883">
                  <c:v>0.847105437250163</c:v>
                </c:pt>
                <c:pt idx="884">
                  <c:v>0.851485005975748</c:v>
                </c:pt>
                <c:pt idx="885">
                  <c:v>0.854682034805454</c:v>
                </c:pt>
                <c:pt idx="886">
                  <c:v>0.854902579396313</c:v>
                </c:pt>
                <c:pt idx="887">
                  <c:v>0.856343750882252</c:v>
                </c:pt>
                <c:pt idx="888">
                  <c:v>0.85693867774557</c:v>
                </c:pt>
                <c:pt idx="889">
                  <c:v>0.859319915480677</c:v>
                </c:pt>
                <c:pt idx="890">
                  <c:v>0.859840482760684</c:v>
                </c:pt>
                <c:pt idx="891">
                  <c:v>0.860948464286287</c:v>
                </c:pt>
                <c:pt idx="892">
                  <c:v>0.862217069117553</c:v>
                </c:pt>
                <c:pt idx="893">
                  <c:v>0.864294131425815</c:v>
                </c:pt>
                <c:pt idx="894">
                  <c:v>0.864764303522463</c:v>
                </c:pt>
                <c:pt idx="895">
                  <c:v>0.867927979966416</c:v>
                </c:pt>
                <c:pt idx="896">
                  <c:v>0.868634164763488</c:v>
                </c:pt>
                <c:pt idx="897">
                  <c:v>0.868689022622613</c:v>
                </c:pt>
                <c:pt idx="898">
                  <c:v>0.869902928029911</c:v>
                </c:pt>
                <c:pt idx="899">
                  <c:v>0.869955993733514</c:v>
                </c:pt>
                <c:pt idx="900">
                  <c:v>0.870345287487683</c:v>
                </c:pt>
                <c:pt idx="901">
                  <c:v>0.871894915591638</c:v>
                </c:pt>
                <c:pt idx="902">
                  <c:v>0.876679902699405</c:v>
                </c:pt>
                <c:pt idx="903">
                  <c:v>0.878017298938604</c:v>
                </c:pt>
                <c:pt idx="904">
                  <c:v>0.87808751567913</c:v>
                </c:pt>
                <c:pt idx="905">
                  <c:v>0.878162347359803</c:v>
                </c:pt>
                <c:pt idx="906">
                  <c:v>0.879154839370867</c:v>
                </c:pt>
                <c:pt idx="907">
                  <c:v>0.880104138399724</c:v>
                </c:pt>
                <c:pt idx="908">
                  <c:v>0.884723982039805</c:v>
                </c:pt>
                <c:pt idx="909">
                  <c:v>0.886911127537586</c:v>
                </c:pt>
                <c:pt idx="910">
                  <c:v>0.887630193326241</c:v>
                </c:pt>
                <c:pt idx="911">
                  <c:v>0.888351998324526</c:v>
                </c:pt>
                <c:pt idx="912">
                  <c:v>0.889967155266118</c:v>
                </c:pt>
                <c:pt idx="913">
                  <c:v>0.892862911781084</c:v>
                </c:pt>
                <c:pt idx="914">
                  <c:v>0.89692342555149</c:v>
                </c:pt>
                <c:pt idx="915">
                  <c:v>0.897991439183999</c:v>
                </c:pt>
                <c:pt idx="916">
                  <c:v>0.898494959265466</c:v>
                </c:pt>
                <c:pt idx="917">
                  <c:v>0.899245215757845</c:v>
                </c:pt>
                <c:pt idx="918">
                  <c:v>0.899979664503927</c:v>
                </c:pt>
                <c:pt idx="919">
                  <c:v>0.901638571707454</c:v>
                </c:pt>
                <c:pt idx="920">
                  <c:v>0.902166490778804</c:v>
                </c:pt>
                <c:pt idx="921">
                  <c:v>0.902210896488935</c:v>
                </c:pt>
                <c:pt idx="922">
                  <c:v>0.90498482522797</c:v>
                </c:pt>
                <c:pt idx="923">
                  <c:v>0.905442672695256</c:v>
                </c:pt>
                <c:pt idx="924">
                  <c:v>0.905574308879996</c:v>
                </c:pt>
                <c:pt idx="925">
                  <c:v>0.909686238207722</c:v>
                </c:pt>
                <c:pt idx="926">
                  <c:v>0.911072390161146</c:v>
                </c:pt>
                <c:pt idx="927">
                  <c:v>0.911233737395569</c:v>
                </c:pt>
                <c:pt idx="928">
                  <c:v>0.911284198755087</c:v>
                </c:pt>
                <c:pt idx="929">
                  <c:v>0.91170506260642</c:v>
                </c:pt>
                <c:pt idx="930">
                  <c:v>0.91419158792224</c:v>
                </c:pt>
                <c:pt idx="931">
                  <c:v>0.915244504154958</c:v>
                </c:pt>
                <c:pt idx="932">
                  <c:v>0.915398246999888</c:v>
                </c:pt>
                <c:pt idx="933">
                  <c:v>0.915750993476957</c:v>
                </c:pt>
                <c:pt idx="934">
                  <c:v>0.919670664917956</c:v>
                </c:pt>
                <c:pt idx="935">
                  <c:v>0.920959440872842</c:v>
                </c:pt>
                <c:pt idx="936">
                  <c:v>0.923665947924854</c:v>
                </c:pt>
                <c:pt idx="937">
                  <c:v>0.927236359426257</c:v>
                </c:pt>
                <c:pt idx="938">
                  <c:v>0.928080109352755</c:v>
                </c:pt>
                <c:pt idx="939">
                  <c:v>0.928237902651993</c:v>
                </c:pt>
                <c:pt idx="940">
                  <c:v>0.928363885750869</c:v>
                </c:pt>
                <c:pt idx="941">
                  <c:v>0.928383733942071</c:v>
                </c:pt>
                <c:pt idx="942">
                  <c:v>0.92940112459528</c:v>
                </c:pt>
                <c:pt idx="943">
                  <c:v>0.930933586022262</c:v>
                </c:pt>
                <c:pt idx="944">
                  <c:v>0.934242595343155</c:v>
                </c:pt>
                <c:pt idx="945">
                  <c:v>0.935109832398015</c:v>
                </c:pt>
                <c:pt idx="946">
                  <c:v>0.93653122406857</c:v>
                </c:pt>
                <c:pt idx="947">
                  <c:v>0.943257552051704</c:v>
                </c:pt>
                <c:pt idx="948">
                  <c:v>0.943260805808408</c:v>
                </c:pt>
                <c:pt idx="949">
                  <c:v>0.947473570013331</c:v>
                </c:pt>
                <c:pt idx="950">
                  <c:v>0.950925632964438</c:v>
                </c:pt>
                <c:pt idx="951">
                  <c:v>0.95247540088759</c:v>
                </c:pt>
                <c:pt idx="952">
                  <c:v>0.953426093507389</c:v>
                </c:pt>
                <c:pt idx="953">
                  <c:v>0.953572374316406</c:v>
                </c:pt>
                <c:pt idx="954">
                  <c:v>0.95387395766913</c:v>
                </c:pt>
                <c:pt idx="955">
                  <c:v>0.956337627729825</c:v>
                </c:pt>
                <c:pt idx="956">
                  <c:v>0.956991334159945</c:v>
                </c:pt>
                <c:pt idx="957">
                  <c:v>0.957386315587987</c:v>
                </c:pt>
                <c:pt idx="958">
                  <c:v>0.961411447406486</c:v>
                </c:pt>
                <c:pt idx="959">
                  <c:v>0.96159652081685</c:v>
                </c:pt>
                <c:pt idx="960">
                  <c:v>0.962052161546099</c:v>
                </c:pt>
                <c:pt idx="961">
                  <c:v>0.962518734990228</c:v>
                </c:pt>
                <c:pt idx="962">
                  <c:v>0.962692722950145</c:v>
                </c:pt>
                <c:pt idx="963">
                  <c:v>0.963317764202615</c:v>
                </c:pt>
                <c:pt idx="964">
                  <c:v>0.965807526893834</c:v>
                </c:pt>
                <c:pt idx="965">
                  <c:v>0.96629171896988</c:v>
                </c:pt>
                <c:pt idx="966">
                  <c:v>0.968107743462968</c:v>
                </c:pt>
                <c:pt idx="967">
                  <c:v>0.972205326461865</c:v>
                </c:pt>
                <c:pt idx="968">
                  <c:v>0.973902247450268</c:v>
                </c:pt>
                <c:pt idx="969">
                  <c:v>0.976077208632259</c:v>
                </c:pt>
                <c:pt idx="970">
                  <c:v>0.976898856776582</c:v>
                </c:pt>
                <c:pt idx="971">
                  <c:v>0.978022876946356</c:v>
                </c:pt>
                <c:pt idx="972">
                  <c:v>0.979438004300528</c:v>
                </c:pt>
                <c:pt idx="973">
                  <c:v>0.984006549360349</c:v>
                </c:pt>
                <c:pt idx="974">
                  <c:v>0.986601095618721</c:v>
                </c:pt>
                <c:pt idx="975">
                  <c:v>0.988014607161288</c:v>
                </c:pt>
                <c:pt idx="976">
                  <c:v>0.988380338134828</c:v>
                </c:pt>
                <c:pt idx="977">
                  <c:v>0.98885661664475</c:v>
                </c:pt>
                <c:pt idx="978">
                  <c:v>0.989040185436188</c:v>
                </c:pt>
                <c:pt idx="979">
                  <c:v>0.990647972250658</c:v>
                </c:pt>
                <c:pt idx="980">
                  <c:v>0.991190091068905</c:v>
                </c:pt>
                <c:pt idx="981">
                  <c:v>0.992173778184479</c:v>
                </c:pt>
                <c:pt idx="982">
                  <c:v>0.993202520522062</c:v>
                </c:pt>
                <c:pt idx="983">
                  <c:v>0.993210804113997</c:v>
                </c:pt>
                <c:pt idx="984">
                  <c:v>0.993272846564091</c:v>
                </c:pt>
                <c:pt idx="985">
                  <c:v>0.99402747896879</c:v>
                </c:pt>
                <c:pt idx="986">
                  <c:v>0.994903829547275</c:v>
                </c:pt>
                <c:pt idx="987">
                  <c:v>0.996341494862582</c:v>
                </c:pt>
                <c:pt idx="988">
                  <c:v>0.996692806779833</c:v>
                </c:pt>
                <c:pt idx="989">
                  <c:v>0.997425406529255</c:v>
                </c:pt>
                <c:pt idx="990">
                  <c:v>0.99820735318518</c:v>
                </c:pt>
                <c:pt idx="991">
                  <c:v>0.998492280981004</c:v>
                </c:pt>
                <c:pt idx="992">
                  <c:v>0.998797920254415</c:v>
                </c:pt>
                <c:pt idx="993">
                  <c:v>0.998910849134931</c:v>
                </c:pt>
                <c:pt idx="994">
                  <c:v>0.999366702676404</c:v>
                </c:pt>
                <c:pt idx="995">
                  <c:v>0.999570894762056</c:v>
                </c:pt>
                <c:pt idx="996">
                  <c:v>0.999860298432571</c:v>
                </c:pt>
                <c:pt idx="997">
                  <c:v>0.999920745080458</c:v>
                </c:pt>
                <c:pt idx="998">
                  <c:v>0.999988851654666</c:v>
                </c:pt>
                <c:pt idx="999">
                  <c:v>0.999996271859298</c:v>
                </c:pt>
              </c:numCache>
            </c:numRef>
          </c:yVal>
          <c:smooth val="0"/>
        </c:ser>
        <c:ser>
          <c:idx val="2"/>
          <c:order val="2"/>
          <c:tx>
            <c:strRef>
              <c:f>"Student-t"</c:f>
              <c:strCache>
                <c:ptCount val="1"/>
                <c:pt idx="0">
                  <c:v>Student-t</c:v>
                </c:pt>
              </c:strCache>
            </c:strRef>
          </c:tx>
          <c:spPr>
            <a:solidFill>
              <a:srgbClr val="98b855"/>
            </a:solidFill>
            <a:ln w="475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BTC_Fit!$B$37:$B$1036</c:f>
              <c:numCache>
                <c:formatCode>0.0000%</c:formatCode>
                <c:ptCount val="1000"/>
                <c:pt idx="0">
                  <c:v>-0.00540459767562251</c:v>
                </c:pt>
                <c:pt idx="1">
                  <c:v>-0.00513662656395619</c:v>
                </c:pt>
                <c:pt idx="2">
                  <c:v>-0.00484009629879822</c:v>
                </c:pt>
                <c:pt idx="3">
                  <c:v>-0.00434376534633485</c:v>
                </c:pt>
                <c:pt idx="4">
                  <c:v>-0.00423945312351037</c:v>
                </c:pt>
                <c:pt idx="5">
                  <c:v>-0.00419245011043712</c:v>
                </c:pt>
                <c:pt idx="6">
                  <c:v>-0.00407042871523866</c:v>
                </c:pt>
                <c:pt idx="7">
                  <c:v>-0.00380228109993475</c:v>
                </c:pt>
                <c:pt idx="8">
                  <c:v>-0.00379642429465144</c:v>
                </c:pt>
                <c:pt idx="9">
                  <c:v>-0.00359003867696783</c:v>
                </c:pt>
                <c:pt idx="10">
                  <c:v>-0.00345760208480739</c:v>
                </c:pt>
                <c:pt idx="11">
                  <c:v>-0.00333430300896975</c:v>
                </c:pt>
                <c:pt idx="12">
                  <c:v>-0.00332216746339409</c:v>
                </c:pt>
                <c:pt idx="13">
                  <c:v>-0.00322209509831739</c:v>
                </c:pt>
                <c:pt idx="14">
                  <c:v>-0.00317514068497671</c:v>
                </c:pt>
                <c:pt idx="15">
                  <c:v>-0.00306578528733237</c:v>
                </c:pt>
                <c:pt idx="16">
                  <c:v>-0.00300852627159698</c:v>
                </c:pt>
                <c:pt idx="17">
                  <c:v>-0.00300001002830286</c:v>
                </c:pt>
                <c:pt idx="18">
                  <c:v>-0.00298382691337806</c:v>
                </c:pt>
                <c:pt idx="19">
                  <c:v>-0.00294153166093325</c:v>
                </c:pt>
                <c:pt idx="20">
                  <c:v>-0.00284676420137775</c:v>
                </c:pt>
                <c:pt idx="21">
                  <c:v>-0.00282722770309729</c:v>
                </c:pt>
                <c:pt idx="22">
                  <c:v>-0.00278253416086793</c:v>
                </c:pt>
                <c:pt idx="23">
                  <c:v>-0.00277890596350994</c:v>
                </c:pt>
                <c:pt idx="24">
                  <c:v>-0.00276573216990728</c:v>
                </c:pt>
                <c:pt idx="25">
                  <c:v>-0.00270255452720181</c:v>
                </c:pt>
                <c:pt idx="26">
                  <c:v>-0.00270123773010234</c:v>
                </c:pt>
                <c:pt idx="27">
                  <c:v>-0.00256259890404198</c:v>
                </c:pt>
                <c:pt idx="28">
                  <c:v>-0.00254392416473803</c:v>
                </c:pt>
                <c:pt idx="29">
                  <c:v>-0.00253703597225963</c:v>
                </c:pt>
                <c:pt idx="30">
                  <c:v>-0.00253043455567015</c:v>
                </c:pt>
                <c:pt idx="31">
                  <c:v>-0.00250786019524984</c:v>
                </c:pt>
                <c:pt idx="32">
                  <c:v>-0.00249436157958771</c:v>
                </c:pt>
                <c:pt idx="33">
                  <c:v>-0.00237191790952029</c:v>
                </c:pt>
                <c:pt idx="34">
                  <c:v>-0.00236649392356991</c:v>
                </c:pt>
                <c:pt idx="35">
                  <c:v>-0.0023639273101298</c:v>
                </c:pt>
                <c:pt idx="36">
                  <c:v>-0.00234404050081205</c:v>
                </c:pt>
                <c:pt idx="37">
                  <c:v>-0.00233334525492268</c:v>
                </c:pt>
                <c:pt idx="38">
                  <c:v>-0.00226975291626363</c:v>
                </c:pt>
                <c:pt idx="39">
                  <c:v>-0.0022520961614021</c:v>
                </c:pt>
                <c:pt idx="40">
                  <c:v>-0.0022491975940333</c:v>
                </c:pt>
                <c:pt idx="41">
                  <c:v>-0.00223755124262626</c:v>
                </c:pt>
                <c:pt idx="42">
                  <c:v>-0.00222176181636602</c:v>
                </c:pt>
                <c:pt idx="43">
                  <c:v>-0.00219817688880519</c:v>
                </c:pt>
                <c:pt idx="44">
                  <c:v>-0.00219140063011414</c:v>
                </c:pt>
                <c:pt idx="45">
                  <c:v>-0.00217419877801539</c:v>
                </c:pt>
                <c:pt idx="46">
                  <c:v>-0.00216893710230925</c:v>
                </c:pt>
                <c:pt idx="47">
                  <c:v>-0.00216369409353911</c:v>
                </c:pt>
                <c:pt idx="48">
                  <c:v>-0.00212088525486365</c:v>
                </c:pt>
                <c:pt idx="49">
                  <c:v>-0.0020984595114556</c:v>
                </c:pt>
                <c:pt idx="50">
                  <c:v>-0.00209606853770594</c:v>
                </c:pt>
                <c:pt idx="51">
                  <c:v>-0.00209117906202438</c:v>
                </c:pt>
                <c:pt idx="52">
                  <c:v>-0.00208585618844215</c:v>
                </c:pt>
                <c:pt idx="53">
                  <c:v>-0.00207040106637357</c:v>
                </c:pt>
                <c:pt idx="54">
                  <c:v>-0.00206302816046555</c:v>
                </c:pt>
                <c:pt idx="55">
                  <c:v>-0.00205519438386093</c:v>
                </c:pt>
                <c:pt idx="56">
                  <c:v>-0.0020429690022683</c:v>
                </c:pt>
                <c:pt idx="57">
                  <c:v>-0.00203768175795527</c:v>
                </c:pt>
                <c:pt idx="58">
                  <c:v>-0.00201341638097163</c:v>
                </c:pt>
                <c:pt idx="59">
                  <c:v>-0.00199476660178033</c:v>
                </c:pt>
                <c:pt idx="60">
                  <c:v>-0.00198009343199723</c:v>
                </c:pt>
                <c:pt idx="61">
                  <c:v>-0.00197730341752822</c:v>
                </c:pt>
                <c:pt idx="62">
                  <c:v>-0.00195074814197682</c:v>
                </c:pt>
                <c:pt idx="63">
                  <c:v>-0.00193706764542911</c:v>
                </c:pt>
                <c:pt idx="64">
                  <c:v>-0.0019340566032221</c:v>
                </c:pt>
                <c:pt idx="65">
                  <c:v>-0.0019003446679281</c:v>
                </c:pt>
                <c:pt idx="66">
                  <c:v>-0.00185272653943447</c:v>
                </c:pt>
                <c:pt idx="67">
                  <c:v>-0.00182888795982572</c:v>
                </c:pt>
                <c:pt idx="68">
                  <c:v>-0.00181487530845836</c:v>
                </c:pt>
                <c:pt idx="69">
                  <c:v>-0.00180667965582926</c:v>
                </c:pt>
                <c:pt idx="70">
                  <c:v>-0.00174637149936463</c:v>
                </c:pt>
                <c:pt idx="71">
                  <c:v>-0.00174341150918711</c:v>
                </c:pt>
                <c:pt idx="72">
                  <c:v>-0.00167086264008975</c:v>
                </c:pt>
                <c:pt idx="73">
                  <c:v>-0.00164876712663165</c:v>
                </c:pt>
                <c:pt idx="74">
                  <c:v>-0.00161912194044767</c:v>
                </c:pt>
                <c:pt idx="75">
                  <c:v>-0.00160417597594753</c:v>
                </c:pt>
                <c:pt idx="76">
                  <c:v>-0.00160066018860705</c:v>
                </c:pt>
                <c:pt idx="77">
                  <c:v>-0.00160013833003414</c:v>
                </c:pt>
                <c:pt idx="78">
                  <c:v>-0.00159675477298793</c:v>
                </c:pt>
                <c:pt idx="79">
                  <c:v>-0.00159667261910057</c:v>
                </c:pt>
                <c:pt idx="80">
                  <c:v>-0.00156713697868649</c:v>
                </c:pt>
                <c:pt idx="81">
                  <c:v>-0.00156652423089443</c:v>
                </c:pt>
                <c:pt idx="82">
                  <c:v>-0.00154284647444847</c:v>
                </c:pt>
                <c:pt idx="83">
                  <c:v>-0.00153891974543241</c:v>
                </c:pt>
                <c:pt idx="84">
                  <c:v>-0.00152626693955926</c:v>
                </c:pt>
                <c:pt idx="85">
                  <c:v>-0.00150348435895709</c:v>
                </c:pt>
                <c:pt idx="86">
                  <c:v>-0.00150248391742414</c:v>
                </c:pt>
                <c:pt idx="87">
                  <c:v>-0.00149972414863198</c:v>
                </c:pt>
                <c:pt idx="88">
                  <c:v>-0.00149418556949532</c:v>
                </c:pt>
                <c:pt idx="89">
                  <c:v>-0.00149374871177932</c:v>
                </c:pt>
                <c:pt idx="90">
                  <c:v>-0.00148157611618738</c:v>
                </c:pt>
                <c:pt idx="91">
                  <c:v>-0.00147610406921173</c:v>
                </c:pt>
                <c:pt idx="92">
                  <c:v>-0.00145822330932588</c:v>
                </c:pt>
                <c:pt idx="93">
                  <c:v>-0.0014565119540384</c:v>
                </c:pt>
                <c:pt idx="94">
                  <c:v>-0.00144973503359191</c:v>
                </c:pt>
                <c:pt idx="95">
                  <c:v>-0.0014449479587253</c:v>
                </c:pt>
                <c:pt idx="96">
                  <c:v>-0.00143357491148388</c:v>
                </c:pt>
                <c:pt idx="97">
                  <c:v>-0.00143160434045153</c:v>
                </c:pt>
                <c:pt idx="98">
                  <c:v>-0.00142186875915351</c:v>
                </c:pt>
                <c:pt idx="99">
                  <c:v>-0.00141837409138279</c:v>
                </c:pt>
                <c:pt idx="100">
                  <c:v>-0.0014078910704115</c:v>
                </c:pt>
                <c:pt idx="101">
                  <c:v>-0.00140475669450513</c:v>
                </c:pt>
                <c:pt idx="102">
                  <c:v>-0.00140220074576591</c:v>
                </c:pt>
                <c:pt idx="103">
                  <c:v>-0.00139691733774971</c:v>
                </c:pt>
                <c:pt idx="104">
                  <c:v>-0.00139249983155554</c:v>
                </c:pt>
                <c:pt idx="105">
                  <c:v>-0.00138139677770299</c:v>
                </c:pt>
                <c:pt idx="106">
                  <c:v>-0.00137444846898238</c:v>
                </c:pt>
                <c:pt idx="107">
                  <c:v>-0.00136974706796866</c:v>
                </c:pt>
                <c:pt idx="108">
                  <c:v>-0.00136860367278269</c:v>
                </c:pt>
                <c:pt idx="109">
                  <c:v>-0.00135791264473595</c:v>
                </c:pt>
                <c:pt idx="110">
                  <c:v>-0.0013575874274887</c:v>
                </c:pt>
                <c:pt idx="111">
                  <c:v>-0.00135707244253847</c:v>
                </c:pt>
                <c:pt idx="112">
                  <c:v>-0.00134971906392378</c:v>
                </c:pt>
                <c:pt idx="113">
                  <c:v>-0.00134593659411486</c:v>
                </c:pt>
                <c:pt idx="114">
                  <c:v>-0.00132974244327111</c:v>
                </c:pt>
                <c:pt idx="115">
                  <c:v>-0.00132639559813219</c:v>
                </c:pt>
                <c:pt idx="116">
                  <c:v>-0.00131887895945659</c:v>
                </c:pt>
                <c:pt idx="117">
                  <c:v>-0.00131602735896741</c:v>
                </c:pt>
                <c:pt idx="118">
                  <c:v>-0.0013063918995726</c:v>
                </c:pt>
                <c:pt idx="119">
                  <c:v>-0.00129948634323485</c:v>
                </c:pt>
                <c:pt idx="120">
                  <c:v>-0.00129588961163418</c:v>
                </c:pt>
                <c:pt idx="121">
                  <c:v>-0.00129228876330345</c:v>
                </c:pt>
                <c:pt idx="122">
                  <c:v>-0.0012902956444959</c:v>
                </c:pt>
                <c:pt idx="123">
                  <c:v>-0.00128686246573428</c:v>
                </c:pt>
                <c:pt idx="124">
                  <c:v>-0.00128640362222521</c:v>
                </c:pt>
                <c:pt idx="125">
                  <c:v>-0.00127949865868016</c:v>
                </c:pt>
                <c:pt idx="126">
                  <c:v>-0.00127076511335777</c:v>
                </c:pt>
                <c:pt idx="127">
                  <c:v>-0.00127011021662182</c:v>
                </c:pt>
                <c:pt idx="128">
                  <c:v>-0.00126395340184915</c:v>
                </c:pt>
                <c:pt idx="129">
                  <c:v>-0.00125668570319326</c:v>
                </c:pt>
                <c:pt idx="130">
                  <c:v>-0.00125583243108796</c:v>
                </c:pt>
                <c:pt idx="131">
                  <c:v>-0.00124821892138838</c:v>
                </c:pt>
                <c:pt idx="132">
                  <c:v>-0.00124289327950577</c:v>
                </c:pt>
                <c:pt idx="133">
                  <c:v>-0.00124030744354864</c:v>
                </c:pt>
                <c:pt idx="134">
                  <c:v>-0.00123401083380303</c:v>
                </c:pt>
                <c:pt idx="135">
                  <c:v>-0.00122552300310019</c:v>
                </c:pt>
                <c:pt idx="136">
                  <c:v>-0.00121291482913799</c:v>
                </c:pt>
                <c:pt idx="137">
                  <c:v>-0.00120506728904801</c:v>
                </c:pt>
                <c:pt idx="138">
                  <c:v>-0.0012047249135021</c:v>
                </c:pt>
                <c:pt idx="139">
                  <c:v>-0.00120029972228275</c:v>
                </c:pt>
                <c:pt idx="140">
                  <c:v>-0.00119984282793628</c:v>
                </c:pt>
                <c:pt idx="141">
                  <c:v>-0.00119792681362529</c:v>
                </c:pt>
                <c:pt idx="142">
                  <c:v>-0.00118445410422841</c:v>
                </c:pt>
                <c:pt idx="143">
                  <c:v>-0.00118263026974008</c:v>
                </c:pt>
                <c:pt idx="144">
                  <c:v>-0.0011813941949439</c:v>
                </c:pt>
                <c:pt idx="145">
                  <c:v>-0.00116633929056187</c:v>
                </c:pt>
                <c:pt idx="146">
                  <c:v>-0.0011624910855329</c:v>
                </c:pt>
                <c:pt idx="147">
                  <c:v>-0.00115997326675521</c:v>
                </c:pt>
                <c:pt idx="148">
                  <c:v>-0.00115727328674098</c:v>
                </c:pt>
                <c:pt idx="149">
                  <c:v>-0.00114726158973333</c:v>
                </c:pt>
                <c:pt idx="150">
                  <c:v>-0.00114715880047012</c:v>
                </c:pt>
                <c:pt idx="151">
                  <c:v>-0.0011469733458167</c:v>
                </c:pt>
                <c:pt idx="152">
                  <c:v>-0.00114406835322733</c:v>
                </c:pt>
                <c:pt idx="153">
                  <c:v>-0.00114348952674681</c:v>
                </c:pt>
                <c:pt idx="154">
                  <c:v>-0.00113546604466797</c:v>
                </c:pt>
                <c:pt idx="155">
                  <c:v>-0.00112644800467787</c:v>
                </c:pt>
                <c:pt idx="156">
                  <c:v>-0.00112206920378022</c:v>
                </c:pt>
                <c:pt idx="157">
                  <c:v>-0.00112110851806957</c:v>
                </c:pt>
                <c:pt idx="158">
                  <c:v>-0.00112096383457527</c:v>
                </c:pt>
                <c:pt idx="159">
                  <c:v>-0.00111703887868508</c:v>
                </c:pt>
                <c:pt idx="160">
                  <c:v>-0.00111328118751286</c:v>
                </c:pt>
                <c:pt idx="161">
                  <c:v>-0.00110682862719724</c:v>
                </c:pt>
                <c:pt idx="162">
                  <c:v>-0.00109696892227051</c:v>
                </c:pt>
                <c:pt idx="163">
                  <c:v>-0.00109299180712918</c:v>
                </c:pt>
                <c:pt idx="164">
                  <c:v>-0.00108734275382916</c:v>
                </c:pt>
                <c:pt idx="165">
                  <c:v>-0.00108085478445519</c:v>
                </c:pt>
                <c:pt idx="166">
                  <c:v>-0.00107954453657233</c:v>
                </c:pt>
                <c:pt idx="167">
                  <c:v>-0.00106980832820425</c:v>
                </c:pt>
                <c:pt idx="168">
                  <c:v>-0.00106648295944423</c:v>
                </c:pt>
                <c:pt idx="169">
                  <c:v>-0.00106408048470485</c:v>
                </c:pt>
                <c:pt idx="170">
                  <c:v>-0.00106215611932681</c:v>
                </c:pt>
                <c:pt idx="171">
                  <c:v>-0.00106215555279288</c:v>
                </c:pt>
                <c:pt idx="172">
                  <c:v>-0.00105819794707085</c:v>
                </c:pt>
                <c:pt idx="173">
                  <c:v>-0.0010528252230636</c:v>
                </c:pt>
                <c:pt idx="174">
                  <c:v>-0.00105149812906136</c:v>
                </c:pt>
                <c:pt idx="175">
                  <c:v>-0.00103903073654865</c:v>
                </c:pt>
                <c:pt idx="176">
                  <c:v>-0.00102373819193657</c:v>
                </c:pt>
                <c:pt idx="177">
                  <c:v>-0.00101846747020629</c:v>
                </c:pt>
                <c:pt idx="178">
                  <c:v>-0.00101836299367253</c:v>
                </c:pt>
                <c:pt idx="179">
                  <c:v>-0.00101019053904872</c:v>
                </c:pt>
                <c:pt idx="180">
                  <c:v>-0.00100948440929405</c:v>
                </c:pt>
                <c:pt idx="181">
                  <c:v>-0.00100559188964222</c:v>
                </c:pt>
                <c:pt idx="182">
                  <c:v>-0.00100463516218618</c:v>
                </c:pt>
                <c:pt idx="183">
                  <c:v>-0.000999944417252929</c:v>
                </c:pt>
                <c:pt idx="184">
                  <c:v>-0.000996099461972655</c:v>
                </c:pt>
                <c:pt idx="185">
                  <c:v>-0.000995142180612252</c:v>
                </c:pt>
                <c:pt idx="186">
                  <c:v>-0.000994907568254155</c:v>
                </c:pt>
                <c:pt idx="187">
                  <c:v>-0.000992861968805658</c:v>
                </c:pt>
                <c:pt idx="188">
                  <c:v>-0.000987103687290269</c:v>
                </c:pt>
                <c:pt idx="189">
                  <c:v>-0.00096779163906513</c:v>
                </c:pt>
                <c:pt idx="190">
                  <c:v>-0.000964117590738889</c:v>
                </c:pt>
                <c:pt idx="191">
                  <c:v>-0.000955478936995879</c:v>
                </c:pt>
                <c:pt idx="192">
                  <c:v>-0.000955219351931436</c:v>
                </c:pt>
                <c:pt idx="193">
                  <c:v>-0.000954523902902627</c:v>
                </c:pt>
                <c:pt idx="194">
                  <c:v>-0.000946688832304865</c:v>
                </c:pt>
                <c:pt idx="195">
                  <c:v>-0.000935774688649804</c:v>
                </c:pt>
                <c:pt idx="196">
                  <c:v>-0.000932039164934451</c:v>
                </c:pt>
                <c:pt idx="197">
                  <c:v>-0.000927311243710927</c:v>
                </c:pt>
                <c:pt idx="198">
                  <c:v>-0.000923149240634302</c:v>
                </c:pt>
                <c:pt idx="199">
                  <c:v>-0.000922028146212228</c:v>
                </c:pt>
                <c:pt idx="200">
                  <c:v>-0.000914871963423436</c:v>
                </c:pt>
                <c:pt idx="201">
                  <c:v>-0.000912025246672443</c:v>
                </c:pt>
                <c:pt idx="202">
                  <c:v>-0.000901995704729486</c:v>
                </c:pt>
                <c:pt idx="203">
                  <c:v>-0.000893953827525551</c:v>
                </c:pt>
                <c:pt idx="204">
                  <c:v>-0.000891110566904163</c:v>
                </c:pt>
                <c:pt idx="205">
                  <c:v>-0.000883995614228583</c:v>
                </c:pt>
                <c:pt idx="206">
                  <c:v>-0.00088230099176001</c:v>
                </c:pt>
                <c:pt idx="207">
                  <c:v>-0.000878806977899993</c:v>
                </c:pt>
                <c:pt idx="208">
                  <c:v>-0.000873326870473923</c:v>
                </c:pt>
                <c:pt idx="209">
                  <c:v>-0.000863266454418477</c:v>
                </c:pt>
                <c:pt idx="210">
                  <c:v>-0.000856538219256686</c:v>
                </c:pt>
                <c:pt idx="211">
                  <c:v>-0.000849120147455973</c:v>
                </c:pt>
                <c:pt idx="212">
                  <c:v>-0.000840853115053886</c:v>
                </c:pt>
                <c:pt idx="213">
                  <c:v>-0.000839439321090318</c:v>
                </c:pt>
                <c:pt idx="214">
                  <c:v>-0.000832781986267905</c:v>
                </c:pt>
                <c:pt idx="215">
                  <c:v>-0.000826725941648565</c:v>
                </c:pt>
                <c:pt idx="216">
                  <c:v>-0.000825675749459909</c:v>
                </c:pt>
                <c:pt idx="217">
                  <c:v>-0.000825069820301394</c:v>
                </c:pt>
                <c:pt idx="218">
                  <c:v>-0.00081667587583556</c:v>
                </c:pt>
                <c:pt idx="219">
                  <c:v>-0.000815804692167577</c:v>
                </c:pt>
                <c:pt idx="220">
                  <c:v>-0.000815311799097662</c:v>
                </c:pt>
                <c:pt idx="221">
                  <c:v>-0.00081409068209326</c:v>
                </c:pt>
                <c:pt idx="222">
                  <c:v>-0.000813896343583642</c:v>
                </c:pt>
                <c:pt idx="223">
                  <c:v>-0.000805088434934431</c:v>
                </c:pt>
                <c:pt idx="224">
                  <c:v>-0.000794518408263611</c:v>
                </c:pt>
                <c:pt idx="225">
                  <c:v>-0.000793607564729904</c:v>
                </c:pt>
                <c:pt idx="226">
                  <c:v>-0.000790587637237827</c:v>
                </c:pt>
                <c:pt idx="227">
                  <c:v>-0.000784800258013196</c:v>
                </c:pt>
                <c:pt idx="228">
                  <c:v>-0.000772420621988901</c:v>
                </c:pt>
                <c:pt idx="229">
                  <c:v>-0.000771590426861923</c:v>
                </c:pt>
                <c:pt idx="230">
                  <c:v>-0.000761308784245851</c:v>
                </c:pt>
                <c:pt idx="231">
                  <c:v>-0.000753919943169201</c:v>
                </c:pt>
                <c:pt idx="232">
                  <c:v>-0.000748635810960519</c:v>
                </c:pt>
                <c:pt idx="233">
                  <c:v>-0.000716290207650072</c:v>
                </c:pt>
                <c:pt idx="234">
                  <c:v>-0.000711055383938675</c:v>
                </c:pt>
                <c:pt idx="235">
                  <c:v>-0.000709752447283774</c:v>
                </c:pt>
                <c:pt idx="236">
                  <c:v>-0.000705738152316227</c:v>
                </c:pt>
                <c:pt idx="237">
                  <c:v>-0.000700223037921055</c:v>
                </c:pt>
                <c:pt idx="238">
                  <c:v>-0.000698032613252519</c:v>
                </c:pt>
                <c:pt idx="239">
                  <c:v>-0.000693879851533241</c:v>
                </c:pt>
                <c:pt idx="240">
                  <c:v>-0.000688873357348463</c:v>
                </c:pt>
                <c:pt idx="241">
                  <c:v>-0.000688604592878117</c:v>
                </c:pt>
                <c:pt idx="242">
                  <c:v>-0.000687780205535504</c:v>
                </c:pt>
                <c:pt idx="243">
                  <c:v>-0.000683595040359419</c:v>
                </c:pt>
                <c:pt idx="244">
                  <c:v>-0.00068130350637452</c:v>
                </c:pt>
                <c:pt idx="245">
                  <c:v>-0.00067915214799219</c:v>
                </c:pt>
                <c:pt idx="246">
                  <c:v>-0.000673171495660929</c:v>
                </c:pt>
                <c:pt idx="247">
                  <c:v>-0.000672861555582105</c:v>
                </c:pt>
                <c:pt idx="248">
                  <c:v>-0.000669404296004483</c:v>
                </c:pt>
                <c:pt idx="249">
                  <c:v>-0.000666020643527943</c:v>
                </c:pt>
                <c:pt idx="250">
                  <c:v>-0.000657467341875107</c:v>
                </c:pt>
                <c:pt idx="251">
                  <c:v>-0.00065693876407924</c:v>
                </c:pt>
                <c:pt idx="252">
                  <c:v>-0.000655449549465614</c:v>
                </c:pt>
                <c:pt idx="253">
                  <c:v>-0.000654444197574988</c:v>
                </c:pt>
                <c:pt idx="254">
                  <c:v>-0.000651308471843692</c:v>
                </c:pt>
                <c:pt idx="255">
                  <c:v>-0.000647180498764444</c:v>
                </c:pt>
                <c:pt idx="256">
                  <c:v>-0.000646921306491355</c:v>
                </c:pt>
                <c:pt idx="257">
                  <c:v>-0.000642768213629963</c:v>
                </c:pt>
                <c:pt idx="258">
                  <c:v>-0.000641068583375093</c:v>
                </c:pt>
                <c:pt idx="259">
                  <c:v>-0.000638101025577265</c:v>
                </c:pt>
                <c:pt idx="260">
                  <c:v>-0.000631647423424364</c:v>
                </c:pt>
                <c:pt idx="261">
                  <c:v>-0.000629583667891343</c:v>
                </c:pt>
                <c:pt idx="262">
                  <c:v>-0.000626043301186874</c:v>
                </c:pt>
                <c:pt idx="263">
                  <c:v>-0.000615105577846054</c:v>
                </c:pt>
                <c:pt idx="264">
                  <c:v>-0.00061243935554911</c:v>
                </c:pt>
                <c:pt idx="265">
                  <c:v>-0.000612189233640148</c:v>
                </c:pt>
                <c:pt idx="266">
                  <c:v>-0.000611724865569374</c:v>
                </c:pt>
                <c:pt idx="267">
                  <c:v>-0.000610736543212753</c:v>
                </c:pt>
                <c:pt idx="268">
                  <c:v>-0.000608607737226152</c:v>
                </c:pt>
                <c:pt idx="269">
                  <c:v>-0.000602612683877735</c:v>
                </c:pt>
                <c:pt idx="270">
                  <c:v>-0.000590480774909863</c:v>
                </c:pt>
                <c:pt idx="271">
                  <c:v>-0.000587332600639923</c:v>
                </c:pt>
                <c:pt idx="272">
                  <c:v>-0.000580059065289795</c:v>
                </c:pt>
                <c:pt idx="273">
                  <c:v>-0.000572955595458558</c:v>
                </c:pt>
                <c:pt idx="274">
                  <c:v>-0.00056843958936581</c:v>
                </c:pt>
                <c:pt idx="275">
                  <c:v>-0.000566437565942879</c:v>
                </c:pt>
                <c:pt idx="276">
                  <c:v>-0.000564705158343837</c:v>
                </c:pt>
                <c:pt idx="277">
                  <c:v>-0.00055278834704886</c:v>
                </c:pt>
                <c:pt idx="278">
                  <c:v>-0.000552041537528636</c:v>
                </c:pt>
                <c:pt idx="279">
                  <c:v>-0.000547122353045548</c:v>
                </c:pt>
                <c:pt idx="280">
                  <c:v>-0.00054400194985238</c:v>
                </c:pt>
                <c:pt idx="281">
                  <c:v>-0.000538623222938517</c:v>
                </c:pt>
                <c:pt idx="282">
                  <c:v>-0.000528214982514208</c:v>
                </c:pt>
                <c:pt idx="283">
                  <c:v>-0.000528043729244088</c:v>
                </c:pt>
                <c:pt idx="284">
                  <c:v>-0.0005279188752636</c:v>
                </c:pt>
                <c:pt idx="285">
                  <c:v>-0.000519880887574487</c:v>
                </c:pt>
                <c:pt idx="286">
                  <c:v>-0.000518958654947777</c:v>
                </c:pt>
                <c:pt idx="287">
                  <c:v>-0.000517887945973183</c:v>
                </c:pt>
                <c:pt idx="288">
                  <c:v>-0.000517400731332329</c:v>
                </c:pt>
                <c:pt idx="289">
                  <c:v>-0.000511457787571557</c:v>
                </c:pt>
                <c:pt idx="290">
                  <c:v>-0.000509368858554238</c:v>
                </c:pt>
                <c:pt idx="291">
                  <c:v>-0.000507358689627591</c:v>
                </c:pt>
                <c:pt idx="292">
                  <c:v>-0.00050678237980617</c:v>
                </c:pt>
                <c:pt idx="293">
                  <c:v>-0.000501344509786783</c:v>
                </c:pt>
                <c:pt idx="294">
                  <c:v>-0.00049599689141655</c:v>
                </c:pt>
                <c:pt idx="295">
                  <c:v>-0.000495770603684775</c:v>
                </c:pt>
                <c:pt idx="296">
                  <c:v>-0.000495458177748542</c:v>
                </c:pt>
                <c:pt idx="297">
                  <c:v>-0.000487405827558796</c:v>
                </c:pt>
                <c:pt idx="298">
                  <c:v>-0.000483890418363719</c:v>
                </c:pt>
                <c:pt idx="299">
                  <c:v>-0.00047916653496205</c:v>
                </c:pt>
                <c:pt idx="300">
                  <c:v>-0.000475615224972858</c:v>
                </c:pt>
                <c:pt idx="301">
                  <c:v>-0.000475551145073694</c:v>
                </c:pt>
                <c:pt idx="302">
                  <c:v>-0.000473778341847031</c:v>
                </c:pt>
                <c:pt idx="303">
                  <c:v>-0.00047172347440616</c:v>
                </c:pt>
                <c:pt idx="304">
                  <c:v>-0.000470716185701603</c:v>
                </c:pt>
                <c:pt idx="305">
                  <c:v>-0.000469157968034595</c:v>
                </c:pt>
                <c:pt idx="306">
                  <c:v>-0.000462917614204139</c:v>
                </c:pt>
                <c:pt idx="307">
                  <c:v>-0.000461589181700806</c:v>
                </c:pt>
                <c:pt idx="308">
                  <c:v>-0.000456906741761909</c:v>
                </c:pt>
                <c:pt idx="309">
                  <c:v>-0.000455723204238034</c:v>
                </c:pt>
                <c:pt idx="310">
                  <c:v>-0.000455209461300177</c:v>
                </c:pt>
                <c:pt idx="311">
                  <c:v>-0.000453975108064109</c:v>
                </c:pt>
                <c:pt idx="312">
                  <c:v>-0.000453549715144996</c:v>
                </c:pt>
                <c:pt idx="313">
                  <c:v>-0.000447971208750508</c:v>
                </c:pt>
                <c:pt idx="314">
                  <c:v>-0.000446443782664341</c:v>
                </c:pt>
                <c:pt idx="315">
                  <c:v>-0.000445737663554602</c:v>
                </c:pt>
                <c:pt idx="316">
                  <c:v>-0.000442051958711387</c:v>
                </c:pt>
                <c:pt idx="317">
                  <c:v>-0.00043742216349385</c:v>
                </c:pt>
                <c:pt idx="318">
                  <c:v>-0.0004292977454744</c:v>
                </c:pt>
                <c:pt idx="319">
                  <c:v>-0.000429264814008512</c:v>
                </c:pt>
                <c:pt idx="320">
                  <c:v>-0.000427447326856401</c:v>
                </c:pt>
                <c:pt idx="321">
                  <c:v>-0.00042338542860243</c:v>
                </c:pt>
                <c:pt idx="322">
                  <c:v>-0.000422800467472895</c:v>
                </c:pt>
                <c:pt idx="323">
                  <c:v>-0.00041899743235041</c:v>
                </c:pt>
                <c:pt idx="324">
                  <c:v>-0.000417438324705643</c:v>
                </c:pt>
                <c:pt idx="325">
                  <c:v>-0.000417402268225175</c:v>
                </c:pt>
                <c:pt idx="326">
                  <c:v>-0.000413177328637104</c:v>
                </c:pt>
                <c:pt idx="327">
                  <c:v>-0.000412374784320213</c:v>
                </c:pt>
                <c:pt idx="328">
                  <c:v>-0.0004100146858248</c:v>
                </c:pt>
                <c:pt idx="329">
                  <c:v>-0.000409733488470954</c:v>
                </c:pt>
                <c:pt idx="330">
                  <c:v>-0.000409699347729053</c:v>
                </c:pt>
                <c:pt idx="331">
                  <c:v>-0.000408332090353514</c:v>
                </c:pt>
                <c:pt idx="332">
                  <c:v>-0.000407326599404123</c:v>
                </c:pt>
                <c:pt idx="333">
                  <c:v>-0.000406173028754453</c:v>
                </c:pt>
                <c:pt idx="334">
                  <c:v>-0.000404099110748457</c:v>
                </c:pt>
                <c:pt idx="335">
                  <c:v>-0.000397356219496103</c:v>
                </c:pt>
                <c:pt idx="336">
                  <c:v>-0.000394677444521596</c:v>
                </c:pt>
                <c:pt idx="337">
                  <c:v>-0.000394674347403035</c:v>
                </c:pt>
                <c:pt idx="338">
                  <c:v>-0.000386757320398168</c:v>
                </c:pt>
                <c:pt idx="339">
                  <c:v>-0.00038542272171882</c:v>
                </c:pt>
                <c:pt idx="340">
                  <c:v>-0.000380822169662509</c:v>
                </c:pt>
                <c:pt idx="341">
                  <c:v>-0.000378449770388922</c:v>
                </c:pt>
                <c:pt idx="342">
                  <c:v>-0.000374344426630091</c:v>
                </c:pt>
                <c:pt idx="343">
                  <c:v>-0.000371955768358356</c:v>
                </c:pt>
                <c:pt idx="344">
                  <c:v>-0.000369695381214674</c:v>
                </c:pt>
                <c:pt idx="345">
                  <c:v>-0.000365566579232923</c:v>
                </c:pt>
                <c:pt idx="346">
                  <c:v>-0.000364101016563922</c:v>
                </c:pt>
                <c:pt idx="347">
                  <c:v>-0.000362761007468682</c:v>
                </c:pt>
                <c:pt idx="348">
                  <c:v>-0.000351195537884763</c:v>
                </c:pt>
                <c:pt idx="349">
                  <c:v>-0.000350125427433623</c:v>
                </c:pt>
                <c:pt idx="350">
                  <c:v>-0.000348893220712743</c:v>
                </c:pt>
                <c:pt idx="351">
                  <c:v>-0.000348479324572493</c:v>
                </c:pt>
                <c:pt idx="352">
                  <c:v>-0.000345537850625077</c:v>
                </c:pt>
                <c:pt idx="353">
                  <c:v>-0.000343438872995927</c:v>
                </c:pt>
                <c:pt idx="354">
                  <c:v>-0.000342006551929397</c:v>
                </c:pt>
                <c:pt idx="355">
                  <c:v>-0.000340759893243225</c:v>
                </c:pt>
                <c:pt idx="356">
                  <c:v>-0.000338422981599806</c:v>
                </c:pt>
                <c:pt idx="357">
                  <c:v>-0.00033010797486055</c:v>
                </c:pt>
                <c:pt idx="358">
                  <c:v>-0.000330078007744095</c:v>
                </c:pt>
                <c:pt idx="359">
                  <c:v>-0.000329094989384382</c:v>
                </c:pt>
                <c:pt idx="360">
                  <c:v>-0.000326088239123612</c:v>
                </c:pt>
                <c:pt idx="361">
                  <c:v>-0.000309447563600296</c:v>
                </c:pt>
                <c:pt idx="362">
                  <c:v>-0.000294016554567178</c:v>
                </c:pt>
                <c:pt idx="363">
                  <c:v>-0.000291827880237738</c:v>
                </c:pt>
                <c:pt idx="364">
                  <c:v>-0.000291130953869345</c:v>
                </c:pt>
                <c:pt idx="365">
                  <c:v>-0.000285230437424233</c:v>
                </c:pt>
                <c:pt idx="366">
                  <c:v>-0.000283443494577651</c:v>
                </c:pt>
                <c:pt idx="367">
                  <c:v>-0.000282308464410463</c:v>
                </c:pt>
                <c:pt idx="368">
                  <c:v>-0.000279811411952102</c:v>
                </c:pt>
                <c:pt idx="369">
                  <c:v>-0.000279281839816958</c:v>
                </c:pt>
                <c:pt idx="370">
                  <c:v>-0.000277067417919774</c:v>
                </c:pt>
                <c:pt idx="371">
                  <c:v>-0.000269874158609573</c:v>
                </c:pt>
                <c:pt idx="372">
                  <c:v>-0.000269055491459502</c:v>
                </c:pt>
                <c:pt idx="373">
                  <c:v>-0.000268758989859008</c:v>
                </c:pt>
                <c:pt idx="374">
                  <c:v>-0.000267958882026353</c:v>
                </c:pt>
                <c:pt idx="375">
                  <c:v>-0.000265506475789601</c:v>
                </c:pt>
                <c:pt idx="376">
                  <c:v>-0.000264438536576983</c:v>
                </c:pt>
                <c:pt idx="377">
                  <c:v>-0.000262242757484321</c:v>
                </c:pt>
                <c:pt idx="378">
                  <c:v>-0.00026214311822248</c:v>
                </c:pt>
                <c:pt idx="379">
                  <c:v>-0.000260879296305583</c:v>
                </c:pt>
                <c:pt idx="380">
                  <c:v>-0.000255661746834002</c:v>
                </c:pt>
                <c:pt idx="381">
                  <c:v>-0.000253780977195306</c:v>
                </c:pt>
                <c:pt idx="382">
                  <c:v>-0.000253637390058348</c:v>
                </c:pt>
                <c:pt idx="383">
                  <c:v>-0.000249245461221848</c:v>
                </c:pt>
                <c:pt idx="384">
                  <c:v>-0.000248265277308368</c:v>
                </c:pt>
                <c:pt idx="385">
                  <c:v>-0.000244577366435017</c:v>
                </c:pt>
                <c:pt idx="386">
                  <c:v>-0.000239167240592475</c:v>
                </c:pt>
                <c:pt idx="387">
                  <c:v>-0.000236391787201695</c:v>
                </c:pt>
                <c:pt idx="388">
                  <c:v>-0.000235019994889285</c:v>
                </c:pt>
                <c:pt idx="389">
                  <c:v>-0.000229457042205783</c:v>
                </c:pt>
                <c:pt idx="390">
                  <c:v>-0.000228611534596301</c:v>
                </c:pt>
                <c:pt idx="391">
                  <c:v>-0.000218157718534173</c:v>
                </c:pt>
                <c:pt idx="392">
                  <c:v>-0.000217697599548483</c:v>
                </c:pt>
                <c:pt idx="393">
                  <c:v>-0.000215270150935476</c:v>
                </c:pt>
                <c:pt idx="394">
                  <c:v>-0.000214182461022783</c:v>
                </c:pt>
                <c:pt idx="395">
                  <c:v>-0.000214146272785709</c:v>
                </c:pt>
                <c:pt idx="396">
                  <c:v>-0.000212989290938048</c:v>
                </c:pt>
                <c:pt idx="397">
                  <c:v>-0.000212139313625626</c:v>
                </c:pt>
                <c:pt idx="398">
                  <c:v>-0.000209502091760738</c:v>
                </c:pt>
                <c:pt idx="399">
                  <c:v>-0.000207746351190474</c:v>
                </c:pt>
                <c:pt idx="400">
                  <c:v>-0.000206291998777974</c:v>
                </c:pt>
                <c:pt idx="401">
                  <c:v>-0.000204092382026566</c:v>
                </c:pt>
                <c:pt idx="402">
                  <c:v>-0.000199814029335332</c:v>
                </c:pt>
                <c:pt idx="403">
                  <c:v>-0.000197788010791844</c:v>
                </c:pt>
                <c:pt idx="404">
                  <c:v>-0.000191799937306225</c:v>
                </c:pt>
                <c:pt idx="405">
                  <c:v>-0.000189972496003055</c:v>
                </c:pt>
                <c:pt idx="406">
                  <c:v>-0.000186575050907578</c:v>
                </c:pt>
                <c:pt idx="407">
                  <c:v>-0.000183136972180087</c:v>
                </c:pt>
                <c:pt idx="408">
                  <c:v>-0.000183093618883579</c:v>
                </c:pt>
                <c:pt idx="409">
                  <c:v>-0.000181847660803314</c:v>
                </c:pt>
                <c:pt idx="410">
                  <c:v>-0.000181279649976607</c:v>
                </c:pt>
                <c:pt idx="411">
                  <c:v>-0.000180496649826667</c:v>
                </c:pt>
                <c:pt idx="412">
                  <c:v>-0.000175145839282798</c:v>
                </c:pt>
                <c:pt idx="413">
                  <c:v>-0.000174640673465398</c:v>
                </c:pt>
                <c:pt idx="414">
                  <c:v>-0.000172970214511015</c:v>
                </c:pt>
                <c:pt idx="415">
                  <c:v>-0.000170811271693383</c:v>
                </c:pt>
                <c:pt idx="416">
                  <c:v>-0.000169807771439823</c:v>
                </c:pt>
                <c:pt idx="417">
                  <c:v>-0.000165952471834707</c:v>
                </c:pt>
                <c:pt idx="418">
                  <c:v>-0.000164957781747077</c:v>
                </c:pt>
                <c:pt idx="419">
                  <c:v>-0.000164212977358136</c:v>
                </c:pt>
                <c:pt idx="420">
                  <c:v>-0.000163608087910938</c:v>
                </c:pt>
                <c:pt idx="421">
                  <c:v>-0.000160347754356582</c:v>
                </c:pt>
                <c:pt idx="422">
                  <c:v>-0.000159900180559225</c:v>
                </c:pt>
                <c:pt idx="423">
                  <c:v>-0.000158819845446301</c:v>
                </c:pt>
                <c:pt idx="424">
                  <c:v>-0.00015847545466019</c:v>
                </c:pt>
                <c:pt idx="425">
                  <c:v>-0.000156097000261424</c:v>
                </c:pt>
                <c:pt idx="426">
                  <c:v>-0.00014439906864061</c:v>
                </c:pt>
                <c:pt idx="427">
                  <c:v>-0.000140144829489541</c:v>
                </c:pt>
                <c:pt idx="428">
                  <c:v>-0.000132964488624543</c:v>
                </c:pt>
                <c:pt idx="429">
                  <c:v>-0.000132770390916082</c:v>
                </c:pt>
                <c:pt idx="430">
                  <c:v>-0.000131377508983066</c:v>
                </c:pt>
                <c:pt idx="431">
                  <c:v>-0.000129543122637688</c:v>
                </c:pt>
                <c:pt idx="432">
                  <c:v>-0.000127857958503674</c:v>
                </c:pt>
                <c:pt idx="433">
                  <c:v>-0.00012623806572043</c:v>
                </c:pt>
                <c:pt idx="434">
                  <c:v>-0.00012513699737049</c:v>
                </c:pt>
                <c:pt idx="435">
                  <c:v>-0.000121790575143388</c:v>
                </c:pt>
                <c:pt idx="436">
                  <c:v>-0.000120891841840387</c:v>
                </c:pt>
                <c:pt idx="437">
                  <c:v>-0.000119346346930227</c:v>
                </c:pt>
                <c:pt idx="438">
                  <c:v>-0.000119169775001593</c:v>
                </c:pt>
                <c:pt idx="439">
                  <c:v>-0.000118350914956378</c:v>
                </c:pt>
                <c:pt idx="440">
                  <c:v>-0.000117346157344045</c:v>
                </c:pt>
                <c:pt idx="441">
                  <c:v>-0.000117278579918056</c:v>
                </c:pt>
                <c:pt idx="442">
                  <c:v>-0.000114866179645179</c:v>
                </c:pt>
                <c:pt idx="443">
                  <c:v>-0.000110328858176856</c:v>
                </c:pt>
                <c:pt idx="444">
                  <c:v>-0.000108087681649605</c:v>
                </c:pt>
                <c:pt idx="445">
                  <c:v>-0.00010255191089048</c:v>
                </c:pt>
                <c:pt idx="446">
                  <c:v>-9.84150978152742E-005</c:v>
                </c:pt>
                <c:pt idx="447">
                  <c:v>-9.83397448822698E-005</c:v>
                </c:pt>
                <c:pt idx="448">
                  <c:v>-9.61069871324716E-005</c:v>
                </c:pt>
                <c:pt idx="449">
                  <c:v>-9.51011855971906E-005</c:v>
                </c:pt>
                <c:pt idx="450">
                  <c:v>-9.40509603953865E-005</c:v>
                </c:pt>
                <c:pt idx="451">
                  <c:v>-8.82909615477212E-005</c:v>
                </c:pt>
                <c:pt idx="452">
                  <c:v>-8.70673082077333E-005</c:v>
                </c:pt>
                <c:pt idx="453">
                  <c:v>-8.62358301317867E-005</c:v>
                </c:pt>
                <c:pt idx="454">
                  <c:v>-8.59594624524895E-005</c:v>
                </c:pt>
                <c:pt idx="455">
                  <c:v>-8.46465594057655E-005</c:v>
                </c:pt>
                <c:pt idx="456">
                  <c:v>-8.3335918034444E-005</c:v>
                </c:pt>
                <c:pt idx="457">
                  <c:v>-7.78909283103424E-005</c:v>
                </c:pt>
                <c:pt idx="458">
                  <c:v>-7.78662790332785E-005</c:v>
                </c:pt>
                <c:pt idx="459">
                  <c:v>-7.71643587705873E-005</c:v>
                </c:pt>
                <c:pt idx="460">
                  <c:v>-7.35342780778803E-005</c:v>
                </c:pt>
                <c:pt idx="461">
                  <c:v>-7.13762870530044E-005</c:v>
                </c:pt>
                <c:pt idx="462">
                  <c:v>-6.95850437703038E-005</c:v>
                </c:pt>
                <c:pt idx="463">
                  <c:v>-6.53696778498691E-005</c:v>
                </c:pt>
                <c:pt idx="464">
                  <c:v>-6.52892577859277E-005</c:v>
                </c:pt>
                <c:pt idx="465">
                  <c:v>-6.34105110565164E-005</c:v>
                </c:pt>
                <c:pt idx="466">
                  <c:v>-6.19877586316431E-005</c:v>
                </c:pt>
                <c:pt idx="467">
                  <c:v>-6.07246309731746E-005</c:v>
                </c:pt>
                <c:pt idx="468">
                  <c:v>-6.02231039068535E-005</c:v>
                </c:pt>
                <c:pt idx="469">
                  <c:v>-5.87218391423505E-005</c:v>
                </c:pt>
                <c:pt idx="470">
                  <c:v>-5.80649643578957E-005</c:v>
                </c:pt>
                <c:pt idx="471">
                  <c:v>-5.69817741666867E-005</c:v>
                </c:pt>
                <c:pt idx="472">
                  <c:v>-5.65455006215077E-005</c:v>
                </c:pt>
                <c:pt idx="473">
                  <c:v>-5.6074379681581E-005</c:v>
                </c:pt>
                <c:pt idx="474">
                  <c:v>-5.35924328880499E-005</c:v>
                </c:pt>
                <c:pt idx="475">
                  <c:v>-4.90265581795102E-005</c:v>
                </c:pt>
                <c:pt idx="476">
                  <c:v>-4.78056721268105E-005</c:v>
                </c:pt>
                <c:pt idx="477">
                  <c:v>-4.77332681840803E-005</c:v>
                </c:pt>
                <c:pt idx="478">
                  <c:v>-4.48227600654549E-005</c:v>
                </c:pt>
                <c:pt idx="479">
                  <c:v>-4.37903589444177E-005</c:v>
                </c:pt>
                <c:pt idx="480">
                  <c:v>-4.14351188847695E-005</c:v>
                </c:pt>
                <c:pt idx="481">
                  <c:v>-4.07268333192379E-005</c:v>
                </c:pt>
                <c:pt idx="482">
                  <c:v>-3.79222937230139E-005</c:v>
                </c:pt>
                <c:pt idx="483">
                  <c:v>-3.6996574684145E-005</c:v>
                </c:pt>
                <c:pt idx="484">
                  <c:v>-3.50287164132546E-005</c:v>
                </c:pt>
                <c:pt idx="485">
                  <c:v>-3.39455277120759E-005</c:v>
                </c:pt>
                <c:pt idx="486">
                  <c:v>-3.2945038714316E-005</c:v>
                </c:pt>
                <c:pt idx="487">
                  <c:v>-3.24367636260758E-005</c:v>
                </c:pt>
                <c:pt idx="488">
                  <c:v>-3.19284553402799E-005</c:v>
                </c:pt>
                <c:pt idx="489">
                  <c:v>-2.43444998455633E-005</c:v>
                </c:pt>
                <c:pt idx="490">
                  <c:v>-2.07862416602422E-005</c:v>
                </c:pt>
                <c:pt idx="491">
                  <c:v>-1.91014394448352E-005</c:v>
                </c:pt>
                <c:pt idx="492">
                  <c:v>-1.87362593258023E-005</c:v>
                </c:pt>
                <c:pt idx="493">
                  <c:v>-1.78148990557236E-005</c:v>
                </c:pt>
                <c:pt idx="494">
                  <c:v>-1.70645750984244E-005</c:v>
                </c:pt>
                <c:pt idx="495">
                  <c:v>-1.68900392881755E-005</c:v>
                </c:pt>
                <c:pt idx="496">
                  <c:v>-1.42415335526724E-005</c:v>
                </c:pt>
                <c:pt idx="497">
                  <c:v>-1.21644111501507E-005</c:v>
                </c:pt>
                <c:pt idx="498">
                  <c:v>-1.08821040597507E-005</c:v>
                </c:pt>
                <c:pt idx="499">
                  <c:v>-1.06040138776464E-005</c:v>
                </c:pt>
                <c:pt idx="500">
                  <c:v>-8.12250669057768E-006</c:v>
                </c:pt>
                <c:pt idx="501">
                  <c:v>-5.57313722515662E-006</c:v>
                </c:pt>
                <c:pt idx="502">
                  <c:v>-2.12498362073266E-006</c:v>
                </c:pt>
                <c:pt idx="503">
                  <c:v>1.34361425518925E-006</c:v>
                </c:pt>
                <c:pt idx="504">
                  <c:v>1.88116651034242E-006</c:v>
                </c:pt>
                <c:pt idx="505">
                  <c:v>6.56295889767122E-006</c:v>
                </c:pt>
                <c:pt idx="506">
                  <c:v>8.1835244958306E-006</c:v>
                </c:pt>
                <c:pt idx="507">
                  <c:v>8.19695750298166E-006</c:v>
                </c:pt>
                <c:pt idx="508">
                  <c:v>8.67228717038593E-006</c:v>
                </c:pt>
                <c:pt idx="509">
                  <c:v>1.14720898896081E-005</c:v>
                </c:pt>
                <c:pt idx="510">
                  <c:v>1.321993842196E-005</c:v>
                </c:pt>
                <c:pt idx="511">
                  <c:v>1.48255186225299E-005</c:v>
                </c:pt>
                <c:pt idx="512">
                  <c:v>1.51587090739813E-005</c:v>
                </c:pt>
                <c:pt idx="513">
                  <c:v>2.32102251376265E-005</c:v>
                </c:pt>
                <c:pt idx="514">
                  <c:v>2.32348764870327E-005</c:v>
                </c:pt>
                <c:pt idx="515">
                  <c:v>2.59728155820316E-005</c:v>
                </c:pt>
                <c:pt idx="516">
                  <c:v>2.66420213974605E-005</c:v>
                </c:pt>
                <c:pt idx="517">
                  <c:v>2.67270031011346E-005</c:v>
                </c:pt>
                <c:pt idx="518">
                  <c:v>2.75185640656872E-005</c:v>
                </c:pt>
                <c:pt idx="519">
                  <c:v>2.9433144193014E-005</c:v>
                </c:pt>
                <c:pt idx="520">
                  <c:v>3.11775238999168E-005</c:v>
                </c:pt>
                <c:pt idx="521">
                  <c:v>3.23568594557955E-005</c:v>
                </c:pt>
                <c:pt idx="522">
                  <c:v>3.45999790591911E-005</c:v>
                </c:pt>
                <c:pt idx="523">
                  <c:v>3.71682159341358E-005</c:v>
                </c:pt>
                <c:pt idx="524">
                  <c:v>3.7253606548715E-005</c:v>
                </c:pt>
                <c:pt idx="525">
                  <c:v>3.80044671697277E-005</c:v>
                </c:pt>
                <c:pt idx="526">
                  <c:v>4.05216516572438E-005</c:v>
                </c:pt>
                <c:pt idx="527">
                  <c:v>4.16845805195631E-005</c:v>
                </c:pt>
                <c:pt idx="528">
                  <c:v>4.38057105838219E-005</c:v>
                </c:pt>
                <c:pt idx="529">
                  <c:v>4.63324334709636E-005</c:v>
                </c:pt>
                <c:pt idx="530">
                  <c:v>5.48104451749687E-005</c:v>
                </c:pt>
                <c:pt idx="531">
                  <c:v>5.5207477208219E-005</c:v>
                </c:pt>
                <c:pt idx="532">
                  <c:v>5.71619796900791E-005</c:v>
                </c:pt>
                <c:pt idx="533">
                  <c:v>5.73147561651055E-005</c:v>
                </c:pt>
                <c:pt idx="534">
                  <c:v>5.83918540966177E-005</c:v>
                </c:pt>
                <c:pt idx="535">
                  <c:v>5.93086128446441E-005</c:v>
                </c:pt>
                <c:pt idx="536">
                  <c:v>6.09118497809646E-005</c:v>
                </c:pt>
                <c:pt idx="537">
                  <c:v>6.61610011292169E-005</c:v>
                </c:pt>
                <c:pt idx="538">
                  <c:v>6.73849202017518E-005</c:v>
                </c:pt>
                <c:pt idx="539">
                  <c:v>6.7632588305333E-005</c:v>
                </c:pt>
                <c:pt idx="540">
                  <c:v>6.83468937321408E-005</c:v>
                </c:pt>
                <c:pt idx="541">
                  <c:v>7.41187730310955E-005</c:v>
                </c:pt>
                <c:pt idx="542">
                  <c:v>7.67172144111594E-005</c:v>
                </c:pt>
                <c:pt idx="543">
                  <c:v>7.96813040395694E-005</c:v>
                </c:pt>
                <c:pt idx="544">
                  <c:v>9.31146005573869E-005</c:v>
                </c:pt>
                <c:pt idx="545">
                  <c:v>0.000100639967808291</c:v>
                </c:pt>
                <c:pt idx="546">
                  <c:v>0.000100827713540363</c:v>
                </c:pt>
                <c:pt idx="547">
                  <c:v>0.000101056883222039</c:v>
                </c:pt>
                <c:pt idx="548">
                  <c:v>0.000101938387599088</c:v>
                </c:pt>
                <c:pt idx="549">
                  <c:v>0.000102014219061086</c:v>
                </c:pt>
                <c:pt idx="550">
                  <c:v>0.000102935289285178</c:v>
                </c:pt>
                <c:pt idx="551">
                  <c:v>0.00010369919040909</c:v>
                </c:pt>
                <c:pt idx="552">
                  <c:v>0.000104038476253177</c:v>
                </c:pt>
                <c:pt idx="553">
                  <c:v>0.000104585749114872</c:v>
                </c:pt>
                <c:pt idx="554">
                  <c:v>0.000105288792180636</c:v>
                </c:pt>
                <c:pt idx="555">
                  <c:v>0.000105809679440405</c:v>
                </c:pt>
                <c:pt idx="556">
                  <c:v>0.000106848048045061</c:v>
                </c:pt>
                <c:pt idx="557">
                  <c:v>0.000108997772098718</c:v>
                </c:pt>
                <c:pt idx="558">
                  <c:v>0.000113427204528449</c:v>
                </c:pt>
                <c:pt idx="559">
                  <c:v>0.000118100582547909</c:v>
                </c:pt>
                <c:pt idx="560">
                  <c:v>0.00011950021827567</c:v>
                </c:pt>
                <c:pt idx="561">
                  <c:v>0.000125231287739558</c:v>
                </c:pt>
                <c:pt idx="562">
                  <c:v>0.000125826819758812</c:v>
                </c:pt>
                <c:pt idx="563">
                  <c:v>0.000126934013617186</c:v>
                </c:pt>
                <c:pt idx="564">
                  <c:v>0.0001293549424497</c:v>
                </c:pt>
                <c:pt idx="565">
                  <c:v>0.000133105108225839</c:v>
                </c:pt>
                <c:pt idx="566">
                  <c:v>0.000134089106689217</c:v>
                </c:pt>
                <c:pt idx="567">
                  <c:v>0.000135604279701163</c:v>
                </c:pt>
                <c:pt idx="568">
                  <c:v>0.000138323988113642</c:v>
                </c:pt>
                <c:pt idx="569">
                  <c:v>0.000139356464731844</c:v>
                </c:pt>
                <c:pt idx="570">
                  <c:v>0.000140811085537429</c:v>
                </c:pt>
                <c:pt idx="571">
                  <c:v>0.000140849803077936</c:v>
                </c:pt>
                <c:pt idx="572">
                  <c:v>0.000140895761907345</c:v>
                </c:pt>
                <c:pt idx="573">
                  <c:v>0.000145993803825961</c:v>
                </c:pt>
                <c:pt idx="574">
                  <c:v>0.000152677596164885</c:v>
                </c:pt>
                <c:pt idx="575">
                  <c:v>0.000155249816608638</c:v>
                </c:pt>
                <c:pt idx="576">
                  <c:v>0.00015904055463789</c:v>
                </c:pt>
                <c:pt idx="577">
                  <c:v>0.000159192299708399</c:v>
                </c:pt>
                <c:pt idx="578">
                  <c:v>0.000159314963623869</c:v>
                </c:pt>
                <c:pt idx="579">
                  <c:v>0.000165747367146585</c:v>
                </c:pt>
                <c:pt idx="580">
                  <c:v>0.000166024658873498</c:v>
                </c:pt>
                <c:pt idx="581">
                  <c:v>0.000166911702775163</c:v>
                </c:pt>
                <c:pt idx="582">
                  <c:v>0.000170836102666438</c:v>
                </c:pt>
                <c:pt idx="583">
                  <c:v>0.000172310848246093</c:v>
                </c:pt>
                <c:pt idx="584">
                  <c:v>0.000173441977600719</c:v>
                </c:pt>
                <c:pt idx="585">
                  <c:v>0.000174796209959194</c:v>
                </c:pt>
                <c:pt idx="586">
                  <c:v>0.00017489423461492</c:v>
                </c:pt>
                <c:pt idx="587">
                  <c:v>0.000178765237498713</c:v>
                </c:pt>
                <c:pt idx="588">
                  <c:v>0.000179037183056785</c:v>
                </c:pt>
                <c:pt idx="589">
                  <c:v>0.000179312700626655</c:v>
                </c:pt>
                <c:pt idx="590">
                  <c:v>0.000180250647530356</c:v>
                </c:pt>
                <c:pt idx="591">
                  <c:v>0.000180617424873075</c:v>
                </c:pt>
                <c:pt idx="592">
                  <c:v>0.000181112266034678</c:v>
                </c:pt>
                <c:pt idx="593">
                  <c:v>0.000186720207347113</c:v>
                </c:pt>
                <c:pt idx="594">
                  <c:v>0.000187048248232236</c:v>
                </c:pt>
                <c:pt idx="595">
                  <c:v>0.000188392796822923</c:v>
                </c:pt>
                <c:pt idx="596">
                  <c:v>0.00018868819120299</c:v>
                </c:pt>
                <c:pt idx="597">
                  <c:v>0.000190121217842121</c:v>
                </c:pt>
                <c:pt idx="598">
                  <c:v>0.000191241345961268</c:v>
                </c:pt>
                <c:pt idx="599">
                  <c:v>0.000191970002783703</c:v>
                </c:pt>
                <c:pt idx="600">
                  <c:v>0.000197410621752381</c:v>
                </c:pt>
                <c:pt idx="601">
                  <c:v>0.00019943862369165</c:v>
                </c:pt>
                <c:pt idx="602">
                  <c:v>0.000199921159935501</c:v>
                </c:pt>
                <c:pt idx="603">
                  <c:v>0.000202483963200883</c:v>
                </c:pt>
                <c:pt idx="604">
                  <c:v>0.000202720684659541</c:v>
                </c:pt>
                <c:pt idx="605">
                  <c:v>0.000204828893944686</c:v>
                </c:pt>
                <c:pt idx="606">
                  <c:v>0.000207846986284066</c:v>
                </c:pt>
                <c:pt idx="607">
                  <c:v>0.000208572468305634</c:v>
                </c:pt>
                <c:pt idx="608">
                  <c:v>0.000214261260985449</c:v>
                </c:pt>
                <c:pt idx="609">
                  <c:v>0.000214471182714338</c:v>
                </c:pt>
                <c:pt idx="610">
                  <c:v>0.000219311855430338</c:v>
                </c:pt>
                <c:pt idx="611">
                  <c:v>0.000220708931366387</c:v>
                </c:pt>
                <c:pt idx="612">
                  <c:v>0.000225393151023434</c:v>
                </c:pt>
                <c:pt idx="613">
                  <c:v>0.000225901717385124</c:v>
                </c:pt>
                <c:pt idx="614">
                  <c:v>0.000227191473612054</c:v>
                </c:pt>
                <c:pt idx="615">
                  <c:v>0.000233781495233343</c:v>
                </c:pt>
                <c:pt idx="616">
                  <c:v>0.000237951145328319</c:v>
                </c:pt>
                <c:pt idx="617">
                  <c:v>0.000238293153098423</c:v>
                </c:pt>
                <c:pt idx="618">
                  <c:v>0.00023933481929217</c:v>
                </c:pt>
                <c:pt idx="619">
                  <c:v>0.000244904436482285</c:v>
                </c:pt>
                <c:pt idx="620">
                  <c:v>0.000247347799137376</c:v>
                </c:pt>
                <c:pt idx="621">
                  <c:v>0.000247843422072513</c:v>
                </c:pt>
                <c:pt idx="622">
                  <c:v>0.000251251238647443</c:v>
                </c:pt>
                <c:pt idx="623">
                  <c:v>0.000251500405556104</c:v>
                </c:pt>
                <c:pt idx="624">
                  <c:v>0.000253427370721759</c:v>
                </c:pt>
                <c:pt idx="625">
                  <c:v>0.000261343392722324</c:v>
                </c:pt>
                <c:pt idx="626">
                  <c:v>0.000264475248716867</c:v>
                </c:pt>
                <c:pt idx="627">
                  <c:v>0.000271018556090352</c:v>
                </c:pt>
                <c:pt idx="628">
                  <c:v>0.000271676498972306</c:v>
                </c:pt>
                <c:pt idx="629">
                  <c:v>0.000273017483058302</c:v>
                </c:pt>
                <c:pt idx="630">
                  <c:v>0.000275044542065617</c:v>
                </c:pt>
                <c:pt idx="631">
                  <c:v>0.000278124793800627</c:v>
                </c:pt>
                <c:pt idx="632">
                  <c:v>0.000280212901361043</c:v>
                </c:pt>
                <c:pt idx="633">
                  <c:v>0.000280710301432841</c:v>
                </c:pt>
                <c:pt idx="634">
                  <c:v>0.000282105357447326</c:v>
                </c:pt>
                <c:pt idx="635">
                  <c:v>0.000282320927886603</c:v>
                </c:pt>
                <c:pt idx="636">
                  <c:v>0.00028254624591284</c:v>
                </c:pt>
                <c:pt idx="637">
                  <c:v>0.000286715352247224</c:v>
                </c:pt>
                <c:pt idx="638">
                  <c:v>0.000288366743304014</c:v>
                </c:pt>
                <c:pt idx="639">
                  <c:v>0.000289651782900524</c:v>
                </c:pt>
                <c:pt idx="640">
                  <c:v>0.000293186113205612</c:v>
                </c:pt>
                <c:pt idx="641">
                  <c:v>0.000294560093067053</c:v>
                </c:pt>
                <c:pt idx="642">
                  <c:v>0.000297878349745151</c:v>
                </c:pt>
                <c:pt idx="643">
                  <c:v>0.000301877172305121</c:v>
                </c:pt>
                <c:pt idx="644">
                  <c:v>0.000305370810753436</c:v>
                </c:pt>
                <c:pt idx="645">
                  <c:v>0.000315751654564211</c:v>
                </c:pt>
                <c:pt idx="646">
                  <c:v>0.000318813924019556</c:v>
                </c:pt>
                <c:pt idx="647">
                  <c:v>0.000319037952631884</c:v>
                </c:pt>
                <c:pt idx="648">
                  <c:v>0.000320607777505755</c:v>
                </c:pt>
                <c:pt idx="649">
                  <c:v>0.000321325859045762</c:v>
                </c:pt>
                <c:pt idx="650">
                  <c:v>0.000325989632460111</c:v>
                </c:pt>
                <c:pt idx="651">
                  <c:v>0.000327286644017155</c:v>
                </c:pt>
                <c:pt idx="652">
                  <c:v>0.000327510658174823</c:v>
                </c:pt>
                <c:pt idx="653">
                  <c:v>0.000327678169951051</c:v>
                </c:pt>
                <c:pt idx="654">
                  <c:v>0.000328549221173091</c:v>
                </c:pt>
                <c:pt idx="655">
                  <c:v>0.000329889025097785</c:v>
                </c:pt>
                <c:pt idx="656">
                  <c:v>0.000331615891467463</c:v>
                </c:pt>
                <c:pt idx="657">
                  <c:v>0.00033727639427017</c:v>
                </c:pt>
                <c:pt idx="658">
                  <c:v>0.000341450716041525</c:v>
                </c:pt>
                <c:pt idx="659">
                  <c:v>0.000345572499385494</c:v>
                </c:pt>
                <c:pt idx="660">
                  <c:v>0.000351507269595874</c:v>
                </c:pt>
                <c:pt idx="661">
                  <c:v>0.000352177370296136</c:v>
                </c:pt>
                <c:pt idx="662">
                  <c:v>0.000354716157566326</c:v>
                </c:pt>
                <c:pt idx="663">
                  <c:v>0.000356734777246404</c:v>
                </c:pt>
                <c:pt idx="664">
                  <c:v>0.00035858721881743</c:v>
                </c:pt>
                <c:pt idx="665">
                  <c:v>0.000360030779313014</c:v>
                </c:pt>
                <c:pt idx="666">
                  <c:v>0.000362274743003876</c:v>
                </c:pt>
                <c:pt idx="667">
                  <c:v>0.000369620249679903</c:v>
                </c:pt>
                <c:pt idx="668">
                  <c:v>0.000373450876423265</c:v>
                </c:pt>
                <c:pt idx="669">
                  <c:v>0.000374526901615102</c:v>
                </c:pt>
                <c:pt idx="670">
                  <c:v>0.000377332040359502</c:v>
                </c:pt>
                <c:pt idx="671">
                  <c:v>0.000378373747093042</c:v>
                </c:pt>
                <c:pt idx="672">
                  <c:v>0.000380099564142533</c:v>
                </c:pt>
                <c:pt idx="673">
                  <c:v>0.000386585727225386</c:v>
                </c:pt>
                <c:pt idx="674">
                  <c:v>0.000388545927646256</c:v>
                </c:pt>
                <c:pt idx="675">
                  <c:v>0.000394055281483618</c:v>
                </c:pt>
                <c:pt idx="676">
                  <c:v>0.00039500103559198</c:v>
                </c:pt>
                <c:pt idx="677">
                  <c:v>0.000395097270480038</c:v>
                </c:pt>
                <c:pt idx="678">
                  <c:v>0.000403669496403136</c:v>
                </c:pt>
                <c:pt idx="679">
                  <c:v>0.000408703395298637</c:v>
                </c:pt>
                <c:pt idx="680">
                  <c:v>0.000408953683564084</c:v>
                </c:pt>
                <c:pt idx="681">
                  <c:v>0.000410278643858675</c:v>
                </c:pt>
                <c:pt idx="682">
                  <c:v>0.000410861809230445</c:v>
                </c:pt>
                <c:pt idx="683">
                  <c:v>0.000414577993682608</c:v>
                </c:pt>
                <c:pt idx="684">
                  <c:v>0.000417955966003802</c:v>
                </c:pt>
                <c:pt idx="685">
                  <c:v>0.000418964704318903</c:v>
                </c:pt>
                <c:pt idx="686">
                  <c:v>0.000423477682543805</c:v>
                </c:pt>
                <c:pt idx="687">
                  <c:v>0.000439264048729848</c:v>
                </c:pt>
                <c:pt idx="688">
                  <c:v>0.000442690347912444</c:v>
                </c:pt>
                <c:pt idx="689">
                  <c:v>0.000444270848725115</c:v>
                </c:pt>
                <c:pt idx="690">
                  <c:v>0.000448770288041356</c:v>
                </c:pt>
                <c:pt idx="691">
                  <c:v>0.000451876247760774</c:v>
                </c:pt>
                <c:pt idx="692">
                  <c:v>0.000454124717359505</c:v>
                </c:pt>
                <c:pt idx="693">
                  <c:v>0.000454332461996998</c:v>
                </c:pt>
                <c:pt idx="694">
                  <c:v>0.000458867352170156</c:v>
                </c:pt>
                <c:pt idx="695">
                  <c:v>0.000459068912602501</c:v>
                </c:pt>
                <c:pt idx="696">
                  <c:v>0.000460535693259212</c:v>
                </c:pt>
                <c:pt idx="697">
                  <c:v>0.000462389899331894</c:v>
                </c:pt>
                <c:pt idx="698">
                  <c:v>0.000465770294052481</c:v>
                </c:pt>
                <c:pt idx="699">
                  <c:v>0.000468894344841653</c:v>
                </c:pt>
                <c:pt idx="700">
                  <c:v>0.000475375235061248</c:v>
                </c:pt>
                <c:pt idx="701">
                  <c:v>0.0004761087243772</c:v>
                </c:pt>
                <c:pt idx="702">
                  <c:v>0.000484346522678925</c:v>
                </c:pt>
                <c:pt idx="703">
                  <c:v>0.00048895213526623</c:v>
                </c:pt>
                <c:pt idx="704">
                  <c:v>0.0004899619943739</c:v>
                </c:pt>
                <c:pt idx="705">
                  <c:v>0.000491019292753414</c:v>
                </c:pt>
                <c:pt idx="706">
                  <c:v>0.000495102576094864</c:v>
                </c:pt>
                <c:pt idx="707">
                  <c:v>0.000500427244500834</c:v>
                </c:pt>
                <c:pt idx="708">
                  <c:v>0.000507188855784602</c:v>
                </c:pt>
                <c:pt idx="709">
                  <c:v>0.000511903260778324</c:v>
                </c:pt>
                <c:pt idx="710">
                  <c:v>0.000514272226313395</c:v>
                </c:pt>
                <c:pt idx="711">
                  <c:v>0.00051465991707822</c:v>
                </c:pt>
                <c:pt idx="712">
                  <c:v>0.00051962841314479</c:v>
                </c:pt>
                <c:pt idx="713">
                  <c:v>0.000520111966359371</c:v>
                </c:pt>
                <c:pt idx="714">
                  <c:v>0.000524082211452503</c:v>
                </c:pt>
                <c:pt idx="715">
                  <c:v>0.000529457517833176</c:v>
                </c:pt>
                <c:pt idx="716">
                  <c:v>0.000538649953175652</c:v>
                </c:pt>
                <c:pt idx="717">
                  <c:v>0.000540396708853086</c:v>
                </c:pt>
                <c:pt idx="718">
                  <c:v>0.000540567580535889</c:v>
                </c:pt>
                <c:pt idx="719">
                  <c:v>0.000544601207675299</c:v>
                </c:pt>
                <c:pt idx="720">
                  <c:v>0.000553525964857693</c:v>
                </c:pt>
                <c:pt idx="721">
                  <c:v>0.000558358829094496</c:v>
                </c:pt>
                <c:pt idx="722">
                  <c:v>0.000562644395898149</c:v>
                </c:pt>
                <c:pt idx="723">
                  <c:v>0.000566300979697898</c:v>
                </c:pt>
                <c:pt idx="724">
                  <c:v>0.000567161429170904</c:v>
                </c:pt>
                <c:pt idx="725">
                  <c:v>0.000570105321662462</c:v>
                </c:pt>
                <c:pt idx="726">
                  <c:v>0.000571021324023535</c:v>
                </c:pt>
                <c:pt idx="727">
                  <c:v>0.000571835595618353</c:v>
                </c:pt>
                <c:pt idx="728">
                  <c:v>0.000577201533453975</c:v>
                </c:pt>
                <c:pt idx="729">
                  <c:v>0.000583638944375409</c:v>
                </c:pt>
                <c:pt idx="730">
                  <c:v>0.000585026772512487</c:v>
                </c:pt>
                <c:pt idx="731">
                  <c:v>0.000586570921150997</c:v>
                </c:pt>
                <c:pt idx="732">
                  <c:v>0.000594144258931229</c:v>
                </c:pt>
                <c:pt idx="733">
                  <c:v>0.000594493651856265</c:v>
                </c:pt>
                <c:pt idx="734">
                  <c:v>0.000596586940075916</c:v>
                </c:pt>
                <c:pt idx="735">
                  <c:v>0.000597905473828986</c:v>
                </c:pt>
                <c:pt idx="736">
                  <c:v>0.000601084717014366</c:v>
                </c:pt>
                <c:pt idx="737">
                  <c:v>0.000605162035743012</c:v>
                </c:pt>
                <c:pt idx="738">
                  <c:v>0.000606670705962653</c:v>
                </c:pt>
                <c:pt idx="739">
                  <c:v>0.000609595347545344</c:v>
                </c:pt>
                <c:pt idx="740">
                  <c:v>0.000612347903349075</c:v>
                </c:pt>
                <c:pt idx="741">
                  <c:v>0.000618831600200265</c:v>
                </c:pt>
                <c:pt idx="742">
                  <c:v>0.000623777521753466</c:v>
                </c:pt>
                <c:pt idx="743">
                  <c:v>0.000626864758444201</c:v>
                </c:pt>
                <c:pt idx="744">
                  <c:v>0.000630930790726181</c:v>
                </c:pt>
                <c:pt idx="745">
                  <c:v>0.000636536561425594</c:v>
                </c:pt>
                <c:pt idx="746">
                  <c:v>0.000643225801058689</c:v>
                </c:pt>
                <c:pt idx="747">
                  <c:v>0.000653433056692965</c:v>
                </c:pt>
                <c:pt idx="748">
                  <c:v>0.000654675153522133</c:v>
                </c:pt>
                <c:pt idx="749">
                  <c:v>0.000655038111317507</c:v>
                </c:pt>
                <c:pt idx="750">
                  <c:v>0.000660634458572229</c:v>
                </c:pt>
                <c:pt idx="751">
                  <c:v>0.000664858132686907</c:v>
                </c:pt>
                <c:pt idx="752">
                  <c:v>0.000665960697525003</c:v>
                </c:pt>
                <c:pt idx="753">
                  <c:v>0.00067012230805652</c:v>
                </c:pt>
                <c:pt idx="754">
                  <c:v>0.000671525228328695</c:v>
                </c:pt>
                <c:pt idx="755">
                  <c:v>0.000675406105165921</c:v>
                </c:pt>
                <c:pt idx="756">
                  <c:v>0.000678766063684</c:v>
                </c:pt>
                <c:pt idx="757">
                  <c:v>0.00067951294008739</c:v>
                </c:pt>
                <c:pt idx="758">
                  <c:v>0.000693528015813349</c:v>
                </c:pt>
                <c:pt idx="759">
                  <c:v>0.000693604773845502</c:v>
                </c:pt>
                <c:pt idx="760">
                  <c:v>0.000706785902008678</c:v>
                </c:pt>
                <c:pt idx="761">
                  <c:v>0.000707159441921901</c:v>
                </c:pt>
                <c:pt idx="762">
                  <c:v>0.0007071672956247</c:v>
                </c:pt>
                <c:pt idx="763">
                  <c:v>0.000708131754501462</c:v>
                </c:pt>
                <c:pt idx="764">
                  <c:v>0.000710451684955205</c:v>
                </c:pt>
                <c:pt idx="765">
                  <c:v>0.000713555179198133</c:v>
                </c:pt>
                <c:pt idx="766">
                  <c:v>0.000714490000000012</c:v>
                </c:pt>
                <c:pt idx="767">
                  <c:v>0.000715946093582831</c:v>
                </c:pt>
                <c:pt idx="768">
                  <c:v>0.000725755745969448</c:v>
                </c:pt>
                <c:pt idx="769">
                  <c:v>0.000728071062203517</c:v>
                </c:pt>
                <c:pt idx="770">
                  <c:v>0.000728148738267986</c:v>
                </c:pt>
                <c:pt idx="771">
                  <c:v>0.000728331899630286</c:v>
                </c:pt>
                <c:pt idx="772">
                  <c:v>0.000732301090325294</c:v>
                </c:pt>
                <c:pt idx="773">
                  <c:v>0.000733779109606036</c:v>
                </c:pt>
                <c:pt idx="774">
                  <c:v>0.000734794115646809</c:v>
                </c:pt>
                <c:pt idx="775">
                  <c:v>0.000736751809463421</c:v>
                </c:pt>
                <c:pt idx="776">
                  <c:v>0.000740112947434035</c:v>
                </c:pt>
                <c:pt idx="777">
                  <c:v>0.000741265362435017</c:v>
                </c:pt>
                <c:pt idx="778">
                  <c:v>0.000741865114738394</c:v>
                </c:pt>
                <c:pt idx="779">
                  <c:v>0.000744190697830938</c:v>
                </c:pt>
                <c:pt idx="780">
                  <c:v>0.00074712097070706</c:v>
                </c:pt>
                <c:pt idx="781">
                  <c:v>0.000749686602299571</c:v>
                </c:pt>
                <c:pt idx="782">
                  <c:v>0.000750147198952611</c:v>
                </c:pt>
                <c:pt idx="783">
                  <c:v>0.000751076274123408</c:v>
                </c:pt>
                <c:pt idx="784">
                  <c:v>0.000754658137778863</c:v>
                </c:pt>
                <c:pt idx="785">
                  <c:v>0.000754976278536157</c:v>
                </c:pt>
                <c:pt idx="786">
                  <c:v>0.000755737436983317</c:v>
                </c:pt>
                <c:pt idx="787">
                  <c:v>0.000758586098325464</c:v>
                </c:pt>
                <c:pt idx="788">
                  <c:v>0.00076404100255445</c:v>
                </c:pt>
                <c:pt idx="789">
                  <c:v>0.000767669889301104</c:v>
                </c:pt>
                <c:pt idx="790">
                  <c:v>0.000769812901599165</c:v>
                </c:pt>
                <c:pt idx="791">
                  <c:v>0.000770476733168435</c:v>
                </c:pt>
                <c:pt idx="792">
                  <c:v>0.000789251099837074</c:v>
                </c:pt>
                <c:pt idx="793">
                  <c:v>0.000796466990225397</c:v>
                </c:pt>
                <c:pt idx="794">
                  <c:v>0.000796668543223911</c:v>
                </c:pt>
                <c:pt idx="795">
                  <c:v>0.000800058707840279</c:v>
                </c:pt>
                <c:pt idx="796">
                  <c:v>0.00080294126902869</c:v>
                </c:pt>
                <c:pt idx="797">
                  <c:v>0.000806967950932824</c:v>
                </c:pt>
                <c:pt idx="798">
                  <c:v>0.000810457567478329</c:v>
                </c:pt>
                <c:pt idx="799">
                  <c:v>0.000816145966995308</c:v>
                </c:pt>
                <c:pt idx="800">
                  <c:v>0.000821129653004071</c:v>
                </c:pt>
                <c:pt idx="801">
                  <c:v>0.000821273936847167</c:v>
                </c:pt>
                <c:pt idx="802">
                  <c:v>0.000824078264002548</c:v>
                </c:pt>
                <c:pt idx="803">
                  <c:v>0.000828591027567605</c:v>
                </c:pt>
                <c:pt idx="804">
                  <c:v>0.000828656444656017</c:v>
                </c:pt>
                <c:pt idx="805">
                  <c:v>0.000829004744753448</c:v>
                </c:pt>
                <c:pt idx="806">
                  <c:v>0.000831360822722393</c:v>
                </c:pt>
                <c:pt idx="807">
                  <c:v>0.000833821501797782</c:v>
                </c:pt>
                <c:pt idx="808">
                  <c:v>0.000833979661097661</c:v>
                </c:pt>
                <c:pt idx="809">
                  <c:v>0.000843418335524815</c:v>
                </c:pt>
                <c:pt idx="810">
                  <c:v>0.000844512468381575</c:v>
                </c:pt>
                <c:pt idx="811">
                  <c:v>0.000844649153618482</c:v>
                </c:pt>
                <c:pt idx="812">
                  <c:v>0.000846367085836075</c:v>
                </c:pt>
                <c:pt idx="813">
                  <c:v>0.000858749004847059</c:v>
                </c:pt>
                <c:pt idx="814">
                  <c:v>0.000862576010365102</c:v>
                </c:pt>
                <c:pt idx="815">
                  <c:v>0.000885916776034001</c:v>
                </c:pt>
                <c:pt idx="816">
                  <c:v>0.000890077919404098</c:v>
                </c:pt>
                <c:pt idx="817">
                  <c:v>0.00089307536209815</c:v>
                </c:pt>
                <c:pt idx="818">
                  <c:v>0.000902489920825644</c:v>
                </c:pt>
                <c:pt idx="819">
                  <c:v>0.000911060955726128</c:v>
                </c:pt>
                <c:pt idx="820">
                  <c:v>0.000932500797140801</c:v>
                </c:pt>
                <c:pt idx="821">
                  <c:v>0.000933399977333771</c:v>
                </c:pt>
                <c:pt idx="822">
                  <c:v>0.000943112787074041</c:v>
                </c:pt>
                <c:pt idx="823">
                  <c:v>0.00094689981036078</c:v>
                </c:pt>
                <c:pt idx="824">
                  <c:v>0.000951514701289291</c:v>
                </c:pt>
                <c:pt idx="825">
                  <c:v>0.000956086366938225</c:v>
                </c:pt>
                <c:pt idx="826">
                  <c:v>0.000958482131447891</c:v>
                </c:pt>
                <c:pt idx="827">
                  <c:v>0.000967907269510127</c:v>
                </c:pt>
                <c:pt idx="828">
                  <c:v>0.000969819851340148</c:v>
                </c:pt>
                <c:pt idx="829">
                  <c:v>0.000976834870668908</c:v>
                </c:pt>
                <c:pt idx="830">
                  <c:v>0.000982968177971832</c:v>
                </c:pt>
                <c:pt idx="831">
                  <c:v>0.000985225592642358</c:v>
                </c:pt>
                <c:pt idx="832">
                  <c:v>0.000989422465113021</c:v>
                </c:pt>
                <c:pt idx="833">
                  <c:v>0.00100461714787436</c:v>
                </c:pt>
                <c:pt idx="834">
                  <c:v>0.00100494282041597</c:v>
                </c:pt>
                <c:pt idx="835">
                  <c:v>0.00100820483246511</c:v>
                </c:pt>
                <c:pt idx="836">
                  <c:v>0.00101088482042422</c:v>
                </c:pt>
                <c:pt idx="837">
                  <c:v>0.00101419465537322</c:v>
                </c:pt>
                <c:pt idx="838">
                  <c:v>0.00102026815883893</c:v>
                </c:pt>
                <c:pt idx="839">
                  <c:v>0.00103228599243499</c:v>
                </c:pt>
                <c:pt idx="840">
                  <c:v>0.00103677537521918</c:v>
                </c:pt>
                <c:pt idx="841">
                  <c:v>0.00104583053001117</c:v>
                </c:pt>
                <c:pt idx="842">
                  <c:v>0.00104589872786787</c:v>
                </c:pt>
                <c:pt idx="843">
                  <c:v>0.0010510409968052</c:v>
                </c:pt>
                <c:pt idx="844">
                  <c:v>0.00105870421605991</c:v>
                </c:pt>
                <c:pt idx="845">
                  <c:v>0.00106269620872501</c:v>
                </c:pt>
                <c:pt idx="846">
                  <c:v>0.00107498142231455</c:v>
                </c:pt>
                <c:pt idx="847">
                  <c:v>0.00108004076364798</c:v>
                </c:pt>
                <c:pt idx="848">
                  <c:v>0.00108019670944159</c:v>
                </c:pt>
                <c:pt idx="849">
                  <c:v>0.00108522820859225</c:v>
                </c:pt>
                <c:pt idx="850">
                  <c:v>0.00108678752056024</c:v>
                </c:pt>
                <c:pt idx="851">
                  <c:v>0.0010903862246372</c:v>
                </c:pt>
                <c:pt idx="852">
                  <c:v>0.00109038867172351</c:v>
                </c:pt>
                <c:pt idx="853">
                  <c:v>0.00109161302281735</c:v>
                </c:pt>
                <c:pt idx="854">
                  <c:v>0.00109525193559534</c:v>
                </c:pt>
                <c:pt idx="855">
                  <c:v>0.00109574496083242</c:v>
                </c:pt>
                <c:pt idx="856">
                  <c:v>0.00110042366541374</c:v>
                </c:pt>
                <c:pt idx="857">
                  <c:v>0.00110387400135359</c:v>
                </c:pt>
                <c:pt idx="858">
                  <c:v>0.0011040239821154</c:v>
                </c:pt>
                <c:pt idx="859">
                  <c:v>0.00110423232901824</c:v>
                </c:pt>
                <c:pt idx="860">
                  <c:v>0.0011171381540509</c:v>
                </c:pt>
                <c:pt idx="861">
                  <c:v>0.00112375157863731</c:v>
                </c:pt>
                <c:pt idx="862">
                  <c:v>0.00112417046749846</c:v>
                </c:pt>
                <c:pt idx="863">
                  <c:v>0.00113019618025079</c:v>
                </c:pt>
                <c:pt idx="864">
                  <c:v>0.00113370502641286</c:v>
                </c:pt>
                <c:pt idx="865">
                  <c:v>0.00113670132110921</c:v>
                </c:pt>
                <c:pt idx="866">
                  <c:v>0.00113915877947979</c:v>
                </c:pt>
                <c:pt idx="867">
                  <c:v>0.00115029668969835</c:v>
                </c:pt>
                <c:pt idx="868">
                  <c:v>0.00116362039926599</c:v>
                </c:pt>
                <c:pt idx="869">
                  <c:v>0.00118144598090497</c:v>
                </c:pt>
                <c:pt idx="870">
                  <c:v>0.00118221746139957</c:v>
                </c:pt>
                <c:pt idx="871">
                  <c:v>0.00119048573654901</c:v>
                </c:pt>
                <c:pt idx="872">
                  <c:v>0.00119516082634119</c:v>
                </c:pt>
                <c:pt idx="873">
                  <c:v>0.00119684030289813</c:v>
                </c:pt>
                <c:pt idx="874">
                  <c:v>0.00123969476128472</c:v>
                </c:pt>
                <c:pt idx="875">
                  <c:v>0.00124274202493391</c:v>
                </c:pt>
                <c:pt idx="876">
                  <c:v>0.00124452007760678</c:v>
                </c:pt>
                <c:pt idx="877">
                  <c:v>0.00124461814620247</c:v>
                </c:pt>
                <c:pt idx="878">
                  <c:v>0.00124770176982891</c:v>
                </c:pt>
                <c:pt idx="879">
                  <c:v>0.00126006288062896</c:v>
                </c:pt>
                <c:pt idx="880">
                  <c:v>0.00127222908279334</c:v>
                </c:pt>
                <c:pt idx="881">
                  <c:v>0.001278427507869</c:v>
                </c:pt>
                <c:pt idx="882">
                  <c:v>0.00128726836425108</c:v>
                </c:pt>
                <c:pt idx="883">
                  <c:v>0.00129220394371221</c:v>
                </c:pt>
                <c:pt idx="884">
                  <c:v>0.00131604665929141</c:v>
                </c:pt>
                <c:pt idx="885">
                  <c:v>0.00133374984284229</c:v>
                </c:pt>
                <c:pt idx="886">
                  <c:v>0.00133498068806626</c:v>
                </c:pt>
                <c:pt idx="887">
                  <c:v>0.00134305495766651</c:v>
                </c:pt>
                <c:pt idx="888">
                  <c:v>0.00134640401351049</c:v>
                </c:pt>
                <c:pt idx="889">
                  <c:v>0.00135990396178221</c:v>
                </c:pt>
                <c:pt idx="890">
                  <c:v>0.00136287581228767</c:v>
                </c:pt>
                <c:pt idx="891">
                  <c:v>0.00136922619695712</c:v>
                </c:pt>
                <c:pt idx="892">
                  <c:v>0.00137653963719298</c:v>
                </c:pt>
                <c:pt idx="893">
                  <c:v>0.00138861368530696</c:v>
                </c:pt>
                <c:pt idx="894">
                  <c:v>0.00139136434313292</c:v>
                </c:pt>
                <c:pt idx="895">
                  <c:v>0.00141004577815607</c:v>
                </c:pt>
                <c:pt idx="896">
                  <c:v>0.00141425775639537</c:v>
                </c:pt>
                <c:pt idx="897">
                  <c:v>0.00141458560489127</c:v>
                </c:pt>
                <c:pt idx="898">
                  <c:v>0.00142186464455829</c:v>
                </c:pt>
                <c:pt idx="899">
                  <c:v>0.00142218391638949</c:v>
                </c:pt>
                <c:pt idx="900">
                  <c:v>0.0014245288793413</c:v>
                </c:pt>
                <c:pt idx="901">
                  <c:v>0.00143391194550202</c:v>
                </c:pt>
                <c:pt idx="902">
                  <c:v>0.00146339327204026</c:v>
                </c:pt>
                <c:pt idx="903">
                  <c:v>0.00147177596921932</c:v>
                </c:pt>
                <c:pt idx="904">
                  <c:v>0.00147221786086948</c:v>
                </c:pt>
                <c:pt idx="905">
                  <c:v>0.00147268899233399</c:v>
                </c:pt>
                <c:pt idx="906">
                  <c:v>0.00147895693066413</c:v>
                </c:pt>
                <c:pt idx="907">
                  <c:v>0.00148498607952785</c:v>
                </c:pt>
                <c:pt idx="908">
                  <c:v>0.00151481891002359</c:v>
                </c:pt>
                <c:pt idx="909">
                  <c:v>0.0015292391887618</c:v>
                </c:pt>
                <c:pt idx="910">
                  <c:v>0.00153402354249188</c:v>
                </c:pt>
                <c:pt idx="911">
                  <c:v>0.00153884817296013</c:v>
                </c:pt>
                <c:pt idx="912">
                  <c:v>0.0015497255138357</c:v>
                </c:pt>
                <c:pt idx="913">
                  <c:v>0.00156951762307078</c:v>
                </c:pt>
                <c:pt idx="914">
                  <c:v>0.00159793161026034</c:v>
                </c:pt>
                <c:pt idx="915">
                  <c:v>0.00160553967560806</c:v>
                </c:pt>
                <c:pt idx="916">
                  <c:v>0.00160914664534606</c:v>
                </c:pt>
                <c:pt idx="917">
                  <c:v>0.00161454536912475</c:v>
                </c:pt>
                <c:pt idx="918">
                  <c:v>0.00161985881505289</c:v>
                </c:pt>
                <c:pt idx="919">
                  <c:v>0.00163196611083638</c:v>
                </c:pt>
                <c:pt idx="920">
                  <c:v>0.00163585038392999</c:v>
                </c:pt>
                <c:pt idx="921">
                  <c:v>0.00163617780776937</c:v>
                </c:pt>
                <c:pt idx="922">
                  <c:v>0.00165685127325887</c:v>
                </c:pt>
                <c:pt idx="923">
                  <c:v>0.00166030605603296</c:v>
                </c:pt>
                <c:pt idx="924">
                  <c:v>0.00166130162567457</c:v>
                </c:pt>
                <c:pt idx="925">
                  <c:v>0.00169293007275262</c:v>
                </c:pt>
                <c:pt idx="926">
                  <c:v>0.00170383272463503</c:v>
                </c:pt>
                <c:pt idx="927">
                  <c:v>0.00170510998312534</c:v>
                </c:pt>
                <c:pt idx="928">
                  <c:v>0.00170550980067086</c:v>
                </c:pt>
                <c:pt idx="929">
                  <c:v>0.00170885102237928</c:v>
                </c:pt>
                <c:pt idx="930">
                  <c:v>0.00172883777035859</c:v>
                </c:pt>
                <c:pt idx="931">
                  <c:v>0.00173743183434705</c:v>
                </c:pt>
                <c:pt idx="932">
                  <c:v>0.00173869339187061</c:v>
                </c:pt>
                <c:pt idx="933">
                  <c:v>0.0017415944134096</c:v>
                </c:pt>
                <c:pt idx="934">
                  <c:v>0.00177446162274442</c:v>
                </c:pt>
                <c:pt idx="935">
                  <c:v>0.00178553246571145</c:v>
                </c:pt>
                <c:pt idx="936">
                  <c:v>0.00180923491573948</c:v>
                </c:pt>
                <c:pt idx="937">
                  <c:v>0.00184150230408009</c:v>
                </c:pt>
                <c:pt idx="938">
                  <c:v>0.00184930392200378</c:v>
                </c:pt>
                <c:pt idx="939">
                  <c:v>0.00185077071443307</c:v>
                </c:pt>
                <c:pt idx="940">
                  <c:v>0.00185194358719287</c:v>
                </c:pt>
                <c:pt idx="941">
                  <c:v>0.00185212851340255</c:v>
                </c:pt>
                <c:pt idx="942">
                  <c:v>0.00186166071195815</c:v>
                </c:pt>
                <c:pt idx="943">
                  <c:v>0.00187622008476773</c:v>
                </c:pt>
                <c:pt idx="944">
                  <c:v>0.00190852878270009</c:v>
                </c:pt>
                <c:pt idx="945">
                  <c:v>0.00191720402587015</c:v>
                </c:pt>
                <c:pt idx="946">
                  <c:v>0.00193161940398268</c:v>
                </c:pt>
                <c:pt idx="947">
                  <c:v>0.00200347044342242</c:v>
                </c:pt>
                <c:pt idx="948">
                  <c:v>0.00200350678076444</c:v>
                </c:pt>
                <c:pt idx="949">
                  <c:v>0.00205199902558517</c:v>
                </c:pt>
                <c:pt idx="950">
                  <c:v>0.00209409228655</c:v>
                </c:pt>
                <c:pt idx="951">
                  <c:v>0.00211376213547121</c:v>
                </c:pt>
                <c:pt idx="952">
                  <c:v>0.00212608407917259</c:v>
                </c:pt>
                <c:pt idx="953">
                  <c:v>0.00212799789828777</c:v>
                </c:pt>
                <c:pt idx="954">
                  <c:v>0.00213195889807793</c:v>
                </c:pt>
                <c:pt idx="955">
                  <c:v>0.00216512185429174</c:v>
                </c:pt>
                <c:pt idx="956">
                  <c:v>0.00217417396171515</c:v>
                </c:pt>
                <c:pt idx="957">
                  <c:v>0.00217969741399005</c:v>
                </c:pt>
                <c:pt idx="958">
                  <c:v>0.0022384909703963</c:v>
                </c:pt>
                <c:pt idx="959">
                  <c:v>0.00224131213134959</c:v>
                </c:pt>
                <c:pt idx="960">
                  <c:v>0.00224830521229014</c:v>
                </c:pt>
                <c:pt idx="961">
                  <c:v>0.00225553744450147</c:v>
                </c:pt>
                <c:pt idx="962">
                  <c:v>0.0022582532097617</c:v>
                </c:pt>
                <c:pt idx="963">
                  <c:v>0.00226809560676422</c:v>
                </c:pt>
                <c:pt idx="964">
                  <c:v>0.00230871875995087</c:v>
                </c:pt>
                <c:pt idx="965">
                  <c:v>0.00231689943562885</c:v>
                </c:pt>
                <c:pt idx="966">
                  <c:v>0.00234847118448878</c:v>
                </c:pt>
                <c:pt idx="967">
                  <c:v>0.00242557660008491</c:v>
                </c:pt>
                <c:pt idx="968">
                  <c:v>0.00246030646078377</c:v>
                </c:pt>
                <c:pt idx="969">
                  <c:v>0.00250769620568536</c:v>
                </c:pt>
                <c:pt idx="970">
                  <c:v>0.00252654432424948</c:v>
                </c:pt>
                <c:pt idx="971">
                  <c:v>0.00255326508795783</c:v>
                </c:pt>
                <c:pt idx="972">
                  <c:v>0.00258859876541195</c:v>
                </c:pt>
                <c:pt idx="973">
                  <c:v>0.00271884756758678</c:v>
                </c:pt>
                <c:pt idx="974">
                  <c:v>0.00280781719599332</c:v>
                </c:pt>
                <c:pt idx="975">
                  <c:v>0.00286275364694744</c:v>
                </c:pt>
                <c:pt idx="976">
                  <c:v>0.00287787983811461</c:v>
                </c:pt>
                <c:pt idx="977">
                  <c:v>0.00289821041852689</c:v>
                </c:pt>
                <c:pt idx="978">
                  <c:v>0.00290624844726128</c:v>
                </c:pt>
                <c:pt idx="979">
                  <c:v>0.00298215898703158</c:v>
                </c:pt>
                <c:pt idx="980">
                  <c:v>0.00301034195661987</c:v>
                </c:pt>
                <c:pt idx="981">
                  <c:v>0.00306561139105832</c:v>
                </c:pt>
                <c:pt idx="982">
                  <c:v>0.0031303826274427</c:v>
                </c:pt>
                <c:pt idx="983">
                  <c:v>0.00313093837879275</c:v>
                </c:pt>
                <c:pt idx="984">
                  <c:v>0.00313511999862182</c:v>
                </c:pt>
                <c:pt idx="985">
                  <c:v>0.00318891703873314</c:v>
                </c:pt>
                <c:pt idx="986">
                  <c:v>0.00325954522933181</c:v>
                </c:pt>
                <c:pt idx="987">
                  <c:v>0.00340320111067238</c:v>
                </c:pt>
                <c:pt idx="988">
                  <c:v>0.00344598049761502</c:v>
                </c:pt>
                <c:pt idx="989">
                  <c:v>0.00355024649493885</c:v>
                </c:pt>
                <c:pt idx="990">
                  <c:v>0.00369662773169144</c:v>
                </c:pt>
                <c:pt idx="991">
                  <c:v>0.00376492897852443</c:v>
                </c:pt>
                <c:pt idx="992">
                  <c:v>0.00385277082222735</c:v>
                </c:pt>
                <c:pt idx="993">
                  <c:v>0.00389049690860777</c:v>
                </c:pt>
                <c:pt idx="994">
                  <c:v>0.00409251425002566</c:v>
                </c:pt>
                <c:pt idx="995">
                  <c:v>0.00423239462557645</c:v>
                </c:pt>
                <c:pt idx="996">
                  <c:v>0.00461485221116309</c:v>
                </c:pt>
                <c:pt idx="997">
                  <c:v>0.00479776680225519</c:v>
                </c:pt>
                <c:pt idx="998">
                  <c:v>0.00538755026016213</c:v>
                </c:pt>
                <c:pt idx="999">
                  <c:v>0.00569271403817084</c:v>
                </c:pt>
              </c:numCache>
            </c:numRef>
          </c:xVal>
          <c:yVal>
            <c:numRef>
              <c:f>BTC_Fit!$E$37:$E$1036</c:f>
              <c:numCache>
                <c:formatCode>0.0000</c:formatCode>
                <c:ptCount val="1000"/>
                <c:pt idx="0">
                  <c:v>0.000772536832087345</c:v>
                </c:pt>
                <c:pt idx="1">
                  <c:v>0.00102672591976151</c:v>
                </c:pt>
                <c:pt idx="2">
                  <c:v>0.00142121997438129</c:v>
                </c:pt>
                <c:pt idx="3">
                  <c:v>0.00251149500253061</c:v>
                </c:pt>
                <c:pt idx="4">
                  <c:v>0.00284226919011218</c:v>
                </c:pt>
                <c:pt idx="5">
                  <c:v>0.00300661654125302</c:v>
                </c:pt>
                <c:pt idx="6">
                  <c:v>0.00348365757343925</c:v>
                </c:pt>
                <c:pt idx="7">
                  <c:v>0.0048473423140275</c:v>
                </c:pt>
                <c:pt idx="8">
                  <c:v>0.00488294091335405</c:v>
                </c:pt>
                <c:pt idx="9">
                  <c:v>0.00633633580075137</c:v>
                </c:pt>
                <c:pt idx="10">
                  <c:v>0.00750972658022958</c:v>
                </c:pt>
                <c:pt idx="11">
                  <c:v>0.00881266182744039</c:v>
                </c:pt>
                <c:pt idx="12">
                  <c:v>0.00895335015545465</c:v>
                </c:pt>
                <c:pt idx="13">
                  <c:v>0.0102086542855947</c:v>
                </c:pt>
                <c:pt idx="14">
                  <c:v>0.0108607928450072</c:v>
                </c:pt>
                <c:pt idx="15">
                  <c:v>0.0125563134609166</c:v>
                </c:pt>
                <c:pt idx="16">
                  <c:v>0.0135532830111441</c:v>
                </c:pt>
                <c:pt idx="17">
                  <c:v>0.0137085240169469</c:v>
                </c:pt>
                <c:pt idx="18">
                  <c:v>0.0140086848788528</c:v>
                </c:pt>
                <c:pt idx="19">
                  <c:v>0.0148261407123005</c:v>
                </c:pt>
                <c:pt idx="20">
                  <c:v>0.0168440025483507</c:v>
                </c:pt>
                <c:pt idx="21">
                  <c:v>0.0172944480652244</c:v>
                </c:pt>
                <c:pt idx="22">
                  <c:v>0.0183726280211817</c:v>
                </c:pt>
                <c:pt idx="23">
                  <c:v>0.0184631605949174</c:v>
                </c:pt>
                <c:pt idx="24">
                  <c:v>0.0187957851268871</c:v>
                </c:pt>
                <c:pt idx="25">
                  <c:v>0.0204793037947524</c:v>
                </c:pt>
                <c:pt idx="26">
                  <c:v>0.0205160052714287</c:v>
                </c:pt>
                <c:pt idx="27">
                  <c:v>0.0247848314316302</c:v>
                </c:pt>
                <c:pt idx="28">
                  <c:v>0.0254257239437028</c:v>
                </c:pt>
                <c:pt idx="29">
                  <c:v>0.0256663663726895</c:v>
                </c:pt>
                <c:pt idx="30">
                  <c:v>0.0258991701196902</c:v>
                </c:pt>
                <c:pt idx="31">
                  <c:v>0.0267116580482677</c:v>
                </c:pt>
                <c:pt idx="32">
                  <c:v>0.027209844051427</c:v>
                </c:pt>
                <c:pt idx="33">
                  <c:v>0.0321820717222515</c:v>
                </c:pt>
                <c:pt idx="34">
                  <c:v>0.0324224278290109</c:v>
                </c:pt>
                <c:pt idx="35">
                  <c:v>0.0325367922589241</c:v>
                </c:pt>
                <c:pt idx="36">
                  <c:v>0.033436772491057</c:v>
                </c:pt>
                <c:pt idx="37">
                  <c:v>0.033931081813088</c:v>
                </c:pt>
                <c:pt idx="38">
                  <c:v>0.0370250194386986</c:v>
                </c:pt>
                <c:pt idx="39">
                  <c:v>0.0379329707346505</c:v>
                </c:pt>
                <c:pt idx="40">
                  <c:v>0.0380841259434382</c:v>
                </c:pt>
                <c:pt idx="41">
                  <c:v>0.03869752653472</c:v>
                </c:pt>
                <c:pt idx="42">
                  <c:v>0.0395448437294259</c:v>
                </c:pt>
                <c:pt idx="43">
                  <c:v>0.04084488784776</c:v>
                </c:pt>
                <c:pt idx="44">
                  <c:v>0.0412261741947589</c:v>
                </c:pt>
                <c:pt idx="45">
                  <c:v>0.0422099670728124</c:v>
                </c:pt>
                <c:pt idx="46">
                  <c:v>0.0425154935110213</c:v>
                </c:pt>
                <c:pt idx="47">
                  <c:v>0.0428221065035804</c:v>
                </c:pt>
                <c:pt idx="48">
                  <c:v>0.0454084341296595</c:v>
                </c:pt>
                <c:pt idx="49">
                  <c:v>0.0468239316432304</c:v>
                </c:pt>
                <c:pt idx="50">
                  <c:v>0.0469773748327594</c:v>
                </c:pt>
                <c:pt idx="51">
                  <c:v>0.047292695751351</c:v>
                </c:pt>
                <c:pt idx="52">
                  <c:v>0.0476383203412268</c:v>
                </c:pt>
                <c:pt idx="53">
                  <c:v>0.0486559000817604</c:v>
                </c:pt>
                <c:pt idx="54">
                  <c:v>0.0491487845844735</c:v>
                </c:pt>
                <c:pt idx="55">
                  <c:v>0.0496778123550251</c:v>
                </c:pt>
                <c:pt idx="56">
                  <c:v>0.0505145110505364</c:v>
                </c:pt>
                <c:pt idx="57">
                  <c:v>0.0508805995481712</c:v>
                </c:pt>
                <c:pt idx="58">
                  <c:v>0.0525940473380847</c:v>
                </c:pt>
                <c:pt idx="59">
                  <c:v>0.053948842726068</c:v>
                </c:pt>
                <c:pt idx="60">
                  <c:v>0.0550384190754205</c:v>
                </c:pt>
                <c:pt idx="61">
                  <c:v>0.0552479854188241</c:v>
                </c:pt>
                <c:pt idx="62">
                  <c:v>0.0572814986679503</c:v>
                </c:pt>
                <c:pt idx="63">
                  <c:v>0.0583570056258585</c:v>
                </c:pt>
                <c:pt idx="64">
                  <c:v>0.0585963107474976</c:v>
                </c:pt>
                <c:pt idx="65">
                  <c:v>0.0613405627607521</c:v>
                </c:pt>
                <c:pt idx="66">
                  <c:v>0.0654264160854447</c:v>
                </c:pt>
                <c:pt idx="67">
                  <c:v>0.0675676020624507</c:v>
                </c:pt>
                <c:pt idx="68">
                  <c:v>0.0688569351941475</c:v>
                </c:pt>
                <c:pt idx="69">
                  <c:v>0.0696217435005246</c:v>
                </c:pt>
                <c:pt idx="70">
                  <c:v>0.0754996677120423</c:v>
                </c:pt>
                <c:pt idx="71">
                  <c:v>0.0757997719977883</c:v>
                </c:pt>
                <c:pt idx="72">
                  <c:v>0.0835103006452862</c:v>
                </c:pt>
                <c:pt idx="73">
                  <c:v>0.0859984107088059</c:v>
                </c:pt>
                <c:pt idx="74">
                  <c:v>0.0894431888259892</c:v>
                </c:pt>
                <c:pt idx="75">
                  <c:v>0.0912271273517995</c:v>
                </c:pt>
                <c:pt idx="76">
                  <c:v>0.0916514324571372</c:v>
                </c:pt>
                <c:pt idx="77">
                  <c:v>0.0917145655270861</c:v>
                </c:pt>
                <c:pt idx="78">
                  <c:v>0.092124856009436</c:v>
                </c:pt>
                <c:pt idx="79">
                  <c:v>0.0921348386357762</c:v>
                </c:pt>
                <c:pt idx="80">
                  <c:v>0.0957877601855199</c:v>
                </c:pt>
                <c:pt idx="81">
                  <c:v>0.095864907159003</c:v>
                </c:pt>
                <c:pt idx="82">
                  <c:v>0.0988891004193034</c:v>
                </c:pt>
                <c:pt idx="83">
                  <c:v>0.0993988171114305</c:v>
                </c:pt>
                <c:pt idx="84">
                  <c:v>0.101057249707566</c:v>
                </c:pt>
                <c:pt idx="85">
                  <c:v>0.10410567941126</c:v>
                </c:pt>
                <c:pt idx="86">
                  <c:v>0.10424139648794</c:v>
                </c:pt>
                <c:pt idx="87">
                  <c:v>0.104616592554993</c:v>
                </c:pt>
                <c:pt idx="88">
                  <c:v>0.105373185543111</c:v>
                </c:pt>
                <c:pt idx="89">
                  <c:v>0.105433067741099</c:v>
                </c:pt>
                <c:pt idx="90">
                  <c:v>0.107113770016679</c:v>
                </c:pt>
                <c:pt idx="91">
                  <c:v>0.107876985116714</c:v>
                </c:pt>
                <c:pt idx="92">
                  <c:v>0.110404396937348</c:v>
                </c:pt>
                <c:pt idx="93">
                  <c:v>0.110648999409055</c:v>
                </c:pt>
                <c:pt idx="94">
                  <c:v>0.111622290283031</c:v>
                </c:pt>
                <c:pt idx="95">
                  <c:v>0.112314312736679</c:v>
                </c:pt>
                <c:pt idx="96">
                  <c:v>0.113973463213414</c:v>
                </c:pt>
                <c:pt idx="97">
                  <c:v>0.114263102087023</c:v>
                </c:pt>
                <c:pt idx="98">
                  <c:v>0.115703485887842</c:v>
                </c:pt>
                <c:pt idx="99">
                  <c:v>0.116224361375704</c:v>
                </c:pt>
                <c:pt idx="100">
                  <c:v>0.117799070099644</c:v>
                </c:pt>
                <c:pt idx="101">
                  <c:v>0.118273476773017</c:v>
                </c:pt>
                <c:pt idx="102">
                  <c:v>0.118661557939604</c:v>
                </c:pt>
                <c:pt idx="103">
                  <c:v>0.11946725261666</c:v>
                </c:pt>
                <c:pt idx="104">
                  <c:v>0.120144523271306</c:v>
                </c:pt>
                <c:pt idx="105">
                  <c:v>0.1218614206423</c:v>
                </c:pt>
                <c:pt idx="106">
                  <c:v>0.122946558592832</c:v>
                </c:pt>
                <c:pt idx="107">
                  <c:v>0.123685485776735</c:v>
                </c:pt>
                <c:pt idx="108">
                  <c:v>0.123865769618853</c:v>
                </c:pt>
                <c:pt idx="109">
                  <c:v>0.125562381913426</c:v>
                </c:pt>
                <c:pt idx="110">
                  <c:v>0.125614302070806</c:v>
                </c:pt>
                <c:pt idx="111">
                  <c:v>0.125696555695753</c:v>
                </c:pt>
                <c:pt idx="112">
                  <c:v>0.126876064335455</c:v>
                </c:pt>
                <c:pt idx="113">
                  <c:v>0.127486452131464</c:v>
                </c:pt>
                <c:pt idx="114">
                  <c:v>0.130128057544918</c:v>
                </c:pt>
                <c:pt idx="115">
                  <c:v>0.130679747646215</c:v>
                </c:pt>
                <c:pt idx="116">
                  <c:v>0.131925998040005</c:v>
                </c:pt>
                <c:pt idx="117">
                  <c:v>0.132401409955209</c:v>
                </c:pt>
                <c:pt idx="118">
                  <c:v>0.134018511394614</c:v>
                </c:pt>
                <c:pt idx="119">
                  <c:v>0.135187653864906</c:v>
                </c:pt>
                <c:pt idx="120">
                  <c:v>0.135799981190483</c:v>
                </c:pt>
                <c:pt idx="121">
                  <c:v>0.136415337186558</c:v>
                </c:pt>
                <c:pt idx="122">
                  <c:v>0.136756948199715</c:v>
                </c:pt>
                <c:pt idx="123">
                  <c:v>0.137347057258527</c:v>
                </c:pt>
                <c:pt idx="124">
                  <c:v>0.137426086276362</c:v>
                </c:pt>
                <c:pt idx="125">
                  <c:v>0.138619959418076</c:v>
                </c:pt>
                <c:pt idx="126">
                  <c:v>0.14014237307205</c:v>
                </c:pt>
                <c:pt idx="127">
                  <c:v>0.14025709207626</c:v>
                </c:pt>
                <c:pt idx="128">
                  <c:v>0.141339409529068</c:v>
                </c:pt>
                <c:pt idx="129">
                  <c:v>0.142625921708702</c:v>
                </c:pt>
                <c:pt idx="130">
                  <c:v>0.14277760041267</c:v>
                </c:pt>
                <c:pt idx="131">
                  <c:v>0.144136903361945</c:v>
                </c:pt>
                <c:pt idx="132">
                  <c:v>0.145094072460377</c:v>
                </c:pt>
                <c:pt idx="133">
                  <c:v>0.145560706896061</c:v>
                </c:pt>
                <c:pt idx="134">
                  <c:v>0.146702147885861</c:v>
                </c:pt>
                <c:pt idx="135">
                  <c:v>0.148252437148798</c:v>
                </c:pt>
                <c:pt idx="136">
                  <c:v>0.150580045309983</c:v>
                </c:pt>
                <c:pt idx="137">
                  <c:v>0.152043784581466</c:v>
                </c:pt>
                <c:pt idx="138">
                  <c:v>0.152107907898467</c:v>
                </c:pt>
                <c:pt idx="139">
                  <c:v>0.152938679599919</c:v>
                </c:pt>
                <c:pt idx="140">
                  <c:v>0.153024665044708</c:v>
                </c:pt>
                <c:pt idx="141">
                  <c:v>0.153385677691199</c:v>
                </c:pt>
                <c:pt idx="142">
                  <c:v>0.155943719215633</c:v>
                </c:pt>
                <c:pt idx="143">
                  <c:v>0.156292642073022</c:v>
                </c:pt>
                <c:pt idx="144">
                  <c:v>0.156529476897621</c:v>
                </c:pt>
                <c:pt idx="145">
                  <c:v>0.159437293072621</c:v>
                </c:pt>
                <c:pt idx="146">
                  <c:v>0.160187480257217</c:v>
                </c:pt>
                <c:pt idx="147">
                  <c:v>0.160679843554124</c:v>
                </c:pt>
                <c:pt idx="148">
                  <c:v>0.161209173067197</c:v>
                </c:pt>
                <c:pt idx="149">
                  <c:v>0.163184125590652</c:v>
                </c:pt>
                <c:pt idx="150">
                  <c:v>0.163204501787332</c:v>
                </c:pt>
                <c:pt idx="151">
                  <c:v>0.163241270093314</c:v>
                </c:pt>
                <c:pt idx="152">
                  <c:v>0.163818075646702</c:v>
                </c:pt>
                <c:pt idx="153">
                  <c:v>0.163933198883555</c:v>
                </c:pt>
                <c:pt idx="154">
                  <c:v>0.165535622985273</c:v>
                </c:pt>
                <c:pt idx="155">
                  <c:v>0.167351461326809</c:v>
                </c:pt>
                <c:pt idx="156">
                  <c:v>0.168238815701875</c:v>
                </c:pt>
                <c:pt idx="157">
                  <c:v>0.168433991790755</c:v>
                </c:pt>
                <c:pt idx="158">
                  <c:v>0.168463401617079</c:v>
                </c:pt>
                <c:pt idx="159">
                  <c:v>0.16926277144448</c:v>
                </c:pt>
                <c:pt idx="160">
                  <c:v>0.170030867636706</c:v>
                </c:pt>
                <c:pt idx="161">
                  <c:v>0.171356192474147</c:v>
                </c:pt>
                <c:pt idx="162">
                  <c:v>0.173396931534236</c:v>
                </c:pt>
                <c:pt idx="163">
                  <c:v>0.174225453683852</c:v>
                </c:pt>
                <c:pt idx="164">
                  <c:v>0.175407571092042</c:v>
                </c:pt>
                <c:pt idx="165">
                  <c:v>0.176772914066129</c:v>
                </c:pt>
                <c:pt idx="166">
                  <c:v>0.177049642430871</c:v>
                </c:pt>
                <c:pt idx="167">
                  <c:v>0.17911646550428</c:v>
                </c:pt>
                <c:pt idx="168">
                  <c:v>0.179826629026146</c:v>
                </c:pt>
                <c:pt idx="169">
                  <c:v>0.180341046910717</c:v>
                </c:pt>
                <c:pt idx="170">
                  <c:v>0.180753907453807</c:v>
                </c:pt>
                <c:pt idx="171">
                  <c:v>0.180754029106945</c:v>
                </c:pt>
                <c:pt idx="172">
                  <c:v>0.181605390010811</c:v>
                </c:pt>
                <c:pt idx="173">
                  <c:v>0.182766086715764</c:v>
                </c:pt>
                <c:pt idx="174">
                  <c:v>0.183053657898146</c:v>
                </c:pt>
                <c:pt idx="175">
                  <c:v>0.185772139027736</c:v>
                </c:pt>
                <c:pt idx="176">
                  <c:v>0.189148394961957</c:v>
                </c:pt>
                <c:pt idx="177">
                  <c:v>0.190322731146897</c:v>
                </c:pt>
                <c:pt idx="178">
                  <c:v>0.190346064273336</c:v>
                </c:pt>
                <c:pt idx="179">
                  <c:v>0.192177921152722</c:v>
                </c:pt>
                <c:pt idx="180">
                  <c:v>0.192336818883267</c:v>
                </c:pt>
                <c:pt idx="181">
                  <c:v>0.193214505048559</c:v>
                </c:pt>
                <c:pt idx="182">
                  <c:v>0.193430686225042</c:v>
                </c:pt>
                <c:pt idx="183">
                  <c:v>0.194493218489845</c:v>
                </c:pt>
                <c:pt idx="184">
                  <c:v>0.19536740730113</c:v>
                </c:pt>
                <c:pt idx="185">
                  <c:v>0.195585508966716</c:v>
                </c:pt>
                <c:pt idx="186">
                  <c:v>0.195638989375933</c:v>
                </c:pt>
                <c:pt idx="187">
                  <c:v>0.196105749291293</c:v>
                </c:pt>
                <c:pt idx="188">
                  <c:v>0.197424101701889</c:v>
                </c:pt>
                <c:pt idx="189">
                  <c:v>0.201893451602151</c:v>
                </c:pt>
                <c:pt idx="190">
                  <c:v>0.202752083409101</c:v>
                </c:pt>
                <c:pt idx="191">
                  <c:v>0.204781475855296</c:v>
                </c:pt>
                <c:pt idx="192">
                  <c:v>0.204842686101662</c:v>
                </c:pt>
                <c:pt idx="193">
                  <c:v>0.205006738928056</c:v>
                </c:pt>
                <c:pt idx="194">
                  <c:v>0.20686160364481</c:v>
                </c:pt>
                <c:pt idx="195">
                  <c:v>0.209465644792129</c:v>
                </c:pt>
                <c:pt idx="196">
                  <c:v>0.210362326952721</c:v>
                </c:pt>
                <c:pt idx="197">
                  <c:v>0.21150118157716</c:v>
                </c:pt>
                <c:pt idx="198">
                  <c:v>0.212507375194236</c:v>
                </c:pt>
                <c:pt idx="199">
                  <c:v>0.21277899286979</c:v>
                </c:pt>
                <c:pt idx="200">
                  <c:v>0.214518636375296</c:v>
                </c:pt>
                <c:pt idx="201">
                  <c:v>0.215213475021749</c:v>
                </c:pt>
                <c:pt idx="202">
                  <c:v>0.217674270624746</c:v>
                </c:pt>
                <c:pt idx="203">
                  <c:v>0.219661711464151</c:v>
                </c:pt>
                <c:pt idx="204">
                  <c:v>0.220367433386719</c:v>
                </c:pt>
                <c:pt idx="205">
                  <c:v>0.222140399547608</c:v>
                </c:pt>
                <c:pt idx="206">
                  <c:v>0.222564148821578</c:v>
                </c:pt>
                <c:pt idx="207">
                  <c:v>0.223439627402715</c:v>
                </c:pt>
                <c:pt idx="208">
                  <c:v>0.224817583199917</c:v>
                </c:pt>
                <c:pt idx="209">
                  <c:v>0.227362583726961</c:v>
                </c:pt>
                <c:pt idx="210">
                  <c:v>0.229075703881961</c:v>
                </c:pt>
                <c:pt idx="211">
                  <c:v>0.230974731293943</c:v>
                </c:pt>
                <c:pt idx="212">
                  <c:v>0.233103752657059</c:v>
                </c:pt>
                <c:pt idx="213">
                  <c:v>0.233469183519917</c:v>
                </c:pt>
                <c:pt idx="214">
                  <c:v>0.235195171361257</c:v>
                </c:pt>
                <c:pt idx="215">
                  <c:v>0.236772753783729</c:v>
                </c:pt>
                <c:pt idx="216">
                  <c:v>0.237047050504024</c:v>
                </c:pt>
                <c:pt idx="217">
                  <c:v>0.237205408786617</c:v>
                </c:pt>
                <c:pt idx="218">
                  <c:v>0.239406470304319</c:v>
                </c:pt>
                <c:pt idx="219">
                  <c:v>0.239635693773769</c:v>
                </c:pt>
                <c:pt idx="220">
                  <c:v>0.239765447486138</c:v>
                </c:pt>
                <c:pt idx="221">
                  <c:v>0.240087107965901</c:v>
                </c:pt>
                <c:pt idx="222">
                  <c:v>0.240138326229508</c:v>
                </c:pt>
                <c:pt idx="223">
                  <c:v>0.242467323371295</c:v>
                </c:pt>
                <c:pt idx="224">
                  <c:v>0.245281996554646</c:v>
                </c:pt>
                <c:pt idx="225">
                  <c:v>0.24552554852013</c:v>
                </c:pt>
                <c:pt idx="226">
                  <c:v>0.246334190819273</c:v>
                </c:pt>
                <c:pt idx="227">
                  <c:v>0.247888754314986</c:v>
                </c:pt>
                <c:pt idx="228">
                  <c:v>0.251235570125593</c:v>
                </c:pt>
                <c:pt idx="229">
                  <c:v>0.251461057176587</c:v>
                </c:pt>
                <c:pt idx="230">
                  <c:v>0.254264476064521</c:v>
                </c:pt>
                <c:pt idx="231">
                  <c:v>0.256291500519862</c:v>
                </c:pt>
                <c:pt idx="232">
                  <c:v>0.257747446209841</c:v>
                </c:pt>
                <c:pt idx="233">
                  <c:v>0.266773643252195</c:v>
                </c:pt>
                <c:pt idx="234">
                  <c:v>0.268252720507419</c:v>
                </c:pt>
                <c:pt idx="235">
                  <c:v>0.26862164503551</c:v>
                </c:pt>
                <c:pt idx="236">
                  <c:v>0.269760250051098</c:v>
                </c:pt>
                <c:pt idx="237">
                  <c:v>0.27132936750676</c:v>
                </c:pt>
                <c:pt idx="238">
                  <c:v>0.271954115342778</c:v>
                </c:pt>
                <c:pt idx="239">
                  <c:v>0.273140961811525</c:v>
                </c:pt>
                <c:pt idx="240">
                  <c:v>0.274575979205758</c:v>
                </c:pt>
                <c:pt idx="241">
                  <c:v>0.274653144354593</c:v>
                </c:pt>
                <c:pt idx="242">
                  <c:v>0.274889916559384</c:v>
                </c:pt>
                <c:pt idx="243">
                  <c:v>0.276093838111504</c:v>
                </c:pt>
                <c:pt idx="244">
                  <c:v>0.276754373255563</c:v>
                </c:pt>
                <c:pt idx="245">
                  <c:v>0.277375366048669</c:v>
                </c:pt>
                <c:pt idx="246">
                  <c:v>0.279106071955257</c:v>
                </c:pt>
                <c:pt idx="247">
                  <c:v>0.279195938996561</c:v>
                </c:pt>
                <c:pt idx="248">
                  <c:v>0.280199538683682</c:v>
                </c:pt>
                <c:pt idx="249">
                  <c:v>0.28118384366135</c:v>
                </c:pt>
                <c:pt idx="250">
                  <c:v>0.283681106415312</c:v>
                </c:pt>
                <c:pt idx="251">
                  <c:v>0.283835859279853</c:v>
                </c:pt>
                <c:pt idx="252">
                  <c:v>0.284272126266596</c:v>
                </c:pt>
                <c:pt idx="253">
                  <c:v>0.284566867322462</c:v>
                </c:pt>
                <c:pt idx="254">
                  <c:v>0.285487322971065</c:v>
                </c:pt>
                <c:pt idx="255">
                  <c:v>0.286701687482064</c:v>
                </c:pt>
                <c:pt idx="256">
                  <c:v>0.286778036651305</c:v>
                </c:pt>
                <c:pt idx="257">
                  <c:v>0.288003005730744</c:v>
                </c:pt>
                <c:pt idx="258">
                  <c:v>0.288505190102674</c:v>
                </c:pt>
                <c:pt idx="259">
                  <c:v>0.289383216889948</c:v>
                </c:pt>
                <c:pt idx="260">
                  <c:v>0.291297980877892</c:v>
                </c:pt>
                <c:pt idx="261">
                  <c:v>0.291911818876596</c:v>
                </c:pt>
                <c:pt idx="262">
                  <c:v>0.292966574857196</c:v>
                </c:pt>
                <c:pt idx="263">
                  <c:v>0.296238821173486</c:v>
                </c:pt>
                <c:pt idx="264">
                  <c:v>0.297039586575017</c:v>
                </c:pt>
                <c:pt idx="265">
                  <c:v>0.297114769726977</c:v>
                </c:pt>
                <c:pt idx="266">
                  <c:v>0.29725438057544</c:v>
                </c:pt>
                <c:pt idx="267">
                  <c:v>0.297551639051437</c:v>
                </c:pt>
                <c:pt idx="268">
                  <c:v>0.298192486573519</c:v>
                </c:pt>
                <c:pt idx="269">
                  <c:v>0.300001348164636</c:v>
                </c:pt>
                <c:pt idx="270">
                  <c:v>0.303680398665444</c:v>
                </c:pt>
                <c:pt idx="271">
                  <c:v>0.304639122045275</c:v>
                </c:pt>
                <c:pt idx="272">
                  <c:v>0.306860450353688</c:v>
                </c:pt>
                <c:pt idx="273">
                  <c:v>0.309038269949547</c:v>
                </c:pt>
                <c:pt idx="274">
                  <c:v>0.310427112244183</c:v>
                </c:pt>
                <c:pt idx="275">
                  <c:v>0.311043874179279</c:v>
                </c:pt>
                <c:pt idx="276">
                  <c:v>0.311578101712753</c:v>
                </c:pt>
                <c:pt idx="277">
                  <c:v>0.31526606698077</c:v>
                </c:pt>
                <c:pt idx="278">
                  <c:v>0.315497946409857</c:v>
                </c:pt>
                <c:pt idx="279">
                  <c:v>0.317027544655464</c:v>
                </c:pt>
                <c:pt idx="280">
                  <c:v>0.317999814496709</c:v>
                </c:pt>
                <c:pt idx="281">
                  <c:v>0.319679357904893</c:v>
                </c:pt>
                <c:pt idx="282">
                  <c:v>0.322942289163087</c:v>
                </c:pt>
                <c:pt idx="283">
                  <c:v>0.322996117348499</c:v>
                </c:pt>
                <c:pt idx="284">
                  <c:v>0.323035364214462</c:v>
                </c:pt>
                <c:pt idx="285">
                  <c:v>0.325567111254535</c:v>
                </c:pt>
                <c:pt idx="286">
                  <c:v>0.325858225192905</c:v>
                </c:pt>
                <c:pt idx="287">
                  <c:v>0.326196370934986</c:v>
                </c:pt>
                <c:pt idx="288">
                  <c:v>0.326350298602062</c:v>
                </c:pt>
                <c:pt idx="289">
                  <c:v>0.328230790149988</c:v>
                </c:pt>
                <c:pt idx="290">
                  <c:v>0.328893052141493</c:v>
                </c:pt>
                <c:pt idx="291">
                  <c:v>0.329530967322006</c:v>
                </c:pt>
                <c:pt idx="292">
                  <c:v>0.329713968247396</c:v>
                </c:pt>
                <c:pt idx="293">
                  <c:v>0.331443161996339</c:v>
                </c:pt>
                <c:pt idx="294">
                  <c:v>0.333147966278103</c:v>
                </c:pt>
                <c:pt idx="295">
                  <c:v>0.333220199853595</c:v>
                </c:pt>
                <c:pt idx="296">
                  <c:v>0.333319942180344</c:v>
                </c:pt>
                <c:pt idx="297">
                  <c:v>0.335895634116922</c:v>
                </c:pt>
                <c:pt idx="298">
                  <c:v>0.337023085016501</c:v>
                </c:pt>
                <c:pt idx="299">
                  <c:v>0.338540945060056</c:v>
                </c:pt>
                <c:pt idx="300">
                  <c:v>0.339684162872978</c:v>
                </c:pt>
                <c:pt idx="301">
                  <c:v>0.339704807790091</c:v>
                </c:pt>
                <c:pt idx="302">
                  <c:v>0.340276193709635</c:v>
                </c:pt>
                <c:pt idx="303">
                  <c:v>0.34093905406927</c:v>
                </c:pt>
                <c:pt idx="304">
                  <c:v>0.341264206196889</c:v>
                </c:pt>
                <c:pt idx="305">
                  <c:v>0.341767482685339</c:v>
                </c:pt>
                <c:pt idx="306">
                  <c:v>0.343786456691132</c:v>
                </c:pt>
                <c:pt idx="307">
                  <c:v>0.344216960782493</c:v>
                </c:pt>
                <c:pt idx="308">
                  <c:v>0.345736367835142</c:v>
                </c:pt>
                <c:pt idx="309">
                  <c:v>0.34612089900803</c:v>
                </c:pt>
                <c:pt idx="310">
                  <c:v>0.346287874651953</c:v>
                </c:pt>
                <c:pt idx="311">
                  <c:v>0.346689211331642</c:v>
                </c:pt>
                <c:pt idx="312">
                  <c:v>0.346827572219129</c:v>
                </c:pt>
                <c:pt idx="313">
                  <c:v>0.348644318136436</c:v>
                </c:pt>
                <c:pt idx="314">
                  <c:v>0.349142499411551</c:v>
                </c:pt>
                <c:pt idx="315">
                  <c:v>0.349372913286134</c:v>
                </c:pt>
                <c:pt idx="316">
                  <c:v>0.350576700178161</c:v>
                </c:pt>
                <c:pt idx="317">
                  <c:v>0.35209144718329</c:v>
                </c:pt>
                <c:pt idx="318">
                  <c:v>0.354756500388228</c:v>
                </c:pt>
                <c:pt idx="319">
                  <c:v>0.354767320793939</c:v>
                </c:pt>
                <c:pt idx="320">
                  <c:v>0.355364721479505</c:v>
                </c:pt>
                <c:pt idx="321">
                  <c:v>0.356701426094352</c:v>
                </c:pt>
                <c:pt idx="322">
                  <c:v>0.356894105821205</c:v>
                </c:pt>
                <c:pt idx="323">
                  <c:v>0.358147873657601</c:v>
                </c:pt>
                <c:pt idx="324">
                  <c:v>0.358662417405681</c:v>
                </c:pt>
                <c:pt idx="325">
                  <c:v>0.358674320657786</c:v>
                </c:pt>
                <c:pt idx="326">
                  <c:v>0.360070254187525</c:v>
                </c:pt>
                <c:pt idx="327">
                  <c:v>0.360335677144832</c:v>
                </c:pt>
                <c:pt idx="328">
                  <c:v>0.361116703258473</c:v>
                </c:pt>
                <c:pt idx="329">
                  <c:v>0.361209807215847</c:v>
                </c:pt>
                <c:pt idx="330">
                  <c:v>0.361221111843262</c:v>
                </c:pt>
                <c:pt idx="331">
                  <c:v>0.361673958002441</c:v>
                </c:pt>
                <c:pt idx="332">
                  <c:v>0.362007136123594</c:v>
                </c:pt>
                <c:pt idx="333">
                  <c:v>0.362389539809268</c:v>
                </c:pt>
                <c:pt idx="334">
                  <c:v>0.363077458262611</c:v>
                </c:pt>
                <c:pt idx="335">
                  <c:v>0.365317811255185</c:v>
                </c:pt>
                <c:pt idx="336">
                  <c:v>0.366209418626541</c:v>
                </c:pt>
                <c:pt idx="337">
                  <c:v>0.366210449990403</c:v>
                </c:pt>
                <c:pt idx="338">
                  <c:v>0.368850733574742</c:v>
                </c:pt>
                <c:pt idx="339">
                  <c:v>0.369296568440701</c:v>
                </c:pt>
                <c:pt idx="340">
                  <c:v>0.3708350748234</c:v>
                </c:pt>
                <c:pt idx="341">
                  <c:v>0.371629440760186</c:v>
                </c:pt>
                <c:pt idx="342">
                  <c:v>0.373005643513121</c:v>
                </c:pt>
                <c:pt idx="343">
                  <c:v>0.373807292536988</c:v>
                </c:pt>
                <c:pt idx="344">
                  <c:v>0.374566510322585</c:v>
                </c:pt>
                <c:pt idx="345">
                  <c:v>0.375954829575928</c:v>
                </c:pt>
                <c:pt idx="346">
                  <c:v>0.376448103834886</c:v>
                </c:pt>
                <c:pt idx="347">
                  <c:v>0.376899336472531</c:v>
                </c:pt>
                <c:pt idx="348">
                  <c:v>0.380802382237365</c:v>
                </c:pt>
                <c:pt idx="349">
                  <c:v>0.381164278558907</c:v>
                </c:pt>
                <c:pt idx="350">
                  <c:v>0.381581151549391</c:v>
                </c:pt>
                <c:pt idx="351">
                  <c:v>0.381721216332135</c:v>
                </c:pt>
                <c:pt idx="352">
                  <c:v>0.382717173898675</c:v>
                </c:pt>
                <c:pt idx="353">
                  <c:v>0.383428452310661</c:v>
                </c:pt>
                <c:pt idx="354">
                  <c:v>0.383914098554272</c:v>
                </c:pt>
                <c:pt idx="355">
                  <c:v>0.384336975846082</c:v>
                </c:pt>
                <c:pt idx="356">
                  <c:v>0.385130131087</c:v>
                </c:pt>
                <c:pt idx="357">
                  <c:v>0.387957030506934</c:v>
                </c:pt>
                <c:pt idx="358">
                  <c:v>0.38796723190543</c:v>
                </c:pt>
                <c:pt idx="359">
                  <c:v>0.388301923327007</c:v>
                </c:pt>
                <c:pt idx="360">
                  <c:v>0.389326271993654</c:v>
                </c:pt>
                <c:pt idx="361">
                  <c:v>0.395012327672321</c:v>
                </c:pt>
                <c:pt idx="362">
                  <c:v>0.40030970920521</c:v>
                </c:pt>
                <c:pt idx="363">
                  <c:v>0.401062925130486</c:v>
                </c:pt>
                <c:pt idx="364">
                  <c:v>0.401302862061596</c:v>
                </c:pt>
                <c:pt idx="365">
                  <c:v>0.403336104558229</c:v>
                </c:pt>
                <c:pt idx="366">
                  <c:v>0.403952498633395</c:v>
                </c:pt>
                <c:pt idx="367">
                  <c:v>0.404344171914653</c:v>
                </c:pt>
                <c:pt idx="368">
                  <c:v>0.405206261914413</c:v>
                </c:pt>
                <c:pt idx="369">
                  <c:v>0.405389165760436</c:v>
                </c:pt>
                <c:pt idx="370">
                  <c:v>0.406154257880476</c:v>
                </c:pt>
                <c:pt idx="371">
                  <c:v>0.408642577964773</c:v>
                </c:pt>
                <c:pt idx="372">
                  <c:v>0.40892606358416</c:v>
                </c:pt>
                <c:pt idx="373">
                  <c:v>0.409028749706209</c:v>
                </c:pt>
                <c:pt idx="374">
                  <c:v>0.40930588581456</c:v>
                </c:pt>
                <c:pt idx="375">
                  <c:v>0.410155680106149</c:v>
                </c:pt>
                <c:pt idx="376">
                  <c:v>0.410525898696173</c:v>
                </c:pt>
                <c:pt idx="377">
                  <c:v>0.411287408435729</c:v>
                </c:pt>
                <c:pt idx="378">
                  <c:v>0.41132197370471</c:v>
                </c:pt>
                <c:pt idx="379">
                  <c:v>0.411760471914814</c:v>
                </c:pt>
                <c:pt idx="380">
                  <c:v>0.413572188293164</c:v>
                </c:pt>
                <c:pt idx="381">
                  <c:v>0.41422581419886</c:v>
                </c:pt>
                <c:pt idx="382">
                  <c:v>0.41427572720081</c:v>
                </c:pt>
                <c:pt idx="383">
                  <c:v>0.415803242536065</c:v>
                </c:pt>
                <c:pt idx="384">
                  <c:v>0.416144365289764</c:v>
                </c:pt>
                <c:pt idx="385">
                  <c:v>0.417428520985981</c:v>
                </c:pt>
                <c:pt idx="386">
                  <c:v>0.419314316305366</c:v>
                </c:pt>
                <c:pt idx="387">
                  <c:v>0.420282636704836</c:v>
                </c:pt>
                <c:pt idx="388">
                  <c:v>0.420761456790493</c:v>
                </c:pt>
                <c:pt idx="389">
                  <c:v>0.422704655349946</c:v>
                </c:pt>
                <c:pt idx="390">
                  <c:v>0.423000203828405</c:v>
                </c:pt>
                <c:pt idx="391">
                  <c:v>0.426658683957058</c:v>
                </c:pt>
                <c:pt idx="392">
                  <c:v>0.426819890958971</c:v>
                </c:pt>
                <c:pt idx="393">
                  <c:v>0.42767061792259</c:v>
                </c:pt>
                <c:pt idx="394">
                  <c:v>0.428051945434847</c:v>
                </c:pt>
                <c:pt idx="395">
                  <c:v>0.428064633899295</c:v>
                </c:pt>
                <c:pt idx="396">
                  <c:v>0.428470347524966</c:v>
                </c:pt>
                <c:pt idx="397">
                  <c:v>0.428768464400959</c:v>
                </c:pt>
                <c:pt idx="398">
                  <c:v>0.429693747229194</c:v>
                </c:pt>
                <c:pt idx="399">
                  <c:v>0.43031002110124</c:v>
                </c:pt>
                <c:pt idx="400">
                  <c:v>0.430820664066374</c:v>
                </c:pt>
                <c:pt idx="401">
                  <c:v>0.431593248905266</c:v>
                </c:pt>
                <c:pt idx="402">
                  <c:v>0.433096877781157</c:v>
                </c:pt>
                <c:pt idx="403">
                  <c:v>0.433809339453258</c:v>
                </c:pt>
                <c:pt idx="404">
                  <c:v>0.435916614369483</c:v>
                </c:pt>
                <c:pt idx="405">
                  <c:v>0.436560161273352</c:v>
                </c:pt>
                <c:pt idx="406">
                  <c:v>0.437757142821833</c:v>
                </c:pt>
                <c:pt idx="407">
                  <c:v>0.438969152221821</c:v>
                </c:pt>
                <c:pt idx="408">
                  <c:v>0.438984439865679</c:v>
                </c:pt>
                <c:pt idx="409">
                  <c:v>0.439423848851315</c:v>
                </c:pt>
                <c:pt idx="410">
                  <c:v>0.439624198277897</c:v>
                </c:pt>
                <c:pt idx="411">
                  <c:v>0.439900410081634</c:v>
                </c:pt>
                <c:pt idx="412">
                  <c:v>0.441788919163595</c:v>
                </c:pt>
                <c:pt idx="413">
                  <c:v>0.441967296581722</c:v>
                </c:pt>
                <c:pt idx="414">
                  <c:v>0.442557249375427</c:v>
                </c:pt>
                <c:pt idx="415">
                  <c:v>0.443319950470988</c:v>
                </c:pt>
                <c:pt idx="416">
                  <c:v>0.443674550248934</c:v>
                </c:pt>
                <c:pt idx="417">
                  <c:v>0.445037381981982</c:v>
                </c:pt>
                <c:pt idx="418">
                  <c:v>0.445389130848816</c:v>
                </c:pt>
                <c:pt idx="419">
                  <c:v>0.445652548051871</c:v>
                </c:pt>
                <c:pt idx="420">
                  <c:v>0.445866502790751</c:v>
                </c:pt>
                <c:pt idx="421">
                  <c:v>0.447020042821884</c:v>
                </c:pt>
                <c:pt idx="422">
                  <c:v>0.447178442322141</c:v>
                </c:pt>
                <c:pt idx="423">
                  <c:v>0.447560823024088</c:v>
                </c:pt>
                <c:pt idx="424">
                  <c:v>0.447682731489919</c:v>
                </c:pt>
                <c:pt idx="425">
                  <c:v>0.448524828622725</c:v>
                </c:pt>
                <c:pt idx="426">
                  <c:v>0.452670564169555</c:v>
                </c:pt>
                <c:pt idx="427">
                  <c:v>0.454179863561197</c:v>
                </c:pt>
                <c:pt idx="428">
                  <c:v>0.456729100797918</c:v>
                </c:pt>
                <c:pt idx="429">
                  <c:v>0.456798042263225</c:v>
                </c:pt>
                <c:pt idx="430">
                  <c:v>0.457292825943478</c:v>
                </c:pt>
                <c:pt idx="431">
                  <c:v>0.457944565949533</c:v>
                </c:pt>
                <c:pt idx="432">
                  <c:v>0.45854341109319</c:v>
                </c:pt>
                <c:pt idx="433">
                  <c:v>0.459119170089324</c:v>
                </c:pt>
                <c:pt idx="434">
                  <c:v>0.459510583327152</c:v>
                </c:pt>
                <c:pt idx="435">
                  <c:v>0.460700479825236</c:v>
                </c:pt>
                <c:pt idx="436">
                  <c:v>0.461020119005857</c:v>
                </c:pt>
                <c:pt idx="437">
                  <c:v>0.461569854453043</c:v>
                </c:pt>
                <c:pt idx="438">
                  <c:v>0.461632667180554</c:v>
                </c:pt>
                <c:pt idx="439">
                  <c:v>0.461923979275257</c:v>
                </c:pt>
                <c:pt idx="440">
                  <c:v>0.462281459259154</c:v>
                </c:pt>
                <c:pt idx="441">
                  <c:v>0.462305503794076</c:v>
                </c:pt>
                <c:pt idx="442">
                  <c:v>0.463163963105289</c:v>
                </c:pt>
                <c:pt idx="443">
                  <c:v>0.464779148081201</c:v>
                </c:pt>
                <c:pt idx="444">
                  <c:v>0.465577221705355</c:v>
                </c:pt>
                <c:pt idx="445">
                  <c:v>0.467549206639524</c:v>
                </c:pt>
                <c:pt idx="446">
                  <c:v>0.469023488228148</c:v>
                </c:pt>
                <c:pt idx="447">
                  <c:v>0.469050347492039</c:v>
                </c:pt>
                <c:pt idx="448">
                  <c:v>0.469846283222367</c:v>
                </c:pt>
                <c:pt idx="449">
                  <c:v>0.470204880912047</c:v>
                </c:pt>
                <c:pt idx="450">
                  <c:v>0.470579348582336</c:v>
                </c:pt>
                <c:pt idx="451">
                  <c:v>0.472633687353705</c:v>
                </c:pt>
                <c:pt idx="452">
                  <c:v>0.473070228145963</c:v>
                </c:pt>
                <c:pt idx="453">
                  <c:v>0.473366882312582</c:v>
                </c:pt>
                <c:pt idx="454">
                  <c:v>0.473465488603747</c:v>
                </c:pt>
                <c:pt idx="455">
                  <c:v>0.473933951477611</c:v>
                </c:pt>
                <c:pt idx="456">
                  <c:v>0.474401651476543</c:v>
                </c:pt>
                <c:pt idx="457">
                  <c:v>0.476345140914699</c:v>
                </c:pt>
                <c:pt idx="458">
                  <c:v>0.476353940636386</c:v>
                </c:pt>
                <c:pt idx="459">
                  <c:v>0.476604530089531</c:v>
                </c:pt>
                <c:pt idx="460">
                  <c:v>0.4779006676781</c:v>
                </c:pt>
                <c:pt idx="461">
                  <c:v>0.478671325699018</c:v>
                </c:pt>
                <c:pt idx="462">
                  <c:v>0.479311085888023</c:v>
                </c:pt>
                <c:pt idx="463">
                  <c:v>0.480816899885769</c:v>
                </c:pt>
                <c:pt idx="464">
                  <c:v>0.480845630909442</c:v>
                </c:pt>
                <c:pt idx="465">
                  <c:v>0.481516869867156</c:v>
                </c:pt>
                <c:pt idx="466">
                  <c:v>0.482025234017291</c:v>
                </c:pt>
                <c:pt idx="467">
                  <c:v>0.48247659267823</c:v>
                </c:pt>
                <c:pt idx="468">
                  <c:v>0.482655813115515</c:v>
                </c:pt>
                <c:pt idx="469">
                  <c:v>0.483192314831998</c:v>
                </c:pt>
                <c:pt idx="470">
                  <c:v>0.483427071683226</c:v>
                </c:pt>
                <c:pt idx="471">
                  <c:v>0.483814202395689</c:v>
                </c:pt>
                <c:pt idx="472">
                  <c:v>0.483970131286956</c:v>
                </c:pt>
                <c:pt idx="473">
                  <c:v>0.484138518392276</c:v>
                </c:pt>
                <c:pt idx="474">
                  <c:v>0.485025667311016</c:v>
                </c:pt>
                <c:pt idx="475">
                  <c:v>0.486657930648069</c:v>
                </c:pt>
                <c:pt idx="476">
                  <c:v>0.48709443542601</c:v>
                </c:pt>
                <c:pt idx="477">
                  <c:v>0.487120322692253</c:v>
                </c:pt>
                <c:pt idx="478">
                  <c:v>0.488160997880016</c:v>
                </c:pt>
                <c:pt idx="479">
                  <c:v>0.488530165281799</c:v>
                </c:pt>
                <c:pt idx="480">
                  <c:v>0.489372399755566</c:v>
                </c:pt>
                <c:pt idx="481">
                  <c:v>0.489625694447866</c:v>
                </c:pt>
                <c:pt idx="482">
                  <c:v>0.490628693631632</c:v>
                </c:pt>
                <c:pt idx="483">
                  <c:v>0.490959778734985</c:v>
                </c:pt>
                <c:pt idx="484">
                  <c:v>0.491663611882288</c:v>
                </c:pt>
                <c:pt idx="485">
                  <c:v>0.492051043848115</c:v>
                </c:pt>
                <c:pt idx="486">
                  <c:v>0.492408904196433</c:v>
                </c:pt>
                <c:pt idx="487">
                  <c:v>0.492590709689798</c:v>
                </c:pt>
                <c:pt idx="488">
                  <c:v>0.492772528946609</c:v>
                </c:pt>
                <c:pt idx="489">
                  <c:v>0.495485464086929</c:v>
                </c:pt>
                <c:pt idx="490">
                  <c:v>0.496758423123797</c:v>
                </c:pt>
                <c:pt idx="491">
                  <c:v>0.49736117251305</c:v>
                </c:pt>
                <c:pt idx="492">
                  <c:v>0.497491819203805</c:v>
                </c:pt>
                <c:pt idx="493">
                  <c:v>0.497821446107364</c:v>
                </c:pt>
                <c:pt idx="494">
                  <c:v>0.498089884225187</c:v>
                </c:pt>
                <c:pt idx="495">
                  <c:v>0.498152326830405</c:v>
                </c:pt>
                <c:pt idx="496">
                  <c:v>0.499099872194932</c:v>
                </c:pt>
                <c:pt idx="497">
                  <c:v>0.499843000707108</c:v>
                </c:pt>
                <c:pt idx="498">
                  <c:v>0.500301770045688</c:v>
                </c:pt>
                <c:pt idx="499">
                  <c:v>0.500401261969339</c:v>
                </c:pt>
                <c:pt idx="500">
                  <c:v>0.501289064974474</c:v>
                </c:pt>
                <c:pt idx="501">
                  <c:v>0.502201138698073</c:v>
                </c:pt>
                <c:pt idx="502">
                  <c:v>0.503434741863867</c:v>
                </c:pt>
                <c:pt idx="503">
                  <c:v>0.504675618431739</c:v>
                </c:pt>
                <c:pt idx="504">
                  <c:v>0.504867920934345</c:v>
                </c:pt>
                <c:pt idx="505">
                  <c:v>0.506542708139371</c:v>
                </c:pt>
                <c:pt idx="506">
                  <c:v>0.507122391421487</c:v>
                </c:pt>
                <c:pt idx="507">
                  <c:v>0.507127196390834</c:v>
                </c:pt>
                <c:pt idx="508">
                  <c:v>0.50729722037735</c:v>
                </c:pt>
                <c:pt idx="509">
                  <c:v>0.50829866708725</c:v>
                </c:pt>
                <c:pt idx="510">
                  <c:v>0.50892381378511</c:v>
                </c:pt>
                <c:pt idx="511">
                  <c:v>0.509498052221921</c:v>
                </c:pt>
                <c:pt idx="512">
                  <c:v>0.509617215364176</c:v>
                </c:pt>
                <c:pt idx="513">
                  <c:v>0.512496430637392</c:v>
                </c:pt>
                <c:pt idx="514">
                  <c:v>0.512505244805722</c:v>
                </c:pt>
                <c:pt idx="515">
                  <c:v>0.513484155775931</c:v>
                </c:pt>
                <c:pt idx="516">
                  <c:v>0.513723405860216</c:v>
                </c:pt>
                <c:pt idx="517">
                  <c:v>0.513753787531294</c:v>
                </c:pt>
                <c:pt idx="518">
                  <c:v>0.514036772473376</c:v>
                </c:pt>
                <c:pt idx="519">
                  <c:v>0.514721203252893</c:v>
                </c:pt>
                <c:pt idx="520">
                  <c:v>0.515344743925231</c:v>
                </c:pt>
                <c:pt idx="521">
                  <c:v>0.51576627965802</c:v>
                </c:pt>
                <c:pt idx="522">
                  <c:v>0.516567988822063</c:v>
                </c:pt>
                <c:pt idx="523">
                  <c:v>0.517485796375273</c:v>
                </c:pt>
                <c:pt idx="524">
                  <c:v>0.517516310390696</c:v>
                </c:pt>
                <c:pt idx="525">
                  <c:v>0.517784622167496</c:v>
                </c:pt>
                <c:pt idx="526">
                  <c:v>0.518684037366547</c:v>
                </c:pt>
                <c:pt idx="527">
                  <c:v>0.519099524411664</c:v>
                </c:pt>
                <c:pt idx="528">
                  <c:v>0.519857288178421</c:v>
                </c:pt>
                <c:pt idx="529">
                  <c:v>0.5207598328821</c:v>
                </c:pt>
                <c:pt idx="530">
                  <c:v>0.523787189486661</c:v>
                </c:pt>
                <c:pt idx="531">
                  <c:v>0.52392892338845</c:v>
                </c:pt>
                <c:pt idx="532">
                  <c:v>0.524626594028812</c:v>
                </c:pt>
                <c:pt idx="533">
                  <c:v>0.524681124579592</c:v>
                </c:pt>
                <c:pt idx="534">
                  <c:v>0.525065557280494</c:v>
                </c:pt>
                <c:pt idx="535">
                  <c:v>0.525392739935968</c:v>
                </c:pt>
                <c:pt idx="536">
                  <c:v>0.525964869588698</c:v>
                </c:pt>
                <c:pt idx="537">
                  <c:v>0.527837609477448</c:v>
                </c:pt>
                <c:pt idx="538">
                  <c:v>0.52827416044469</c:v>
                </c:pt>
                <c:pt idx="539">
                  <c:v>0.528362494364487</c:v>
                </c:pt>
                <c:pt idx="540">
                  <c:v>0.528617250700127</c:v>
                </c:pt>
                <c:pt idx="541">
                  <c:v>0.530675247674563</c:v>
                </c:pt>
                <c:pt idx="542">
                  <c:v>0.531601412857973</c:v>
                </c:pt>
                <c:pt idx="543">
                  <c:v>0.532657649869013</c:v>
                </c:pt>
                <c:pt idx="544">
                  <c:v>0.537440861190035</c:v>
                </c:pt>
                <c:pt idx="545">
                  <c:v>0.540117582683008</c:v>
                </c:pt>
                <c:pt idx="546">
                  <c:v>0.540184334657974</c:v>
                </c:pt>
                <c:pt idx="547">
                  <c:v>0.54026581280911</c:v>
                </c:pt>
                <c:pt idx="548">
                  <c:v>0.540579200274623</c:v>
                </c:pt>
                <c:pt idx="549">
                  <c:v>0.540606158006498</c:v>
                </c:pt>
                <c:pt idx="550">
                  <c:v>0.540933575848562</c:v>
                </c:pt>
                <c:pt idx="551">
                  <c:v>0.54120509810144</c:v>
                </c:pt>
                <c:pt idx="552">
                  <c:v>0.541325686855476</c:v>
                </c:pt>
                <c:pt idx="553">
                  <c:v>0.541520188379457</c:v>
                </c:pt>
                <c:pt idx="554">
                  <c:v>0.541770032938597</c:v>
                </c:pt>
                <c:pt idx="555">
                  <c:v>0.541955130661756</c:v>
                </c:pt>
                <c:pt idx="556">
                  <c:v>0.542324082452888</c:v>
                </c:pt>
                <c:pt idx="557">
                  <c:v>0.543087776955192</c:v>
                </c:pt>
                <c:pt idx="558">
                  <c:v>0.544660723824638</c:v>
                </c:pt>
                <c:pt idx="559">
                  <c:v>0.546319367297192</c:v>
                </c:pt>
                <c:pt idx="560">
                  <c:v>0.546815925244042</c:v>
                </c:pt>
                <c:pt idx="561">
                  <c:v>0.548848227466693</c:v>
                </c:pt>
                <c:pt idx="562">
                  <c:v>0.549059320919653</c:v>
                </c:pt>
                <c:pt idx="563">
                  <c:v>0.549451733729172</c:v>
                </c:pt>
                <c:pt idx="564">
                  <c:v>0.550309554598188</c:v>
                </c:pt>
                <c:pt idx="565">
                  <c:v>0.551637800069336</c:v>
                </c:pt>
                <c:pt idx="566">
                  <c:v>0.551986198874199</c:v>
                </c:pt>
                <c:pt idx="567">
                  <c:v>0.552522571338064</c:v>
                </c:pt>
                <c:pt idx="568">
                  <c:v>0.553485053911483</c:v>
                </c:pt>
                <c:pt idx="569">
                  <c:v>0.553850338100594</c:v>
                </c:pt>
                <c:pt idx="570">
                  <c:v>0.554364879196613</c:v>
                </c:pt>
                <c:pt idx="571">
                  <c:v>0.554378573170775</c:v>
                </c:pt>
                <c:pt idx="572">
                  <c:v>0.554394828206947</c:v>
                </c:pt>
                <c:pt idx="573">
                  <c:v>0.556197234864045</c:v>
                </c:pt>
                <c:pt idx="574">
                  <c:v>0.558558115299471</c:v>
                </c:pt>
                <c:pt idx="575">
                  <c:v>0.55946601289413</c:v>
                </c:pt>
                <c:pt idx="576">
                  <c:v>0.560803301024522</c:v>
                </c:pt>
                <c:pt idx="577">
                  <c:v>0.560856815718808</c:v>
                </c:pt>
                <c:pt idx="578">
                  <c:v>0.560900073602186</c:v>
                </c:pt>
                <c:pt idx="579">
                  <c:v>0.5631672191533</c:v>
                </c:pt>
                <c:pt idx="580">
                  <c:v>0.563264896018908</c:v>
                </c:pt>
                <c:pt idx="581">
                  <c:v>0.563577328145573</c:v>
                </c:pt>
                <c:pt idx="582">
                  <c:v>0.564958982218819</c:v>
                </c:pt>
                <c:pt idx="583">
                  <c:v>0.565477942018339</c:v>
                </c:pt>
                <c:pt idx="584">
                  <c:v>0.565875890267338</c:v>
                </c:pt>
                <c:pt idx="585">
                  <c:v>0.566352221720326</c:v>
                </c:pt>
                <c:pt idx="586">
                  <c:v>0.566386695882604</c:v>
                </c:pt>
                <c:pt idx="587">
                  <c:v>0.567747585126955</c:v>
                </c:pt>
                <c:pt idx="588">
                  <c:v>0.567843153439428</c:v>
                </c:pt>
                <c:pt idx="589">
                  <c:v>0.567939972076578</c:v>
                </c:pt>
                <c:pt idx="590">
                  <c:v>0.568269535044125</c:v>
                </c:pt>
                <c:pt idx="591">
                  <c:v>0.568398392414745</c:v>
                </c:pt>
                <c:pt idx="592">
                  <c:v>0.568572227413764</c:v>
                </c:pt>
                <c:pt idx="593">
                  <c:v>0.570541118180405</c:v>
                </c:pt>
                <c:pt idx="594">
                  <c:v>0.570656223949063</c:v>
                </c:pt>
                <c:pt idx="595">
                  <c:v>0.571127933414713</c:v>
                </c:pt>
                <c:pt idx="596">
                  <c:v>0.571231550280055</c:v>
                </c:pt>
                <c:pt idx="597">
                  <c:v>0.571734134068895</c:v>
                </c:pt>
                <c:pt idx="598">
                  <c:v>0.57212688034378</c:v>
                </c:pt>
                <c:pt idx="599">
                  <c:v>0.572382319486583</c:v>
                </c:pt>
                <c:pt idx="600">
                  <c:v>0.574288406642743</c:v>
                </c:pt>
                <c:pt idx="601">
                  <c:v>0.57499836296489</c:v>
                </c:pt>
                <c:pt idx="602">
                  <c:v>0.575167243843761</c:v>
                </c:pt>
                <c:pt idx="603">
                  <c:v>0.576063904256686</c:v>
                </c:pt>
                <c:pt idx="604">
                  <c:v>0.57614670286005</c:v>
                </c:pt>
                <c:pt idx="605">
                  <c:v>0.576883913573929</c:v>
                </c:pt>
                <c:pt idx="606">
                  <c:v>0.577938721951567</c:v>
                </c:pt>
                <c:pt idx="607">
                  <c:v>0.578192172465574</c:v>
                </c:pt>
                <c:pt idx="608">
                  <c:v>0.580178191422399</c:v>
                </c:pt>
                <c:pt idx="609">
                  <c:v>0.58025142985104</c:v>
                </c:pt>
                <c:pt idx="610">
                  <c:v>0.581939313181852</c:v>
                </c:pt>
                <c:pt idx="611">
                  <c:v>0.582426114072089</c:v>
                </c:pt>
                <c:pt idx="612">
                  <c:v>0.584057160400397</c:v>
                </c:pt>
                <c:pt idx="613">
                  <c:v>0.58423413710538</c:v>
                </c:pt>
                <c:pt idx="614">
                  <c:v>0.584682867059858</c:v>
                </c:pt>
                <c:pt idx="615">
                  <c:v>0.586973527640839</c:v>
                </c:pt>
                <c:pt idx="616">
                  <c:v>0.588421010279774</c:v>
                </c:pt>
                <c:pt idx="617">
                  <c:v>0.588539672191328</c:v>
                </c:pt>
                <c:pt idx="618">
                  <c:v>0.588901024053786</c:v>
                </c:pt>
                <c:pt idx="619">
                  <c:v>0.590831533983901</c:v>
                </c:pt>
                <c:pt idx="620">
                  <c:v>0.591677590138459</c:v>
                </c:pt>
                <c:pt idx="621">
                  <c:v>0.591849144278943</c:v>
                </c:pt>
                <c:pt idx="622">
                  <c:v>0.593028133641697</c:v>
                </c:pt>
                <c:pt idx="623">
                  <c:v>0.593114296573695</c:v>
                </c:pt>
                <c:pt idx="624">
                  <c:v>0.593780461859591</c:v>
                </c:pt>
                <c:pt idx="625">
                  <c:v>0.596513568475032</c:v>
                </c:pt>
                <c:pt idx="626">
                  <c:v>0.59759329636904</c:v>
                </c:pt>
                <c:pt idx="627">
                  <c:v>0.599846187708049</c:v>
                </c:pt>
                <c:pt idx="628">
                  <c:v>0.60007249674469</c:v>
                </c:pt>
                <c:pt idx="629">
                  <c:v>0.600533619991472</c:v>
                </c:pt>
                <c:pt idx="630">
                  <c:v>0.601230336547425</c:v>
                </c:pt>
                <c:pt idx="631">
                  <c:v>0.602288285833932</c:v>
                </c:pt>
                <c:pt idx="632">
                  <c:v>0.603004947367208</c:v>
                </c:pt>
                <c:pt idx="633">
                  <c:v>0.603175597750688</c:v>
                </c:pt>
                <c:pt idx="634">
                  <c:v>0.603654090750211</c:v>
                </c:pt>
                <c:pt idx="635">
                  <c:v>0.60372801261646</c:v>
                </c:pt>
                <c:pt idx="636">
                  <c:v>0.603805272164488</c:v>
                </c:pt>
                <c:pt idx="637">
                  <c:v>0.605233915480813</c:v>
                </c:pt>
                <c:pt idx="638">
                  <c:v>0.605799325538161</c:v>
                </c:pt>
                <c:pt idx="639">
                  <c:v>0.606239113569465</c:v>
                </c:pt>
                <c:pt idx="640">
                  <c:v>0.607447832905228</c:v>
                </c:pt>
                <c:pt idx="641">
                  <c:v>0.607917383411721</c:v>
                </c:pt>
                <c:pt idx="642">
                  <c:v>0.609050584098969</c:v>
                </c:pt>
                <c:pt idx="643">
                  <c:v>0.61041469230466</c:v>
                </c:pt>
                <c:pt idx="644">
                  <c:v>0.611605104522782</c:v>
                </c:pt>
                <c:pt idx="645">
                  <c:v>0.615134613935683</c:v>
                </c:pt>
                <c:pt idx="646">
                  <c:v>0.6161735779872</c:v>
                </c:pt>
                <c:pt idx="647">
                  <c:v>0.616249546133322</c:v>
                </c:pt>
                <c:pt idx="648">
                  <c:v>0.616781720089772</c:v>
                </c:pt>
                <c:pt idx="649">
                  <c:v>0.617025061231439</c:v>
                </c:pt>
                <c:pt idx="650">
                  <c:v>0.618604122023487</c:v>
                </c:pt>
                <c:pt idx="651">
                  <c:v>0.619042835679809</c:v>
                </c:pt>
                <c:pt idx="652">
                  <c:v>0.61911858939168</c:v>
                </c:pt>
                <c:pt idx="653">
                  <c:v>0.61917523232424</c:v>
                </c:pt>
                <c:pt idx="654">
                  <c:v>0.619469721642585</c:v>
                </c:pt>
                <c:pt idx="655">
                  <c:v>0.619922523367255</c:v>
                </c:pt>
                <c:pt idx="656">
                  <c:v>0.620505839714676</c:v>
                </c:pt>
                <c:pt idx="657">
                  <c:v>0.622415528989032</c:v>
                </c:pt>
                <c:pt idx="658">
                  <c:v>0.623821479000656</c:v>
                </c:pt>
                <c:pt idx="659">
                  <c:v>0.625207758268587</c:v>
                </c:pt>
                <c:pt idx="660">
                  <c:v>0.627200312495172</c:v>
                </c:pt>
                <c:pt idx="661">
                  <c:v>0.627425032987622</c:v>
                </c:pt>
                <c:pt idx="662">
                  <c:v>0.628275940363324</c:v>
                </c:pt>
                <c:pt idx="663">
                  <c:v>0.6289519588296</c:v>
                </c:pt>
                <c:pt idx="664">
                  <c:v>0.629571896419997</c:v>
                </c:pt>
                <c:pt idx="665">
                  <c:v>0.630054712027833</c:v>
                </c:pt>
                <c:pt idx="666">
                  <c:v>0.630804732428013</c:v>
                </c:pt>
                <c:pt idx="667">
                  <c:v>0.633255602127231</c:v>
                </c:pt>
                <c:pt idx="668">
                  <c:v>0.634531081883554</c:v>
                </c:pt>
                <c:pt idx="669">
                  <c:v>0.63488903759601</c:v>
                </c:pt>
                <c:pt idx="670">
                  <c:v>0.635821529985881</c:v>
                </c:pt>
                <c:pt idx="671">
                  <c:v>0.636167566550074</c:v>
                </c:pt>
                <c:pt idx="672">
                  <c:v>0.636740552590333</c:v>
                </c:pt>
                <c:pt idx="673">
                  <c:v>0.638890648573031</c:v>
                </c:pt>
                <c:pt idx="674">
                  <c:v>0.639539381242474</c:v>
                </c:pt>
                <c:pt idx="675">
                  <c:v>0.641360070799053</c:v>
                </c:pt>
                <c:pt idx="676">
                  <c:v>0.64167222212587</c:v>
                </c:pt>
                <c:pt idx="677">
                  <c:v>0.641703978473019</c:v>
                </c:pt>
                <c:pt idx="678">
                  <c:v>0.644527858362796</c:v>
                </c:pt>
                <c:pt idx="679">
                  <c:v>0.646181624762739</c:v>
                </c:pt>
                <c:pt idx="680">
                  <c:v>0.646263763083403</c:v>
                </c:pt>
                <c:pt idx="681">
                  <c:v>0.646698442525547</c:v>
                </c:pt>
                <c:pt idx="682">
                  <c:v>0.646889687130504</c:v>
                </c:pt>
                <c:pt idx="683">
                  <c:v>0.648107310249243</c:v>
                </c:pt>
                <c:pt idx="684">
                  <c:v>0.649212502770105</c:v>
                </c:pt>
                <c:pt idx="685">
                  <c:v>0.649542238545153</c:v>
                </c:pt>
                <c:pt idx="686">
                  <c:v>0.651015742460955</c:v>
                </c:pt>
                <c:pt idx="687">
                  <c:v>0.656147967333322</c:v>
                </c:pt>
                <c:pt idx="688">
                  <c:v>0.657257275623021</c:v>
                </c:pt>
                <c:pt idx="689">
                  <c:v>0.657768423773574</c:v>
                </c:pt>
                <c:pt idx="690">
                  <c:v>0.659221639369596</c:v>
                </c:pt>
                <c:pt idx="691">
                  <c:v>0.6602231064789</c:v>
                </c:pt>
                <c:pt idx="692">
                  <c:v>0.660947225449531</c:v>
                </c:pt>
                <c:pt idx="693">
                  <c:v>0.661014092814778</c:v>
                </c:pt>
                <c:pt idx="694">
                  <c:v>0.662472196951607</c:v>
                </c:pt>
                <c:pt idx="695">
                  <c:v>0.662536935556912</c:v>
                </c:pt>
                <c:pt idx="696">
                  <c:v>0.663007868693039</c:v>
                </c:pt>
                <c:pt idx="697">
                  <c:v>0.663602742535394</c:v>
                </c:pt>
                <c:pt idx="698">
                  <c:v>0.664685961517537</c:v>
                </c:pt>
                <c:pt idx="699">
                  <c:v>0.665685546272702</c:v>
                </c:pt>
                <c:pt idx="700">
                  <c:v>0.667754602481718</c:v>
                </c:pt>
                <c:pt idx="701">
                  <c:v>0.667988379741737</c:v>
                </c:pt>
                <c:pt idx="702">
                  <c:v>0.670608397920973</c:v>
                </c:pt>
                <c:pt idx="703">
                  <c:v>0.672068752121665</c:v>
                </c:pt>
                <c:pt idx="704">
                  <c:v>0.672388529947278</c:v>
                </c:pt>
                <c:pt idx="705">
                  <c:v>0.672723163554813</c:v>
                </c:pt>
                <c:pt idx="706">
                  <c:v>0.674013917427092</c:v>
                </c:pt>
                <c:pt idx="707">
                  <c:v>0.675693244458603</c:v>
                </c:pt>
                <c:pt idx="708">
                  <c:v>0.677819457837117</c:v>
                </c:pt>
                <c:pt idx="709">
                  <c:v>0.679297714139836</c:v>
                </c:pt>
                <c:pt idx="710">
                  <c:v>0.680039218487725</c:v>
                </c:pt>
                <c:pt idx="711">
                  <c:v>0.680160484821186</c:v>
                </c:pt>
                <c:pt idx="712">
                  <c:v>0.681712493000343</c:v>
                </c:pt>
                <c:pt idx="713">
                  <c:v>0.681863332412677</c:v>
                </c:pt>
                <c:pt idx="714">
                  <c:v>0.683100408528525</c:v>
                </c:pt>
                <c:pt idx="715">
                  <c:v>0.684771287916473</c:v>
                </c:pt>
                <c:pt idx="716">
                  <c:v>0.687617966875949</c:v>
                </c:pt>
                <c:pt idx="717">
                  <c:v>0.688157354599534</c:v>
                </c:pt>
                <c:pt idx="718">
                  <c:v>0.688210092214559</c:v>
                </c:pt>
                <c:pt idx="719">
                  <c:v>0.689453648860105</c:v>
                </c:pt>
                <c:pt idx="720">
                  <c:v>0.692195692368423</c:v>
                </c:pt>
                <c:pt idx="721">
                  <c:v>0.693675081468536</c:v>
                </c:pt>
                <c:pt idx="722">
                  <c:v>0.694983706635257</c:v>
                </c:pt>
                <c:pt idx="723">
                  <c:v>0.696097855994209</c:v>
                </c:pt>
                <c:pt idx="724">
                  <c:v>0.696359708403676</c:v>
                </c:pt>
                <c:pt idx="725">
                  <c:v>0.69725465979974</c:v>
                </c:pt>
                <c:pt idx="726">
                  <c:v>0.697532831239003</c:v>
                </c:pt>
                <c:pt idx="727">
                  <c:v>0.697779991038632</c:v>
                </c:pt>
                <c:pt idx="728">
                  <c:v>0.699405954596528</c:v>
                </c:pt>
                <c:pt idx="729">
                  <c:v>0.701350181984728</c:v>
                </c:pt>
                <c:pt idx="730">
                  <c:v>0.701768413873421</c:v>
                </c:pt>
                <c:pt idx="731">
                  <c:v>0.702233369316668</c:v>
                </c:pt>
                <c:pt idx="732">
                  <c:v>0.704507873903199</c:v>
                </c:pt>
                <c:pt idx="733">
                  <c:v>0.704612570525678</c:v>
                </c:pt>
                <c:pt idx="734">
                  <c:v>0.7052393918507</c:v>
                </c:pt>
                <c:pt idx="735">
                  <c:v>0.70563383167519</c:v>
                </c:pt>
                <c:pt idx="736">
                  <c:v>0.70658367265364</c:v>
                </c:pt>
                <c:pt idx="737">
                  <c:v>0.707799272455223</c:v>
                </c:pt>
                <c:pt idx="738">
                  <c:v>0.708248333817762</c:v>
                </c:pt>
                <c:pt idx="739">
                  <c:v>0.709117739738779</c:v>
                </c:pt>
                <c:pt idx="740">
                  <c:v>0.709934631538938</c:v>
                </c:pt>
                <c:pt idx="741">
                  <c:v>0.711853611779696</c:v>
                </c:pt>
                <c:pt idx="742">
                  <c:v>0.713312505533563</c:v>
                </c:pt>
                <c:pt idx="743">
                  <c:v>0.71422096390066</c:v>
                </c:pt>
                <c:pt idx="744">
                  <c:v>0.715414879013906</c:v>
                </c:pt>
                <c:pt idx="745">
                  <c:v>0.717056109715161</c:v>
                </c:pt>
                <c:pt idx="746">
                  <c:v>0.719007240466241</c:v>
                </c:pt>
                <c:pt idx="747">
                  <c:v>0.721969089655892</c:v>
                </c:pt>
                <c:pt idx="748">
                  <c:v>0.722328232550701</c:v>
                </c:pt>
                <c:pt idx="749">
                  <c:v>0.7224331265647</c:v>
                </c:pt>
                <c:pt idx="750">
                  <c:v>0.72404744897568</c:v>
                </c:pt>
                <c:pt idx="751">
                  <c:v>0.725262057915379</c:v>
                </c:pt>
                <c:pt idx="752">
                  <c:v>0.725578591699319</c:v>
                </c:pt>
                <c:pt idx="753">
                  <c:v>0.726771351388174</c:v>
                </c:pt>
                <c:pt idx="754">
                  <c:v>0.727172731909525</c:v>
                </c:pt>
                <c:pt idx="755">
                  <c:v>0.728281194140614</c:v>
                </c:pt>
                <c:pt idx="756">
                  <c:v>0.729238647333004</c:v>
                </c:pt>
                <c:pt idx="757">
                  <c:v>0.729451196283013</c:v>
                </c:pt>
                <c:pt idx="758">
                  <c:v>0.733420646182343</c:v>
                </c:pt>
                <c:pt idx="759">
                  <c:v>0.733442286425959</c:v>
                </c:pt>
                <c:pt idx="760">
                  <c:v>0.737142218505575</c:v>
                </c:pt>
                <c:pt idx="761">
                  <c:v>0.73724660031727</c:v>
                </c:pt>
                <c:pt idx="762">
                  <c:v>0.737248794673078</c:v>
                </c:pt>
                <c:pt idx="763">
                  <c:v>0.737518180925776</c:v>
                </c:pt>
                <c:pt idx="764">
                  <c:v>0.738165457964036</c:v>
                </c:pt>
                <c:pt idx="765">
                  <c:v>0.739029783435956</c:v>
                </c:pt>
                <c:pt idx="766">
                  <c:v>0.739289778874781</c:v>
                </c:pt>
                <c:pt idx="767">
                  <c:v>0.739694426691955</c:v>
                </c:pt>
                <c:pt idx="768">
                  <c:v>0.742410163181197</c:v>
                </c:pt>
                <c:pt idx="769">
                  <c:v>0.743048504594098</c:v>
                </c:pt>
                <c:pt idx="770">
                  <c:v>0.743069902672652</c:v>
                </c:pt>
                <c:pt idx="771">
                  <c:v>0.743120355171882</c:v>
                </c:pt>
                <c:pt idx="772">
                  <c:v>0.744212130061708</c:v>
                </c:pt>
                <c:pt idx="773">
                  <c:v>0.744617917740855</c:v>
                </c:pt>
                <c:pt idx="774">
                  <c:v>0.744896346880423</c:v>
                </c:pt>
                <c:pt idx="775">
                  <c:v>0.745432817181233</c:v>
                </c:pt>
                <c:pt idx="776">
                  <c:v>0.746352184062129</c:v>
                </c:pt>
                <c:pt idx="777">
                  <c:v>0.746666909652224</c:v>
                </c:pt>
                <c:pt idx="778">
                  <c:v>0.74683060293342</c:v>
                </c:pt>
                <c:pt idx="779">
                  <c:v>0.747464690184212</c:v>
                </c:pt>
                <c:pt idx="780">
                  <c:v>0.748262188319627</c:v>
                </c:pt>
                <c:pt idx="781">
                  <c:v>0.748959106007349</c:v>
                </c:pt>
                <c:pt idx="782">
                  <c:v>0.74908408799344</c:v>
                </c:pt>
                <c:pt idx="783">
                  <c:v>0.749336067791768</c:v>
                </c:pt>
                <c:pt idx="784">
                  <c:v>0.750305986389922</c:v>
                </c:pt>
                <c:pt idx="785">
                  <c:v>0.750392016184339</c:v>
                </c:pt>
                <c:pt idx="786">
                  <c:v>0.750597765912396</c:v>
                </c:pt>
                <c:pt idx="787">
                  <c:v>0.751366809829952</c:v>
                </c:pt>
                <c:pt idx="788">
                  <c:v>0.752835124345539</c:v>
                </c:pt>
                <c:pt idx="789">
                  <c:v>0.753808768617445</c:v>
                </c:pt>
                <c:pt idx="790">
                  <c:v>0.754382561399382</c:v>
                </c:pt>
                <c:pt idx="791">
                  <c:v>0.75456012393254</c:v>
                </c:pt>
                <c:pt idx="792">
                  <c:v>0.7595468117444</c:v>
                </c:pt>
                <c:pt idx="793">
                  <c:v>0.76144533854555</c:v>
                </c:pt>
                <c:pt idx="794">
                  <c:v>0.76149822318496</c:v>
                </c:pt>
                <c:pt idx="795">
                  <c:v>0.762386574402539</c:v>
                </c:pt>
                <c:pt idx="796">
                  <c:v>0.76314016131166</c:v>
                </c:pt>
                <c:pt idx="797">
                  <c:v>0.764190155160622</c:v>
                </c:pt>
                <c:pt idx="798">
                  <c:v>0.765097556176392</c:v>
                </c:pt>
                <c:pt idx="799">
                  <c:v>0.766571625827091</c:v>
                </c:pt>
                <c:pt idx="800">
                  <c:v>0.767857898578569</c:v>
                </c:pt>
                <c:pt idx="801">
                  <c:v>0.76789506562673</c:v>
                </c:pt>
                <c:pt idx="802">
                  <c:v>0.768616644496977</c:v>
                </c:pt>
                <c:pt idx="803">
                  <c:v>0.769774596288587</c:v>
                </c:pt>
                <c:pt idx="804">
                  <c:v>0.769791352722604</c:v>
                </c:pt>
                <c:pt idx="805">
                  <c:v>0.769880554896848</c:v>
                </c:pt>
                <c:pt idx="806">
                  <c:v>0.770483340774862</c:v>
                </c:pt>
                <c:pt idx="807">
                  <c:v>0.771111729257572</c:v>
                </c:pt>
                <c:pt idx="808">
                  <c:v>0.771152078198728</c:v>
                </c:pt>
                <c:pt idx="809">
                  <c:v>0.773551165908731</c:v>
                </c:pt>
                <c:pt idx="810">
                  <c:v>0.773828139557318</c:v>
                </c:pt>
                <c:pt idx="811">
                  <c:v>0.773862724170956</c:v>
                </c:pt>
                <c:pt idx="812">
                  <c:v>0.774297089420781</c:v>
                </c:pt>
                <c:pt idx="813">
                  <c:v>0.777410622150318</c:v>
                </c:pt>
                <c:pt idx="814">
                  <c:v>0.778366858445748</c:v>
                </c:pt>
                <c:pt idx="815">
                  <c:v>0.784136474894569</c:v>
                </c:pt>
                <c:pt idx="816">
                  <c:v>0.785153787208953</c:v>
                </c:pt>
                <c:pt idx="817">
                  <c:v>0.785884481106285</c:v>
                </c:pt>
                <c:pt idx="818">
                  <c:v>0.788167950888583</c:v>
                </c:pt>
                <c:pt idx="819">
                  <c:v>0.790231594532271</c:v>
                </c:pt>
                <c:pt idx="820">
                  <c:v>0.795330029179359</c:v>
                </c:pt>
                <c:pt idx="821">
                  <c:v>0.795541868931032</c:v>
                </c:pt>
                <c:pt idx="822">
                  <c:v>0.797819932669221</c:v>
                </c:pt>
                <c:pt idx="823">
                  <c:v>0.798703091506491</c:v>
                </c:pt>
                <c:pt idx="824">
                  <c:v>0.799775478777547</c:v>
                </c:pt>
                <c:pt idx="825">
                  <c:v>0.800833667285672</c:v>
                </c:pt>
                <c:pt idx="826">
                  <c:v>0.801386556127119</c:v>
                </c:pt>
                <c:pt idx="827">
                  <c:v>0.803550650331501</c:v>
                </c:pt>
                <c:pt idx="828">
                  <c:v>0.803987652176988</c:v>
                </c:pt>
                <c:pt idx="829">
                  <c:v>0.805584310390378</c:v>
                </c:pt>
                <c:pt idx="830">
                  <c:v>0.806972319536826</c:v>
                </c:pt>
                <c:pt idx="831">
                  <c:v>0.807481317450895</c:v>
                </c:pt>
                <c:pt idx="832">
                  <c:v>0.808424947119007</c:v>
                </c:pt>
                <c:pt idx="833">
                  <c:v>0.811812274335636</c:v>
                </c:pt>
                <c:pt idx="834">
                  <c:v>0.81188437782289</c:v>
                </c:pt>
                <c:pt idx="835">
                  <c:v>0.812605430551053</c:v>
                </c:pt>
                <c:pt idx="836">
                  <c:v>0.813196261619602</c:v>
                </c:pt>
                <c:pt idx="837">
                  <c:v>0.813923997806231</c:v>
                </c:pt>
                <c:pt idx="838">
                  <c:v>0.815253778546422</c:v>
                </c:pt>
                <c:pt idx="839">
                  <c:v>0.817863695897282</c:v>
                </c:pt>
                <c:pt idx="840">
                  <c:v>0.81883138470529</c:v>
                </c:pt>
                <c:pt idx="841">
                  <c:v>0.820771211133442</c:v>
                </c:pt>
                <c:pt idx="842">
                  <c:v>0.820785759804023</c:v>
                </c:pt>
                <c:pt idx="843">
                  <c:v>0.82188014122879</c:v>
                </c:pt>
                <c:pt idx="844">
                  <c:v>0.823501444357611</c:v>
                </c:pt>
                <c:pt idx="845">
                  <c:v>0.824341487183494</c:v>
                </c:pt>
                <c:pt idx="846">
                  <c:v>0.826907208070767</c:v>
                </c:pt>
                <c:pt idx="847">
                  <c:v>0.82795529851272</c:v>
                </c:pt>
                <c:pt idx="848">
                  <c:v>0.827987525179433</c:v>
                </c:pt>
                <c:pt idx="849">
                  <c:v>0.829024767177538</c:v>
                </c:pt>
                <c:pt idx="850">
                  <c:v>0.82934522230914</c:v>
                </c:pt>
                <c:pt idx="851">
                  <c:v>0.830082995831234</c:v>
                </c:pt>
                <c:pt idx="852">
                  <c:v>0.830083496657238</c:v>
                </c:pt>
                <c:pt idx="853">
                  <c:v>0.830333929629233</c:v>
                </c:pt>
                <c:pt idx="854">
                  <c:v>0.831076533178245</c:v>
                </c:pt>
                <c:pt idx="855">
                  <c:v>0.831176949284986</c:v>
                </c:pt>
                <c:pt idx="856">
                  <c:v>0.832127538872419</c:v>
                </c:pt>
                <c:pt idx="857">
                  <c:v>0.832825848570358</c:v>
                </c:pt>
                <c:pt idx="858">
                  <c:v>0.832856150924843</c:v>
                </c:pt>
                <c:pt idx="859">
                  <c:v>0.832898238469631</c:v>
                </c:pt>
                <c:pt idx="860">
                  <c:v>0.835489008111751</c:v>
                </c:pt>
                <c:pt idx="861">
                  <c:v>0.83680420929133</c:v>
                </c:pt>
                <c:pt idx="862">
                  <c:v>0.836887230558991</c:v>
                </c:pt>
                <c:pt idx="863">
                  <c:v>0.838077772092432</c:v>
                </c:pt>
                <c:pt idx="864">
                  <c:v>0.838767838823713</c:v>
                </c:pt>
                <c:pt idx="865">
                  <c:v>0.839355242902381</c:v>
                </c:pt>
                <c:pt idx="866">
                  <c:v>0.839835732763468</c:v>
                </c:pt>
                <c:pt idx="867">
                  <c:v>0.841999030603398</c:v>
                </c:pt>
                <c:pt idx="868">
                  <c:v>0.84455593496781</c:v>
                </c:pt>
                <c:pt idx="869">
                  <c:v>0.847924352021511</c:v>
                </c:pt>
                <c:pt idx="870">
                  <c:v>0.848068786180793</c:v>
                </c:pt>
                <c:pt idx="871">
                  <c:v>0.849609745296323</c:v>
                </c:pt>
                <c:pt idx="872">
                  <c:v>0.850475384801143</c:v>
                </c:pt>
                <c:pt idx="873">
                  <c:v>0.850785360931938</c:v>
                </c:pt>
                <c:pt idx="874">
                  <c:v>0.858518129737269</c:v>
                </c:pt>
                <c:pt idx="875">
                  <c:v>0.85905512667808</c:v>
                </c:pt>
                <c:pt idx="876">
                  <c:v>0.859367677152482</c:v>
                </c:pt>
                <c:pt idx="877">
                  <c:v>0.859384899120148</c:v>
                </c:pt>
                <c:pt idx="878">
                  <c:v>0.859925525127008</c:v>
                </c:pt>
                <c:pt idx="879">
                  <c:v>0.862075352917525</c:v>
                </c:pt>
                <c:pt idx="880">
                  <c:v>0.864164303909216</c:v>
                </c:pt>
                <c:pt idx="881">
                  <c:v>0.865218344678954</c:v>
                </c:pt>
                <c:pt idx="882">
                  <c:v>0.866709832688408</c:v>
                </c:pt>
                <c:pt idx="883">
                  <c:v>0.86753642271546</c:v>
                </c:pt>
                <c:pt idx="884">
                  <c:v>0.87146875728547</c:v>
                </c:pt>
                <c:pt idx="885">
                  <c:v>0.874323983003184</c:v>
                </c:pt>
                <c:pt idx="886">
                  <c:v>0.874520470348291</c:v>
                </c:pt>
                <c:pt idx="887">
                  <c:v>0.875802915526777</c:v>
                </c:pt>
                <c:pt idx="888">
                  <c:v>0.876331548703068</c:v>
                </c:pt>
                <c:pt idx="889">
                  <c:v>0.878442929393873</c:v>
                </c:pt>
                <c:pt idx="890">
                  <c:v>0.878903540109923</c:v>
                </c:pt>
                <c:pt idx="891">
                  <c:v>0.879882758470524</c:v>
                </c:pt>
                <c:pt idx="892">
                  <c:v>0.881002009142686</c:v>
                </c:pt>
                <c:pt idx="893">
                  <c:v>0.882830097395108</c:v>
                </c:pt>
                <c:pt idx="894">
                  <c:v>0.883243145094954</c:v>
                </c:pt>
                <c:pt idx="895">
                  <c:v>0.886015088896345</c:v>
                </c:pt>
                <c:pt idx="896">
                  <c:v>0.886632082846971</c:v>
                </c:pt>
                <c:pt idx="897">
                  <c:v>0.886679985440245</c:v>
                </c:pt>
                <c:pt idx="898">
                  <c:v>0.887738996696675</c:v>
                </c:pt>
                <c:pt idx="899">
                  <c:v>0.887785248148488</c:v>
                </c:pt>
                <c:pt idx="900">
                  <c:v>0.888124441723367</c:v>
                </c:pt>
                <c:pt idx="901">
                  <c:v>0.889472714867091</c:v>
                </c:pt>
                <c:pt idx="902">
                  <c:v>0.893616524444968</c:v>
                </c:pt>
                <c:pt idx="903">
                  <c:v>0.894769465237529</c:v>
                </c:pt>
                <c:pt idx="904">
                  <c:v>0.894829934276076</c:v>
                </c:pt>
                <c:pt idx="905">
                  <c:v>0.89489437064236</c:v>
                </c:pt>
                <c:pt idx="906">
                  <c:v>0.895748311254174</c:v>
                </c:pt>
                <c:pt idx="907">
                  <c:v>0.89656390835225</c:v>
                </c:pt>
                <c:pt idx="908">
                  <c:v>0.900516624880475</c:v>
                </c:pt>
                <c:pt idx="909">
                  <c:v>0.902378431042271</c:v>
                </c:pt>
                <c:pt idx="910">
                  <c:v>0.902989203985763</c:v>
                </c:pt>
                <c:pt idx="911">
                  <c:v>0.90360164187422</c:v>
                </c:pt>
                <c:pt idx="912">
                  <c:v>0.90496967325754</c:v>
                </c:pt>
                <c:pt idx="913">
                  <c:v>0.907414085429266</c:v>
                </c:pt>
                <c:pt idx="914">
                  <c:v>0.910823884361737</c:v>
                </c:pt>
                <c:pt idx="915">
                  <c:v>0.91171730485166</c:v>
                </c:pt>
                <c:pt idx="916">
                  <c:v>0.91213801732793</c:v>
                </c:pt>
                <c:pt idx="917">
                  <c:v>0.912764301441597</c:v>
                </c:pt>
                <c:pt idx="918">
                  <c:v>0.913376710382685</c:v>
                </c:pt>
                <c:pt idx="919">
                  <c:v>0.914757497810559</c:v>
                </c:pt>
                <c:pt idx="920">
                  <c:v>0.915196194571006</c:v>
                </c:pt>
                <c:pt idx="921">
                  <c:v>0.915233079666168</c:v>
                </c:pt>
                <c:pt idx="922">
                  <c:v>0.917532394926139</c:v>
                </c:pt>
                <c:pt idx="923">
                  <c:v>0.917910997291651</c:v>
                </c:pt>
                <c:pt idx="924">
                  <c:v>0.918019802189589</c:v>
                </c:pt>
                <c:pt idx="925">
                  <c:v>0.921407944547112</c:v>
                </c:pt>
                <c:pt idx="926">
                  <c:v>0.922545509632042</c:v>
                </c:pt>
                <c:pt idx="927">
                  <c:v>0.922677772286783</c:v>
                </c:pt>
                <c:pt idx="928">
                  <c:v>0.922719131071181</c:v>
                </c:pt>
                <c:pt idx="929">
                  <c:v>0.923063958432716</c:v>
                </c:pt>
                <c:pt idx="930">
                  <c:v>0.925096967327399</c:v>
                </c:pt>
                <c:pt idx="931">
                  <c:v>0.92595565176866</c:v>
                </c:pt>
                <c:pt idx="932">
                  <c:v>0.926080925367981</c:v>
                </c:pt>
                <c:pt idx="933">
                  <c:v>0.926368248300123</c:v>
                </c:pt>
                <c:pt idx="934">
                  <c:v>0.929551299604845</c:v>
                </c:pt>
                <c:pt idx="935">
                  <c:v>0.930594064734089</c:v>
                </c:pt>
                <c:pt idx="936">
                  <c:v>0.932777926215974</c:v>
                </c:pt>
                <c:pt idx="937">
                  <c:v>0.93564671736562</c:v>
                </c:pt>
                <c:pt idx="938">
                  <c:v>0.936322695792745</c:v>
                </c:pt>
                <c:pt idx="939">
                  <c:v>0.936449031539477</c:v>
                </c:pt>
                <c:pt idx="940">
                  <c:v>0.936549880311607</c:v>
                </c:pt>
                <c:pt idx="941">
                  <c:v>0.936565767188378</c:v>
                </c:pt>
                <c:pt idx="942">
                  <c:v>0.937379565951081</c:v>
                </c:pt>
                <c:pt idx="943">
                  <c:v>0.938603387017098</c:v>
                </c:pt>
                <c:pt idx="944">
                  <c:v>0.94123809723582</c:v>
                </c:pt>
                <c:pt idx="945">
                  <c:v>0.941926893591804</c:v>
                </c:pt>
                <c:pt idx="946">
                  <c:v>0.943054336438244</c:v>
                </c:pt>
                <c:pt idx="947">
                  <c:v>0.948366388450203</c:v>
                </c:pt>
                <c:pt idx="948">
                  <c:v>0.948368949514131</c:v>
                </c:pt>
                <c:pt idx="949">
                  <c:v>0.951678851820852</c:v>
                </c:pt>
                <c:pt idx="950">
                  <c:v>0.954383325825653</c:v>
                </c:pt>
                <c:pt idx="951">
                  <c:v>0.955595676983403</c:v>
                </c:pt>
                <c:pt idx="952">
                  <c:v>0.95633894342761</c:v>
                </c:pt>
                <c:pt idx="953">
                  <c:v>0.956453281930203</c:v>
                </c:pt>
                <c:pt idx="954">
                  <c:v>0.956688990337256</c:v>
                </c:pt>
                <c:pt idx="955">
                  <c:v>0.958613682545238</c:v>
                </c:pt>
                <c:pt idx="956">
                  <c:v>0.959124196526203</c:v>
                </c:pt>
                <c:pt idx="957">
                  <c:v>0.959432637149414</c:v>
                </c:pt>
                <c:pt idx="958">
                  <c:v>0.962576033456703</c:v>
                </c:pt>
                <c:pt idx="959">
                  <c:v>0.962720620206554</c:v>
                </c:pt>
                <c:pt idx="960">
                  <c:v>0.963076625260718</c:v>
                </c:pt>
                <c:pt idx="961">
                  <c:v>0.963441239274623</c:v>
                </c:pt>
                <c:pt idx="962">
                  <c:v>0.963577225278077</c:v>
                </c:pt>
                <c:pt idx="963">
                  <c:v>0.964065843885518</c:v>
                </c:pt>
                <c:pt idx="964">
                  <c:v>0.96601415198682</c:v>
                </c:pt>
                <c:pt idx="965">
                  <c:v>0.966393510749862</c:v>
                </c:pt>
                <c:pt idx="966">
                  <c:v>0.967818124260374</c:v>
                </c:pt>
                <c:pt idx="967">
                  <c:v>0.971046901004175</c:v>
                </c:pt>
                <c:pt idx="968">
                  <c:v>0.972392183614054</c:v>
                </c:pt>
                <c:pt idx="969">
                  <c:v>0.974126071139675</c:v>
                </c:pt>
                <c:pt idx="970">
                  <c:v>0.974784471495015</c:v>
                </c:pt>
                <c:pt idx="971">
                  <c:v>0.975688684930939</c:v>
                </c:pt>
                <c:pt idx="972">
                  <c:v>0.97683366745331</c:v>
                </c:pt>
                <c:pt idx="973">
                  <c:v>0.980597123088644</c:v>
                </c:pt>
                <c:pt idx="974">
                  <c:v>0.98279973261713</c:v>
                </c:pt>
                <c:pt idx="975">
                  <c:v>0.984028543671939</c:v>
                </c:pt>
                <c:pt idx="976">
                  <c:v>0.9843505616957</c:v>
                </c:pt>
                <c:pt idx="977">
                  <c:v>0.984772735283169</c:v>
                </c:pt>
                <c:pt idx="978">
                  <c:v>0.984936351164524</c:v>
                </c:pt>
                <c:pt idx="979">
                  <c:v>0.986393768304101</c:v>
                </c:pt>
                <c:pt idx="980">
                  <c:v>0.986896535748726</c:v>
                </c:pt>
                <c:pt idx="981">
                  <c:v>0.987826649662366</c:v>
                </c:pt>
                <c:pt idx="982">
                  <c:v>0.988828875557714</c:v>
                </c:pt>
                <c:pt idx="983">
                  <c:v>0.988837087937873</c:v>
                </c:pt>
                <c:pt idx="984">
                  <c:v>0.98889867584746</c:v>
                </c:pt>
                <c:pt idx="985">
                  <c:v>0.98965973854874</c:v>
                </c:pt>
                <c:pt idx="986">
                  <c:v>0.990576002781477</c:v>
                </c:pt>
                <c:pt idx="987">
                  <c:v>0.992183806429691</c:v>
                </c:pt>
                <c:pt idx="988">
                  <c:v>0.99260399562819</c:v>
                </c:pt>
                <c:pt idx="989">
                  <c:v>0.993530156576878</c:v>
                </c:pt>
                <c:pt idx="990">
                  <c:v>0.994626282797299</c:v>
                </c:pt>
                <c:pt idx="991">
                  <c:v>0.99506770440998</c:v>
                </c:pt>
                <c:pt idx="992">
                  <c:v>0.995578740074642</c:v>
                </c:pt>
                <c:pt idx="993">
                  <c:v>0.99578036819763</c:v>
                </c:pt>
                <c:pt idx="994">
                  <c:v>0.996703375254958</c:v>
                </c:pt>
                <c:pt idx="995">
                  <c:v>0.99721272145671</c:v>
                </c:pt>
                <c:pt idx="996">
                  <c:v>0.998215456685788</c:v>
                </c:pt>
                <c:pt idx="997">
                  <c:v>0.998548508548352</c:v>
                </c:pt>
                <c:pt idx="998">
                  <c:v>0.999232614921938</c:v>
                </c:pt>
                <c:pt idx="999">
                  <c:v>0.999438973384714</c:v>
                </c:pt>
              </c:numCache>
            </c:numRef>
          </c:yVal>
          <c:smooth val="0"/>
        </c:ser>
        <c:ser>
          <c:idx val="3"/>
          <c:order val="3"/>
          <c:tx>
            <c:strRef>
              <c:f>"Laplace"</c:f>
              <c:strCache>
                <c:ptCount val="1"/>
                <c:pt idx="0">
                  <c:v>Laplace</c:v>
                </c:pt>
              </c:strCache>
            </c:strRef>
          </c:tx>
          <c:spPr>
            <a:solidFill>
              <a:srgbClr val="b3c992"/>
            </a:solidFill>
            <a:ln w="47520">
              <a:solidFill>
                <a:srgbClr val="b3c99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BTC_Fit!$B$37:$B$1036</c:f>
              <c:numCache>
                <c:formatCode>0.0000%</c:formatCode>
                <c:ptCount val="1000"/>
                <c:pt idx="0">
                  <c:v>-0.00540459767562251</c:v>
                </c:pt>
                <c:pt idx="1">
                  <c:v>-0.00513662656395619</c:v>
                </c:pt>
                <c:pt idx="2">
                  <c:v>-0.00484009629879822</c:v>
                </c:pt>
                <c:pt idx="3">
                  <c:v>-0.00434376534633485</c:v>
                </c:pt>
                <c:pt idx="4">
                  <c:v>-0.00423945312351037</c:v>
                </c:pt>
                <c:pt idx="5">
                  <c:v>-0.00419245011043712</c:v>
                </c:pt>
                <c:pt idx="6">
                  <c:v>-0.00407042871523866</c:v>
                </c:pt>
                <c:pt idx="7">
                  <c:v>-0.00380228109993475</c:v>
                </c:pt>
                <c:pt idx="8">
                  <c:v>-0.00379642429465144</c:v>
                </c:pt>
                <c:pt idx="9">
                  <c:v>-0.00359003867696783</c:v>
                </c:pt>
                <c:pt idx="10">
                  <c:v>-0.00345760208480739</c:v>
                </c:pt>
                <c:pt idx="11">
                  <c:v>-0.00333430300896975</c:v>
                </c:pt>
                <c:pt idx="12">
                  <c:v>-0.00332216746339409</c:v>
                </c:pt>
                <c:pt idx="13">
                  <c:v>-0.00322209509831739</c:v>
                </c:pt>
                <c:pt idx="14">
                  <c:v>-0.00317514068497671</c:v>
                </c:pt>
                <c:pt idx="15">
                  <c:v>-0.00306578528733237</c:v>
                </c:pt>
                <c:pt idx="16">
                  <c:v>-0.00300852627159698</c:v>
                </c:pt>
                <c:pt idx="17">
                  <c:v>-0.00300001002830286</c:v>
                </c:pt>
                <c:pt idx="18">
                  <c:v>-0.00298382691337806</c:v>
                </c:pt>
                <c:pt idx="19">
                  <c:v>-0.00294153166093325</c:v>
                </c:pt>
                <c:pt idx="20">
                  <c:v>-0.00284676420137775</c:v>
                </c:pt>
                <c:pt idx="21">
                  <c:v>-0.00282722770309729</c:v>
                </c:pt>
                <c:pt idx="22">
                  <c:v>-0.00278253416086793</c:v>
                </c:pt>
                <c:pt idx="23">
                  <c:v>-0.00277890596350994</c:v>
                </c:pt>
                <c:pt idx="24">
                  <c:v>-0.00276573216990728</c:v>
                </c:pt>
                <c:pt idx="25">
                  <c:v>-0.00270255452720181</c:v>
                </c:pt>
                <c:pt idx="26">
                  <c:v>-0.00270123773010234</c:v>
                </c:pt>
                <c:pt idx="27">
                  <c:v>-0.00256259890404198</c:v>
                </c:pt>
                <c:pt idx="28">
                  <c:v>-0.00254392416473803</c:v>
                </c:pt>
                <c:pt idx="29">
                  <c:v>-0.00253703597225963</c:v>
                </c:pt>
                <c:pt idx="30">
                  <c:v>-0.00253043455567015</c:v>
                </c:pt>
                <c:pt idx="31">
                  <c:v>-0.00250786019524984</c:v>
                </c:pt>
                <c:pt idx="32">
                  <c:v>-0.00249436157958771</c:v>
                </c:pt>
                <c:pt idx="33">
                  <c:v>-0.00237191790952029</c:v>
                </c:pt>
                <c:pt idx="34">
                  <c:v>-0.00236649392356991</c:v>
                </c:pt>
                <c:pt idx="35">
                  <c:v>-0.0023639273101298</c:v>
                </c:pt>
                <c:pt idx="36">
                  <c:v>-0.00234404050081205</c:v>
                </c:pt>
                <c:pt idx="37">
                  <c:v>-0.00233334525492268</c:v>
                </c:pt>
                <c:pt idx="38">
                  <c:v>-0.00226975291626363</c:v>
                </c:pt>
                <c:pt idx="39">
                  <c:v>-0.0022520961614021</c:v>
                </c:pt>
                <c:pt idx="40">
                  <c:v>-0.0022491975940333</c:v>
                </c:pt>
                <c:pt idx="41">
                  <c:v>-0.00223755124262626</c:v>
                </c:pt>
                <c:pt idx="42">
                  <c:v>-0.00222176181636602</c:v>
                </c:pt>
                <c:pt idx="43">
                  <c:v>-0.00219817688880519</c:v>
                </c:pt>
                <c:pt idx="44">
                  <c:v>-0.00219140063011414</c:v>
                </c:pt>
                <c:pt idx="45">
                  <c:v>-0.00217419877801539</c:v>
                </c:pt>
                <c:pt idx="46">
                  <c:v>-0.00216893710230925</c:v>
                </c:pt>
                <c:pt idx="47">
                  <c:v>-0.00216369409353911</c:v>
                </c:pt>
                <c:pt idx="48">
                  <c:v>-0.00212088525486365</c:v>
                </c:pt>
                <c:pt idx="49">
                  <c:v>-0.0020984595114556</c:v>
                </c:pt>
                <c:pt idx="50">
                  <c:v>-0.00209606853770594</c:v>
                </c:pt>
                <c:pt idx="51">
                  <c:v>-0.00209117906202438</c:v>
                </c:pt>
                <c:pt idx="52">
                  <c:v>-0.00208585618844215</c:v>
                </c:pt>
                <c:pt idx="53">
                  <c:v>-0.00207040106637357</c:v>
                </c:pt>
                <c:pt idx="54">
                  <c:v>-0.00206302816046555</c:v>
                </c:pt>
                <c:pt idx="55">
                  <c:v>-0.00205519438386093</c:v>
                </c:pt>
                <c:pt idx="56">
                  <c:v>-0.0020429690022683</c:v>
                </c:pt>
                <c:pt idx="57">
                  <c:v>-0.00203768175795527</c:v>
                </c:pt>
                <c:pt idx="58">
                  <c:v>-0.00201341638097163</c:v>
                </c:pt>
                <c:pt idx="59">
                  <c:v>-0.00199476660178033</c:v>
                </c:pt>
                <c:pt idx="60">
                  <c:v>-0.00198009343199723</c:v>
                </c:pt>
                <c:pt idx="61">
                  <c:v>-0.00197730341752822</c:v>
                </c:pt>
                <c:pt idx="62">
                  <c:v>-0.00195074814197682</c:v>
                </c:pt>
                <c:pt idx="63">
                  <c:v>-0.00193706764542911</c:v>
                </c:pt>
                <c:pt idx="64">
                  <c:v>-0.0019340566032221</c:v>
                </c:pt>
                <c:pt idx="65">
                  <c:v>-0.0019003446679281</c:v>
                </c:pt>
                <c:pt idx="66">
                  <c:v>-0.00185272653943447</c:v>
                </c:pt>
                <c:pt idx="67">
                  <c:v>-0.00182888795982572</c:v>
                </c:pt>
                <c:pt idx="68">
                  <c:v>-0.00181487530845836</c:v>
                </c:pt>
                <c:pt idx="69">
                  <c:v>-0.00180667965582926</c:v>
                </c:pt>
                <c:pt idx="70">
                  <c:v>-0.00174637149936463</c:v>
                </c:pt>
                <c:pt idx="71">
                  <c:v>-0.00174341150918711</c:v>
                </c:pt>
                <c:pt idx="72">
                  <c:v>-0.00167086264008975</c:v>
                </c:pt>
                <c:pt idx="73">
                  <c:v>-0.00164876712663165</c:v>
                </c:pt>
                <c:pt idx="74">
                  <c:v>-0.00161912194044767</c:v>
                </c:pt>
                <c:pt idx="75">
                  <c:v>-0.00160417597594753</c:v>
                </c:pt>
                <c:pt idx="76">
                  <c:v>-0.00160066018860705</c:v>
                </c:pt>
                <c:pt idx="77">
                  <c:v>-0.00160013833003414</c:v>
                </c:pt>
                <c:pt idx="78">
                  <c:v>-0.00159675477298793</c:v>
                </c:pt>
                <c:pt idx="79">
                  <c:v>-0.00159667261910057</c:v>
                </c:pt>
                <c:pt idx="80">
                  <c:v>-0.00156713697868649</c:v>
                </c:pt>
                <c:pt idx="81">
                  <c:v>-0.00156652423089443</c:v>
                </c:pt>
                <c:pt idx="82">
                  <c:v>-0.00154284647444847</c:v>
                </c:pt>
                <c:pt idx="83">
                  <c:v>-0.00153891974543241</c:v>
                </c:pt>
                <c:pt idx="84">
                  <c:v>-0.00152626693955926</c:v>
                </c:pt>
                <c:pt idx="85">
                  <c:v>-0.00150348435895709</c:v>
                </c:pt>
                <c:pt idx="86">
                  <c:v>-0.00150248391742414</c:v>
                </c:pt>
                <c:pt idx="87">
                  <c:v>-0.00149972414863198</c:v>
                </c:pt>
                <c:pt idx="88">
                  <c:v>-0.00149418556949532</c:v>
                </c:pt>
                <c:pt idx="89">
                  <c:v>-0.00149374871177932</c:v>
                </c:pt>
                <c:pt idx="90">
                  <c:v>-0.00148157611618738</c:v>
                </c:pt>
                <c:pt idx="91">
                  <c:v>-0.00147610406921173</c:v>
                </c:pt>
                <c:pt idx="92">
                  <c:v>-0.00145822330932588</c:v>
                </c:pt>
                <c:pt idx="93">
                  <c:v>-0.0014565119540384</c:v>
                </c:pt>
                <c:pt idx="94">
                  <c:v>-0.00144973503359191</c:v>
                </c:pt>
                <c:pt idx="95">
                  <c:v>-0.0014449479587253</c:v>
                </c:pt>
                <c:pt idx="96">
                  <c:v>-0.00143357491148388</c:v>
                </c:pt>
                <c:pt idx="97">
                  <c:v>-0.00143160434045153</c:v>
                </c:pt>
                <c:pt idx="98">
                  <c:v>-0.00142186875915351</c:v>
                </c:pt>
                <c:pt idx="99">
                  <c:v>-0.00141837409138279</c:v>
                </c:pt>
                <c:pt idx="100">
                  <c:v>-0.0014078910704115</c:v>
                </c:pt>
                <c:pt idx="101">
                  <c:v>-0.00140475669450513</c:v>
                </c:pt>
                <c:pt idx="102">
                  <c:v>-0.00140220074576591</c:v>
                </c:pt>
                <c:pt idx="103">
                  <c:v>-0.00139691733774971</c:v>
                </c:pt>
                <c:pt idx="104">
                  <c:v>-0.00139249983155554</c:v>
                </c:pt>
                <c:pt idx="105">
                  <c:v>-0.00138139677770299</c:v>
                </c:pt>
                <c:pt idx="106">
                  <c:v>-0.00137444846898238</c:v>
                </c:pt>
                <c:pt idx="107">
                  <c:v>-0.00136974706796866</c:v>
                </c:pt>
                <c:pt idx="108">
                  <c:v>-0.00136860367278269</c:v>
                </c:pt>
                <c:pt idx="109">
                  <c:v>-0.00135791264473595</c:v>
                </c:pt>
                <c:pt idx="110">
                  <c:v>-0.0013575874274887</c:v>
                </c:pt>
                <c:pt idx="111">
                  <c:v>-0.00135707244253847</c:v>
                </c:pt>
                <c:pt idx="112">
                  <c:v>-0.00134971906392378</c:v>
                </c:pt>
                <c:pt idx="113">
                  <c:v>-0.00134593659411486</c:v>
                </c:pt>
                <c:pt idx="114">
                  <c:v>-0.00132974244327111</c:v>
                </c:pt>
                <c:pt idx="115">
                  <c:v>-0.00132639559813219</c:v>
                </c:pt>
                <c:pt idx="116">
                  <c:v>-0.00131887895945659</c:v>
                </c:pt>
                <c:pt idx="117">
                  <c:v>-0.00131602735896741</c:v>
                </c:pt>
                <c:pt idx="118">
                  <c:v>-0.0013063918995726</c:v>
                </c:pt>
                <c:pt idx="119">
                  <c:v>-0.00129948634323485</c:v>
                </c:pt>
                <c:pt idx="120">
                  <c:v>-0.00129588961163418</c:v>
                </c:pt>
                <c:pt idx="121">
                  <c:v>-0.00129228876330345</c:v>
                </c:pt>
                <c:pt idx="122">
                  <c:v>-0.0012902956444959</c:v>
                </c:pt>
                <c:pt idx="123">
                  <c:v>-0.00128686246573428</c:v>
                </c:pt>
                <c:pt idx="124">
                  <c:v>-0.00128640362222521</c:v>
                </c:pt>
                <c:pt idx="125">
                  <c:v>-0.00127949865868016</c:v>
                </c:pt>
                <c:pt idx="126">
                  <c:v>-0.00127076511335777</c:v>
                </c:pt>
                <c:pt idx="127">
                  <c:v>-0.00127011021662182</c:v>
                </c:pt>
                <c:pt idx="128">
                  <c:v>-0.00126395340184915</c:v>
                </c:pt>
                <c:pt idx="129">
                  <c:v>-0.00125668570319326</c:v>
                </c:pt>
                <c:pt idx="130">
                  <c:v>-0.00125583243108796</c:v>
                </c:pt>
                <c:pt idx="131">
                  <c:v>-0.00124821892138838</c:v>
                </c:pt>
                <c:pt idx="132">
                  <c:v>-0.00124289327950577</c:v>
                </c:pt>
                <c:pt idx="133">
                  <c:v>-0.00124030744354864</c:v>
                </c:pt>
                <c:pt idx="134">
                  <c:v>-0.00123401083380303</c:v>
                </c:pt>
                <c:pt idx="135">
                  <c:v>-0.00122552300310019</c:v>
                </c:pt>
                <c:pt idx="136">
                  <c:v>-0.00121291482913799</c:v>
                </c:pt>
                <c:pt idx="137">
                  <c:v>-0.00120506728904801</c:v>
                </c:pt>
                <c:pt idx="138">
                  <c:v>-0.0012047249135021</c:v>
                </c:pt>
                <c:pt idx="139">
                  <c:v>-0.00120029972228275</c:v>
                </c:pt>
                <c:pt idx="140">
                  <c:v>-0.00119984282793628</c:v>
                </c:pt>
                <c:pt idx="141">
                  <c:v>-0.00119792681362529</c:v>
                </c:pt>
                <c:pt idx="142">
                  <c:v>-0.00118445410422841</c:v>
                </c:pt>
                <c:pt idx="143">
                  <c:v>-0.00118263026974008</c:v>
                </c:pt>
                <c:pt idx="144">
                  <c:v>-0.0011813941949439</c:v>
                </c:pt>
                <c:pt idx="145">
                  <c:v>-0.00116633929056187</c:v>
                </c:pt>
                <c:pt idx="146">
                  <c:v>-0.0011624910855329</c:v>
                </c:pt>
                <c:pt idx="147">
                  <c:v>-0.00115997326675521</c:v>
                </c:pt>
                <c:pt idx="148">
                  <c:v>-0.00115727328674098</c:v>
                </c:pt>
                <c:pt idx="149">
                  <c:v>-0.00114726158973333</c:v>
                </c:pt>
                <c:pt idx="150">
                  <c:v>-0.00114715880047012</c:v>
                </c:pt>
                <c:pt idx="151">
                  <c:v>-0.0011469733458167</c:v>
                </c:pt>
                <c:pt idx="152">
                  <c:v>-0.00114406835322733</c:v>
                </c:pt>
                <c:pt idx="153">
                  <c:v>-0.00114348952674681</c:v>
                </c:pt>
                <c:pt idx="154">
                  <c:v>-0.00113546604466797</c:v>
                </c:pt>
                <c:pt idx="155">
                  <c:v>-0.00112644800467787</c:v>
                </c:pt>
                <c:pt idx="156">
                  <c:v>-0.00112206920378022</c:v>
                </c:pt>
                <c:pt idx="157">
                  <c:v>-0.00112110851806957</c:v>
                </c:pt>
                <c:pt idx="158">
                  <c:v>-0.00112096383457527</c:v>
                </c:pt>
                <c:pt idx="159">
                  <c:v>-0.00111703887868508</c:v>
                </c:pt>
                <c:pt idx="160">
                  <c:v>-0.00111328118751286</c:v>
                </c:pt>
                <c:pt idx="161">
                  <c:v>-0.00110682862719724</c:v>
                </c:pt>
                <c:pt idx="162">
                  <c:v>-0.00109696892227051</c:v>
                </c:pt>
                <c:pt idx="163">
                  <c:v>-0.00109299180712918</c:v>
                </c:pt>
                <c:pt idx="164">
                  <c:v>-0.00108734275382916</c:v>
                </c:pt>
                <c:pt idx="165">
                  <c:v>-0.00108085478445519</c:v>
                </c:pt>
                <c:pt idx="166">
                  <c:v>-0.00107954453657233</c:v>
                </c:pt>
                <c:pt idx="167">
                  <c:v>-0.00106980832820425</c:v>
                </c:pt>
                <c:pt idx="168">
                  <c:v>-0.00106648295944423</c:v>
                </c:pt>
                <c:pt idx="169">
                  <c:v>-0.00106408048470485</c:v>
                </c:pt>
                <c:pt idx="170">
                  <c:v>-0.00106215611932681</c:v>
                </c:pt>
                <c:pt idx="171">
                  <c:v>-0.00106215555279288</c:v>
                </c:pt>
                <c:pt idx="172">
                  <c:v>-0.00105819794707085</c:v>
                </c:pt>
                <c:pt idx="173">
                  <c:v>-0.0010528252230636</c:v>
                </c:pt>
                <c:pt idx="174">
                  <c:v>-0.00105149812906136</c:v>
                </c:pt>
                <c:pt idx="175">
                  <c:v>-0.00103903073654865</c:v>
                </c:pt>
                <c:pt idx="176">
                  <c:v>-0.00102373819193657</c:v>
                </c:pt>
                <c:pt idx="177">
                  <c:v>-0.00101846747020629</c:v>
                </c:pt>
                <c:pt idx="178">
                  <c:v>-0.00101836299367253</c:v>
                </c:pt>
                <c:pt idx="179">
                  <c:v>-0.00101019053904872</c:v>
                </c:pt>
                <c:pt idx="180">
                  <c:v>-0.00100948440929405</c:v>
                </c:pt>
                <c:pt idx="181">
                  <c:v>-0.00100559188964222</c:v>
                </c:pt>
                <c:pt idx="182">
                  <c:v>-0.00100463516218618</c:v>
                </c:pt>
                <c:pt idx="183">
                  <c:v>-0.000999944417252929</c:v>
                </c:pt>
                <c:pt idx="184">
                  <c:v>-0.000996099461972655</c:v>
                </c:pt>
                <c:pt idx="185">
                  <c:v>-0.000995142180612252</c:v>
                </c:pt>
                <c:pt idx="186">
                  <c:v>-0.000994907568254155</c:v>
                </c:pt>
                <c:pt idx="187">
                  <c:v>-0.000992861968805658</c:v>
                </c:pt>
                <c:pt idx="188">
                  <c:v>-0.000987103687290269</c:v>
                </c:pt>
                <c:pt idx="189">
                  <c:v>-0.00096779163906513</c:v>
                </c:pt>
                <c:pt idx="190">
                  <c:v>-0.000964117590738889</c:v>
                </c:pt>
                <c:pt idx="191">
                  <c:v>-0.000955478936995879</c:v>
                </c:pt>
                <c:pt idx="192">
                  <c:v>-0.000955219351931436</c:v>
                </c:pt>
                <c:pt idx="193">
                  <c:v>-0.000954523902902627</c:v>
                </c:pt>
                <c:pt idx="194">
                  <c:v>-0.000946688832304865</c:v>
                </c:pt>
                <c:pt idx="195">
                  <c:v>-0.000935774688649804</c:v>
                </c:pt>
                <c:pt idx="196">
                  <c:v>-0.000932039164934451</c:v>
                </c:pt>
                <c:pt idx="197">
                  <c:v>-0.000927311243710927</c:v>
                </c:pt>
                <c:pt idx="198">
                  <c:v>-0.000923149240634302</c:v>
                </c:pt>
                <c:pt idx="199">
                  <c:v>-0.000922028146212228</c:v>
                </c:pt>
                <c:pt idx="200">
                  <c:v>-0.000914871963423436</c:v>
                </c:pt>
                <c:pt idx="201">
                  <c:v>-0.000912025246672443</c:v>
                </c:pt>
                <c:pt idx="202">
                  <c:v>-0.000901995704729486</c:v>
                </c:pt>
                <c:pt idx="203">
                  <c:v>-0.000893953827525551</c:v>
                </c:pt>
                <c:pt idx="204">
                  <c:v>-0.000891110566904163</c:v>
                </c:pt>
                <c:pt idx="205">
                  <c:v>-0.000883995614228583</c:v>
                </c:pt>
                <c:pt idx="206">
                  <c:v>-0.00088230099176001</c:v>
                </c:pt>
                <c:pt idx="207">
                  <c:v>-0.000878806977899993</c:v>
                </c:pt>
                <c:pt idx="208">
                  <c:v>-0.000873326870473923</c:v>
                </c:pt>
                <c:pt idx="209">
                  <c:v>-0.000863266454418477</c:v>
                </c:pt>
                <c:pt idx="210">
                  <c:v>-0.000856538219256686</c:v>
                </c:pt>
                <c:pt idx="211">
                  <c:v>-0.000849120147455973</c:v>
                </c:pt>
                <c:pt idx="212">
                  <c:v>-0.000840853115053886</c:v>
                </c:pt>
                <c:pt idx="213">
                  <c:v>-0.000839439321090318</c:v>
                </c:pt>
                <c:pt idx="214">
                  <c:v>-0.000832781986267905</c:v>
                </c:pt>
                <c:pt idx="215">
                  <c:v>-0.000826725941648565</c:v>
                </c:pt>
                <c:pt idx="216">
                  <c:v>-0.000825675749459909</c:v>
                </c:pt>
                <c:pt idx="217">
                  <c:v>-0.000825069820301394</c:v>
                </c:pt>
                <c:pt idx="218">
                  <c:v>-0.00081667587583556</c:v>
                </c:pt>
                <c:pt idx="219">
                  <c:v>-0.000815804692167577</c:v>
                </c:pt>
                <c:pt idx="220">
                  <c:v>-0.000815311799097662</c:v>
                </c:pt>
                <c:pt idx="221">
                  <c:v>-0.00081409068209326</c:v>
                </c:pt>
                <c:pt idx="222">
                  <c:v>-0.000813896343583642</c:v>
                </c:pt>
                <c:pt idx="223">
                  <c:v>-0.000805088434934431</c:v>
                </c:pt>
                <c:pt idx="224">
                  <c:v>-0.000794518408263611</c:v>
                </c:pt>
                <c:pt idx="225">
                  <c:v>-0.000793607564729904</c:v>
                </c:pt>
                <c:pt idx="226">
                  <c:v>-0.000790587637237827</c:v>
                </c:pt>
                <c:pt idx="227">
                  <c:v>-0.000784800258013196</c:v>
                </c:pt>
                <c:pt idx="228">
                  <c:v>-0.000772420621988901</c:v>
                </c:pt>
                <c:pt idx="229">
                  <c:v>-0.000771590426861923</c:v>
                </c:pt>
                <c:pt idx="230">
                  <c:v>-0.000761308784245851</c:v>
                </c:pt>
                <c:pt idx="231">
                  <c:v>-0.000753919943169201</c:v>
                </c:pt>
                <c:pt idx="232">
                  <c:v>-0.000748635810960519</c:v>
                </c:pt>
                <c:pt idx="233">
                  <c:v>-0.000716290207650072</c:v>
                </c:pt>
                <c:pt idx="234">
                  <c:v>-0.000711055383938675</c:v>
                </c:pt>
                <c:pt idx="235">
                  <c:v>-0.000709752447283774</c:v>
                </c:pt>
                <c:pt idx="236">
                  <c:v>-0.000705738152316227</c:v>
                </c:pt>
                <c:pt idx="237">
                  <c:v>-0.000700223037921055</c:v>
                </c:pt>
                <c:pt idx="238">
                  <c:v>-0.000698032613252519</c:v>
                </c:pt>
                <c:pt idx="239">
                  <c:v>-0.000693879851533241</c:v>
                </c:pt>
                <c:pt idx="240">
                  <c:v>-0.000688873357348463</c:v>
                </c:pt>
                <c:pt idx="241">
                  <c:v>-0.000688604592878117</c:v>
                </c:pt>
                <c:pt idx="242">
                  <c:v>-0.000687780205535504</c:v>
                </c:pt>
                <c:pt idx="243">
                  <c:v>-0.000683595040359419</c:v>
                </c:pt>
                <c:pt idx="244">
                  <c:v>-0.00068130350637452</c:v>
                </c:pt>
                <c:pt idx="245">
                  <c:v>-0.00067915214799219</c:v>
                </c:pt>
                <c:pt idx="246">
                  <c:v>-0.000673171495660929</c:v>
                </c:pt>
                <c:pt idx="247">
                  <c:v>-0.000672861555582105</c:v>
                </c:pt>
                <c:pt idx="248">
                  <c:v>-0.000669404296004483</c:v>
                </c:pt>
                <c:pt idx="249">
                  <c:v>-0.000666020643527943</c:v>
                </c:pt>
                <c:pt idx="250">
                  <c:v>-0.000657467341875107</c:v>
                </c:pt>
                <c:pt idx="251">
                  <c:v>-0.00065693876407924</c:v>
                </c:pt>
                <c:pt idx="252">
                  <c:v>-0.000655449549465614</c:v>
                </c:pt>
                <c:pt idx="253">
                  <c:v>-0.000654444197574988</c:v>
                </c:pt>
                <c:pt idx="254">
                  <c:v>-0.000651308471843692</c:v>
                </c:pt>
                <c:pt idx="255">
                  <c:v>-0.000647180498764444</c:v>
                </c:pt>
                <c:pt idx="256">
                  <c:v>-0.000646921306491355</c:v>
                </c:pt>
                <c:pt idx="257">
                  <c:v>-0.000642768213629963</c:v>
                </c:pt>
                <c:pt idx="258">
                  <c:v>-0.000641068583375093</c:v>
                </c:pt>
                <c:pt idx="259">
                  <c:v>-0.000638101025577265</c:v>
                </c:pt>
                <c:pt idx="260">
                  <c:v>-0.000631647423424364</c:v>
                </c:pt>
                <c:pt idx="261">
                  <c:v>-0.000629583667891343</c:v>
                </c:pt>
                <c:pt idx="262">
                  <c:v>-0.000626043301186874</c:v>
                </c:pt>
                <c:pt idx="263">
                  <c:v>-0.000615105577846054</c:v>
                </c:pt>
                <c:pt idx="264">
                  <c:v>-0.00061243935554911</c:v>
                </c:pt>
                <c:pt idx="265">
                  <c:v>-0.000612189233640148</c:v>
                </c:pt>
                <c:pt idx="266">
                  <c:v>-0.000611724865569374</c:v>
                </c:pt>
                <c:pt idx="267">
                  <c:v>-0.000610736543212753</c:v>
                </c:pt>
                <c:pt idx="268">
                  <c:v>-0.000608607737226152</c:v>
                </c:pt>
                <c:pt idx="269">
                  <c:v>-0.000602612683877735</c:v>
                </c:pt>
                <c:pt idx="270">
                  <c:v>-0.000590480774909863</c:v>
                </c:pt>
                <c:pt idx="271">
                  <c:v>-0.000587332600639923</c:v>
                </c:pt>
                <c:pt idx="272">
                  <c:v>-0.000580059065289795</c:v>
                </c:pt>
                <c:pt idx="273">
                  <c:v>-0.000572955595458558</c:v>
                </c:pt>
                <c:pt idx="274">
                  <c:v>-0.00056843958936581</c:v>
                </c:pt>
                <c:pt idx="275">
                  <c:v>-0.000566437565942879</c:v>
                </c:pt>
                <c:pt idx="276">
                  <c:v>-0.000564705158343837</c:v>
                </c:pt>
                <c:pt idx="277">
                  <c:v>-0.00055278834704886</c:v>
                </c:pt>
                <c:pt idx="278">
                  <c:v>-0.000552041537528636</c:v>
                </c:pt>
                <c:pt idx="279">
                  <c:v>-0.000547122353045548</c:v>
                </c:pt>
                <c:pt idx="280">
                  <c:v>-0.00054400194985238</c:v>
                </c:pt>
                <c:pt idx="281">
                  <c:v>-0.000538623222938517</c:v>
                </c:pt>
                <c:pt idx="282">
                  <c:v>-0.000528214982514208</c:v>
                </c:pt>
                <c:pt idx="283">
                  <c:v>-0.000528043729244088</c:v>
                </c:pt>
                <c:pt idx="284">
                  <c:v>-0.0005279188752636</c:v>
                </c:pt>
                <c:pt idx="285">
                  <c:v>-0.000519880887574487</c:v>
                </c:pt>
                <c:pt idx="286">
                  <c:v>-0.000518958654947777</c:v>
                </c:pt>
                <c:pt idx="287">
                  <c:v>-0.000517887945973183</c:v>
                </c:pt>
                <c:pt idx="288">
                  <c:v>-0.000517400731332329</c:v>
                </c:pt>
                <c:pt idx="289">
                  <c:v>-0.000511457787571557</c:v>
                </c:pt>
                <c:pt idx="290">
                  <c:v>-0.000509368858554238</c:v>
                </c:pt>
                <c:pt idx="291">
                  <c:v>-0.000507358689627591</c:v>
                </c:pt>
                <c:pt idx="292">
                  <c:v>-0.00050678237980617</c:v>
                </c:pt>
                <c:pt idx="293">
                  <c:v>-0.000501344509786783</c:v>
                </c:pt>
                <c:pt idx="294">
                  <c:v>-0.00049599689141655</c:v>
                </c:pt>
                <c:pt idx="295">
                  <c:v>-0.000495770603684775</c:v>
                </c:pt>
                <c:pt idx="296">
                  <c:v>-0.000495458177748542</c:v>
                </c:pt>
                <c:pt idx="297">
                  <c:v>-0.000487405827558796</c:v>
                </c:pt>
                <c:pt idx="298">
                  <c:v>-0.000483890418363719</c:v>
                </c:pt>
                <c:pt idx="299">
                  <c:v>-0.00047916653496205</c:v>
                </c:pt>
                <c:pt idx="300">
                  <c:v>-0.000475615224972858</c:v>
                </c:pt>
                <c:pt idx="301">
                  <c:v>-0.000475551145073694</c:v>
                </c:pt>
                <c:pt idx="302">
                  <c:v>-0.000473778341847031</c:v>
                </c:pt>
                <c:pt idx="303">
                  <c:v>-0.00047172347440616</c:v>
                </c:pt>
                <c:pt idx="304">
                  <c:v>-0.000470716185701603</c:v>
                </c:pt>
                <c:pt idx="305">
                  <c:v>-0.000469157968034595</c:v>
                </c:pt>
                <c:pt idx="306">
                  <c:v>-0.000462917614204139</c:v>
                </c:pt>
                <c:pt idx="307">
                  <c:v>-0.000461589181700806</c:v>
                </c:pt>
                <c:pt idx="308">
                  <c:v>-0.000456906741761909</c:v>
                </c:pt>
                <c:pt idx="309">
                  <c:v>-0.000455723204238034</c:v>
                </c:pt>
                <c:pt idx="310">
                  <c:v>-0.000455209461300177</c:v>
                </c:pt>
                <c:pt idx="311">
                  <c:v>-0.000453975108064109</c:v>
                </c:pt>
                <c:pt idx="312">
                  <c:v>-0.000453549715144996</c:v>
                </c:pt>
                <c:pt idx="313">
                  <c:v>-0.000447971208750508</c:v>
                </c:pt>
                <c:pt idx="314">
                  <c:v>-0.000446443782664341</c:v>
                </c:pt>
                <c:pt idx="315">
                  <c:v>-0.000445737663554602</c:v>
                </c:pt>
                <c:pt idx="316">
                  <c:v>-0.000442051958711387</c:v>
                </c:pt>
                <c:pt idx="317">
                  <c:v>-0.00043742216349385</c:v>
                </c:pt>
                <c:pt idx="318">
                  <c:v>-0.0004292977454744</c:v>
                </c:pt>
                <c:pt idx="319">
                  <c:v>-0.000429264814008512</c:v>
                </c:pt>
                <c:pt idx="320">
                  <c:v>-0.000427447326856401</c:v>
                </c:pt>
                <c:pt idx="321">
                  <c:v>-0.00042338542860243</c:v>
                </c:pt>
                <c:pt idx="322">
                  <c:v>-0.000422800467472895</c:v>
                </c:pt>
                <c:pt idx="323">
                  <c:v>-0.00041899743235041</c:v>
                </c:pt>
                <c:pt idx="324">
                  <c:v>-0.000417438324705643</c:v>
                </c:pt>
                <c:pt idx="325">
                  <c:v>-0.000417402268225175</c:v>
                </c:pt>
                <c:pt idx="326">
                  <c:v>-0.000413177328637104</c:v>
                </c:pt>
                <c:pt idx="327">
                  <c:v>-0.000412374784320213</c:v>
                </c:pt>
                <c:pt idx="328">
                  <c:v>-0.0004100146858248</c:v>
                </c:pt>
                <c:pt idx="329">
                  <c:v>-0.000409733488470954</c:v>
                </c:pt>
                <c:pt idx="330">
                  <c:v>-0.000409699347729053</c:v>
                </c:pt>
                <c:pt idx="331">
                  <c:v>-0.000408332090353514</c:v>
                </c:pt>
                <c:pt idx="332">
                  <c:v>-0.000407326599404123</c:v>
                </c:pt>
                <c:pt idx="333">
                  <c:v>-0.000406173028754453</c:v>
                </c:pt>
                <c:pt idx="334">
                  <c:v>-0.000404099110748457</c:v>
                </c:pt>
                <c:pt idx="335">
                  <c:v>-0.000397356219496103</c:v>
                </c:pt>
                <c:pt idx="336">
                  <c:v>-0.000394677444521596</c:v>
                </c:pt>
                <c:pt idx="337">
                  <c:v>-0.000394674347403035</c:v>
                </c:pt>
                <c:pt idx="338">
                  <c:v>-0.000386757320398168</c:v>
                </c:pt>
                <c:pt idx="339">
                  <c:v>-0.00038542272171882</c:v>
                </c:pt>
                <c:pt idx="340">
                  <c:v>-0.000380822169662509</c:v>
                </c:pt>
                <c:pt idx="341">
                  <c:v>-0.000378449770388922</c:v>
                </c:pt>
                <c:pt idx="342">
                  <c:v>-0.000374344426630091</c:v>
                </c:pt>
                <c:pt idx="343">
                  <c:v>-0.000371955768358356</c:v>
                </c:pt>
                <c:pt idx="344">
                  <c:v>-0.000369695381214674</c:v>
                </c:pt>
                <c:pt idx="345">
                  <c:v>-0.000365566579232923</c:v>
                </c:pt>
                <c:pt idx="346">
                  <c:v>-0.000364101016563922</c:v>
                </c:pt>
                <c:pt idx="347">
                  <c:v>-0.000362761007468682</c:v>
                </c:pt>
                <c:pt idx="348">
                  <c:v>-0.000351195537884763</c:v>
                </c:pt>
                <c:pt idx="349">
                  <c:v>-0.000350125427433623</c:v>
                </c:pt>
                <c:pt idx="350">
                  <c:v>-0.000348893220712743</c:v>
                </c:pt>
                <c:pt idx="351">
                  <c:v>-0.000348479324572493</c:v>
                </c:pt>
                <c:pt idx="352">
                  <c:v>-0.000345537850625077</c:v>
                </c:pt>
                <c:pt idx="353">
                  <c:v>-0.000343438872995927</c:v>
                </c:pt>
                <c:pt idx="354">
                  <c:v>-0.000342006551929397</c:v>
                </c:pt>
                <c:pt idx="355">
                  <c:v>-0.000340759893243225</c:v>
                </c:pt>
                <c:pt idx="356">
                  <c:v>-0.000338422981599806</c:v>
                </c:pt>
                <c:pt idx="357">
                  <c:v>-0.00033010797486055</c:v>
                </c:pt>
                <c:pt idx="358">
                  <c:v>-0.000330078007744095</c:v>
                </c:pt>
                <c:pt idx="359">
                  <c:v>-0.000329094989384382</c:v>
                </c:pt>
                <c:pt idx="360">
                  <c:v>-0.000326088239123612</c:v>
                </c:pt>
                <c:pt idx="361">
                  <c:v>-0.000309447563600296</c:v>
                </c:pt>
                <c:pt idx="362">
                  <c:v>-0.000294016554567178</c:v>
                </c:pt>
                <c:pt idx="363">
                  <c:v>-0.000291827880237738</c:v>
                </c:pt>
                <c:pt idx="364">
                  <c:v>-0.000291130953869345</c:v>
                </c:pt>
                <c:pt idx="365">
                  <c:v>-0.000285230437424233</c:v>
                </c:pt>
                <c:pt idx="366">
                  <c:v>-0.000283443494577651</c:v>
                </c:pt>
                <c:pt idx="367">
                  <c:v>-0.000282308464410463</c:v>
                </c:pt>
                <c:pt idx="368">
                  <c:v>-0.000279811411952102</c:v>
                </c:pt>
                <c:pt idx="369">
                  <c:v>-0.000279281839816958</c:v>
                </c:pt>
                <c:pt idx="370">
                  <c:v>-0.000277067417919774</c:v>
                </c:pt>
                <c:pt idx="371">
                  <c:v>-0.000269874158609573</c:v>
                </c:pt>
                <c:pt idx="372">
                  <c:v>-0.000269055491459502</c:v>
                </c:pt>
                <c:pt idx="373">
                  <c:v>-0.000268758989859008</c:v>
                </c:pt>
                <c:pt idx="374">
                  <c:v>-0.000267958882026353</c:v>
                </c:pt>
                <c:pt idx="375">
                  <c:v>-0.000265506475789601</c:v>
                </c:pt>
                <c:pt idx="376">
                  <c:v>-0.000264438536576983</c:v>
                </c:pt>
                <c:pt idx="377">
                  <c:v>-0.000262242757484321</c:v>
                </c:pt>
                <c:pt idx="378">
                  <c:v>-0.00026214311822248</c:v>
                </c:pt>
                <c:pt idx="379">
                  <c:v>-0.000260879296305583</c:v>
                </c:pt>
                <c:pt idx="380">
                  <c:v>-0.000255661746834002</c:v>
                </c:pt>
                <c:pt idx="381">
                  <c:v>-0.000253780977195306</c:v>
                </c:pt>
                <c:pt idx="382">
                  <c:v>-0.000253637390058348</c:v>
                </c:pt>
                <c:pt idx="383">
                  <c:v>-0.000249245461221848</c:v>
                </c:pt>
                <c:pt idx="384">
                  <c:v>-0.000248265277308368</c:v>
                </c:pt>
                <c:pt idx="385">
                  <c:v>-0.000244577366435017</c:v>
                </c:pt>
                <c:pt idx="386">
                  <c:v>-0.000239167240592475</c:v>
                </c:pt>
                <c:pt idx="387">
                  <c:v>-0.000236391787201695</c:v>
                </c:pt>
                <c:pt idx="388">
                  <c:v>-0.000235019994889285</c:v>
                </c:pt>
                <c:pt idx="389">
                  <c:v>-0.000229457042205783</c:v>
                </c:pt>
                <c:pt idx="390">
                  <c:v>-0.000228611534596301</c:v>
                </c:pt>
                <c:pt idx="391">
                  <c:v>-0.000218157718534173</c:v>
                </c:pt>
                <c:pt idx="392">
                  <c:v>-0.000217697599548483</c:v>
                </c:pt>
                <c:pt idx="393">
                  <c:v>-0.000215270150935476</c:v>
                </c:pt>
                <c:pt idx="394">
                  <c:v>-0.000214182461022783</c:v>
                </c:pt>
                <c:pt idx="395">
                  <c:v>-0.000214146272785709</c:v>
                </c:pt>
                <c:pt idx="396">
                  <c:v>-0.000212989290938048</c:v>
                </c:pt>
                <c:pt idx="397">
                  <c:v>-0.000212139313625626</c:v>
                </c:pt>
                <c:pt idx="398">
                  <c:v>-0.000209502091760738</c:v>
                </c:pt>
                <c:pt idx="399">
                  <c:v>-0.000207746351190474</c:v>
                </c:pt>
                <c:pt idx="400">
                  <c:v>-0.000206291998777974</c:v>
                </c:pt>
                <c:pt idx="401">
                  <c:v>-0.000204092382026566</c:v>
                </c:pt>
                <c:pt idx="402">
                  <c:v>-0.000199814029335332</c:v>
                </c:pt>
                <c:pt idx="403">
                  <c:v>-0.000197788010791844</c:v>
                </c:pt>
                <c:pt idx="404">
                  <c:v>-0.000191799937306225</c:v>
                </c:pt>
                <c:pt idx="405">
                  <c:v>-0.000189972496003055</c:v>
                </c:pt>
                <c:pt idx="406">
                  <c:v>-0.000186575050907578</c:v>
                </c:pt>
                <c:pt idx="407">
                  <c:v>-0.000183136972180087</c:v>
                </c:pt>
                <c:pt idx="408">
                  <c:v>-0.000183093618883579</c:v>
                </c:pt>
                <c:pt idx="409">
                  <c:v>-0.000181847660803314</c:v>
                </c:pt>
                <c:pt idx="410">
                  <c:v>-0.000181279649976607</c:v>
                </c:pt>
                <c:pt idx="411">
                  <c:v>-0.000180496649826667</c:v>
                </c:pt>
                <c:pt idx="412">
                  <c:v>-0.000175145839282798</c:v>
                </c:pt>
                <c:pt idx="413">
                  <c:v>-0.000174640673465398</c:v>
                </c:pt>
                <c:pt idx="414">
                  <c:v>-0.000172970214511015</c:v>
                </c:pt>
                <c:pt idx="415">
                  <c:v>-0.000170811271693383</c:v>
                </c:pt>
                <c:pt idx="416">
                  <c:v>-0.000169807771439823</c:v>
                </c:pt>
                <c:pt idx="417">
                  <c:v>-0.000165952471834707</c:v>
                </c:pt>
                <c:pt idx="418">
                  <c:v>-0.000164957781747077</c:v>
                </c:pt>
                <c:pt idx="419">
                  <c:v>-0.000164212977358136</c:v>
                </c:pt>
                <c:pt idx="420">
                  <c:v>-0.000163608087910938</c:v>
                </c:pt>
                <c:pt idx="421">
                  <c:v>-0.000160347754356582</c:v>
                </c:pt>
                <c:pt idx="422">
                  <c:v>-0.000159900180559225</c:v>
                </c:pt>
                <c:pt idx="423">
                  <c:v>-0.000158819845446301</c:v>
                </c:pt>
                <c:pt idx="424">
                  <c:v>-0.00015847545466019</c:v>
                </c:pt>
                <c:pt idx="425">
                  <c:v>-0.000156097000261424</c:v>
                </c:pt>
                <c:pt idx="426">
                  <c:v>-0.00014439906864061</c:v>
                </c:pt>
                <c:pt idx="427">
                  <c:v>-0.000140144829489541</c:v>
                </c:pt>
                <c:pt idx="428">
                  <c:v>-0.000132964488624543</c:v>
                </c:pt>
                <c:pt idx="429">
                  <c:v>-0.000132770390916082</c:v>
                </c:pt>
                <c:pt idx="430">
                  <c:v>-0.000131377508983066</c:v>
                </c:pt>
                <c:pt idx="431">
                  <c:v>-0.000129543122637688</c:v>
                </c:pt>
                <c:pt idx="432">
                  <c:v>-0.000127857958503674</c:v>
                </c:pt>
                <c:pt idx="433">
                  <c:v>-0.00012623806572043</c:v>
                </c:pt>
                <c:pt idx="434">
                  <c:v>-0.00012513699737049</c:v>
                </c:pt>
                <c:pt idx="435">
                  <c:v>-0.000121790575143388</c:v>
                </c:pt>
                <c:pt idx="436">
                  <c:v>-0.000120891841840387</c:v>
                </c:pt>
                <c:pt idx="437">
                  <c:v>-0.000119346346930227</c:v>
                </c:pt>
                <c:pt idx="438">
                  <c:v>-0.000119169775001593</c:v>
                </c:pt>
                <c:pt idx="439">
                  <c:v>-0.000118350914956378</c:v>
                </c:pt>
                <c:pt idx="440">
                  <c:v>-0.000117346157344045</c:v>
                </c:pt>
                <c:pt idx="441">
                  <c:v>-0.000117278579918056</c:v>
                </c:pt>
                <c:pt idx="442">
                  <c:v>-0.000114866179645179</c:v>
                </c:pt>
                <c:pt idx="443">
                  <c:v>-0.000110328858176856</c:v>
                </c:pt>
                <c:pt idx="444">
                  <c:v>-0.000108087681649605</c:v>
                </c:pt>
                <c:pt idx="445">
                  <c:v>-0.00010255191089048</c:v>
                </c:pt>
                <c:pt idx="446">
                  <c:v>-9.84150978152742E-005</c:v>
                </c:pt>
                <c:pt idx="447">
                  <c:v>-9.83397448822698E-005</c:v>
                </c:pt>
                <c:pt idx="448">
                  <c:v>-9.61069871324716E-005</c:v>
                </c:pt>
                <c:pt idx="449">
                  <c:v>-9.51011855971906E-005</c:v>
                </c:pt>
                <c:pt idx="450">
                  <c:v>-9.40509603953865E-005</c:v>
                </c:pt>
                <c:pt idx="451">
                  <c:v>-8.82909615477212E-005</c:v>
                </c:pt>
                <c:pt idx="452">
                  <c:v>-8.70673082077333E-005</c:v>
                </c:pt>
                <c:pt idx="453">
                  <c:v>-8.62358301317867E-005</c:v>
                </c:pt>
                <c:pt idx="454">
                  <c:v>-8.59594624524895E-005</c:v>
                </c:pt>
                <c:pt idx="455">
                  <c:v>-8.46465594057655E-005</c:v>
                </c:pt>
                <c:pt idx="456">
                  <c:v>-8.3335918034444E-005</c:v>
                </c:pt>
                <c:pt idx="457">
                  <c:v>-7.78909283103424E-005</c:v>
                </c:pt>
                <c:pt idx="458">
                  <c:v>-7.78662790332785E-005</c:v>
                </c:pt>
                <c:pt idx="459">
                  <c:v>-7.71643587705873E-005</c:v>
                </c:pt>
                <c:pt idx="460">
                  <c:v>-7.35342780778803E-005</c:v>
                </c:pt>
                <c:pt idx="461">
                  <c:v>-7.13762870530044E-005</c:v>
                </c:pt>
                <c:pt idx="462">
                  <c:v>-6.95850437703038E-005</c:v>
                </c:pt>
                <c:pt idx="463">
                  <c:v>-6.53696778498691E-005</c:v>
                </c:pt>
                <c:pt idx="464">
                  <c:v>-6.52892577859277E-005</c:v>
                </c:pt>
                <c:pt idx="465">
                  <c:v>-6.34105110565164E-005</c:v>
                </c:pt>
                <c:pt idx="466">
                  <c:v>-6.19877586316431E-005</c:v>
                </c:pt>
                <c:pt idx="467">
                  <c:v>-6.07246309731746E-005</c:v>
                </c:pt>
                <c:pt idx="468">
                  <c:v>-6.02231039068535E-005</c:v>
                </c:pt>
                <c:pt idx="469">
                  <c:v>-5.87218391423505E-005</c:v>
                </c:pt>
                <c:pt idx="470">
                  <c:v>-5.80649643578957E-005</c:v>
                </c:pt>
                <c:pt idx="471">
                  <c:v>-5.69817741666867E-005</c:v>
                </c:pt>
                <c:pt idx="472">
                  <c:v>-5.65455006215077E-005</c:v>
                </c:pt>
                <c:pt idx="473">
                  <c:v>-5.6074379681581E-005</c:v>
                </c:pt>
                <c:pt idx="474">
                  <c:v>-5.35924328880499E-005</c:v>
                </c:pt>
                <c:pt idx="475">
                  <c:v>-4.90265581795102E-005</c:v>
                </c:pt>
                <c:pt idx="476">
                  <c:v>-4.78056721268105E-005</c:v>
                </c:pt>
                <c:pt idx="477">
                  <c:v>-4.77332681840803E-005</c:v>
                </c:pt>
                <c:pt idx="478">
                  <c:v>-4.48227600654549E-005</c:v>
                </c:pt>
                <c:pt idx="479">
                  <c:v>-4.37903589444177E-005</c:v>
                </c:pt>
                <c:pt idx="480">
                  <c:v>-4.14351188847695E-005</c:v>
                </c:pt>
                <c:pt idx="481">
                  <c:v>-4.07268333192379E-005</c:v>
                </c:pt>
                <c:pt idx="482">
                  <c:v>-3.79222937230139E-005</c:v>
                </c:pt>
                <c:pt idx="483">
                  <c:v>-3.6996574684145E-005</c:v>
                </c:pt>
                <c:pt idx="484">
                  <c:v>-3.50287164132546E-005</c:v>
                </c:pt>
                <c:pt idx="485">
                  <c:v>-3.39455277120759E-005</c:v>
                </c:pt>
                <c:pt idx="486">
                  <c:v>-3.2945038714316E-005</c:v>
                </c:pt>
                <c:pt idx="487">
                  <c:v>-3.24367636260758E-005</c:v>
                </c:pt>
                <c:pt idx="488">
                  <c:v>-3.19284553402799E-005</c:v>
                </c:pt>
                <c:pt idx="489">
                  <c:v>-2.43444998455633E-005</c:v>
                </c:pt>
                <c:pt idx="490">
                  <c:v>-2.07862416602422E-005</c:v>
                </c:pt>
                <c:pt idx="491">
                  <c:v>-1.91014394448352E-005</c:v>
                </c:pt>
                <c:pt idx="492">
                  <c:v>-1.87362593258023E-005</c:v>
                </c:pt>
                <c:pt idx="493">
                  <c:v>-1.78148990557236E-005</c:v>
                </c:pt>
                <c:pt idx="494">
                  <c:v>-1.70645750984244E-005</c:v>
                </c:pt>
                <c:pt idx="495">
                  <c:v>-1.68900392881755E-005</c:v>
                </c:pt>
                <c:pt idx="496">
                  <c:v>-1.42415335526724E-005</c:v>
                </c:pt>
                <c:pt idx="497">
                  <c:v>-1.21644111501507E-005</c:v>
                </c:pt>
                <c:pt idx="498">
                  <c:v>-1.08821040597507E-005</c:v>
                </c:pt>
                <c:pt idx="499">
                  <c:v>-1.06040138776464E-005</c:v>
                </c:pt>
                <c:pt idx="500">
                  <c:v>-8.12250669057768E-006</c:v>
                </c:pt>
                <c:pt idx="501">
                  <c:v>-5.57313722515662E-006</c:v>
                </c:pt>
                <c:pt idx="502">
                  <c:v>-2.12498362073266E-006</c:v>
                </c:pt>
                <c:pt idx="503">
                  <c:v>1.34361425518925E-006</c:v>
                </c:pt>
                <c:pt idx="504">
                  <c:v>1.88116651034242E-006</c:v>
                </c:pt>
                <c:pt idx="505">
                  <c:v>6.56295889767122E-006</c:v>
                </c:pt>
                <c:pt idx="506">
                  <c:v>8.1835244958306E-006</c:v>
                </c:pt>
                <c:pt idx="507">
                  <c:v>8.19695750298166E-006</c:v>
                </c:pt>
                <c:pt idx="508">
                  <c:v>8.67228717038593E-006</c:v>
                </c:pt>
                <c:pt idx="509">
                  <c:v>1.14720898896081E-005</c:v>
                </c:pt>
                <c:pt idx="510">
                  <c:v>1.321993842196E-005</c:v>
                </c:pt>
                <c:pt idx="511">
                  <c:v>1.48255186225299E-005</c:v>
                </c:pt>
                <c:pt idx="512">
                  <c:v>1.51587090739813E-005</c:v>
                </c:pt>
                <c:pt idx="513">
                  <c:v>2.32102251376265E-005</c:v>
                </c:pt>
                <c:pt idx="514">
                  <c:v>2.32348764870327E-005</c:v>
                </c:pt>
                <c:pt idx="515">
                  <c:v>2.59728155820316E-005</c:v>
                </c:pt>
                <c:pt idx="516">
                  <c:v>2.66420213974605E-005</c:v>
                </c:pt>
                <c:pt idx="517">
                  <c:v>2.67270031011346E-005</c:v>
                </c:pt>
                <c:pt idx="518">
                  <c:v>2.75185640656872E-005</c:v>
                </c:pt>
                <c:pt idx="519">
                  <c:v>2.9433144193014E-005</c:v>
                </c:pt>
                <c:pt idx="520">
                  <c:v>3.11775238999168E-005</c:v>
                </c:pt>
                <c:pt idx="521">
                  <c:v>3.23568594557955E-005</c:v>
                </c:pt>
                <c:pt idx="522">
                  <c:v>3.45999790591911E-005</c:v>
                </c:pt>
                <c:pt idx="523">
                  <c:v>3.71682159341358E-005</c:v>
                </c:pt>
                <c:pt idx="524">
                  <c:v>3.7253606548715E-005</c:v>
                </c:pt>
                <c:pt idx="525">
                  <c:v>3.80044671697277E-005</c:v>
                </c:pt>
                <c:pt idx="526">
                  <c:v>4.05216516572438E-005</c:v>
                </c:pt>
                <c:pt idx="527">
                  <c:v>4.16845805195631E-005</c:v>
                </c:pt>
                <c:pt idx="528">
                  <c:v>4.38057105838219E-005</c:v>
                </c:pt>
                <c:pt idx="529">
                  <c:v>4.63324334709636E-005</c:v>
                </c:pt>
                <c:pt idx="530">
                  <c:v>5.48104451749687E-005</c:v>
                </c:pt>
                <c:pt idx="531">
                  <c:v>5.5207477208219E-005</c:v>
                </c:pt>
                <c:pt idx="532">
                  <c:v>5.71619796900791E-005</c:v>
                </c:pt>
                <c:pt idx="533">
                  <c:v>5.73147561651055E-005</c:v>
                </c:pt>
                <c:pt idx="534">
                  <c:v>5.83918540966177E-005</c:v>
                </c:pt>
                <c:pt idx="535">
                  <c:v>5.93086128446441E-005</c:v>
                </c:pt>
                <c:pt idx="536">
                  <c:v>6.09118497809646E-005</c:v>
                </c:pt>
                <c:pt idx="537">
                  <c:v>6.61610011292169E-005</c:v>
                </c:pt>
                <c:pt idx="538">
                  <c:v>6.73849202017518E-005</c:v>
                </c:pt>
                <c:pt idx="539">
                  <c:v>6.7632588305333E-005</c:v>
                </c:pt>
                <c:pt idx="540">
                  <c:v>6.83468937321408E-005</c:v>
                </c:pt>
                <c:pt idx="541">
                  <c:v>7.41187730310955E-005</c:v>
                </c:pt>
                <c:pt idx="542">
                  <c:v>7.67172144111594E-005</c:v>
                </c:pt>
                <c:pt idx="543">
                  <c:v>7.96813040395694E-005</c:v>
                </c:pt>
                <c:pt idx="544">
                  <c:v>9.31146005573869E-005</c:v>
                </c:pt>
                <c:pt idx="545">
                  <c:v>0.000100639967808291</c:v>
                </c:pt>
                <c:pt idx="546">
                  <c:v>0.000100827713540363</c:v>
                </c:pt>
                <c:pt idx="547">
                  <c:v>0.000101056883222039</c:v>
                </c:pt>
                <c:pt idx="548">
                  <c:v>0.000101938387599088</c:v>
                </c:pt>
                <c:pt idx="549">
                  <c:v>0.000102014219061086</c:v>
                </c:pt>
                <c:pt idx="550">
                  <c:v>0.000102935289285178</c:v>
                </c:pt>
                <c:pt idx="551">
                  <c:v>0.00010369919040909</c:v>
                </c:pt>
                <c:pt idx="552">
                  <c:v>0.000104038476253177</c:v>
                </c:pt>
                <c:pt idx="553">
                  <c:v>0.000104585749114872</c:v>
                </c:pt>
                <c:pt idx="554">
                  <c:v>0.000105288792180636</c:v>
                </c:pt>
                <c:pt idx="555">
                  <c:v>0.000105809679440405</c:v>
                </c:pt>
                <c:pt idx="556">
                  <c:v>0.000106848048045061</c:v>
                </c:pt>
                <c:pt idx="557">
                  <c:v>0.000108997772098718</c:v>
                </c:pt>
                <c:pt idx="558">
                  <c:v>0.000113427204528449</c:v>
                </c:pt>
                <c:pt idx="559">
                  <c:v>0.000118100582547909</c:v>
                </c:pt>
                <c:pt idx="560">
                  <c:v>0.00011950021827567</c:v>
                </c:pt>
                <c:pt idx="561">
                  <c:v>0.000125231287739558</c:v>
                </c:pt>
                <c:pt idx="562">
                  <c:v>0.000125826819758812</c:v>
                </c:pt>
                <c:pt idx="563">
                  <c:v>0.000126934013617186</c:v>
                </c:pt>
                <c:pt idx="564">
                  <c:v>0.0001293549424497</c:v>
                </c:pt>
                <c:pt idx="565">
                  <c:v>0.000133105108225839</c:v>
                </c:pt>
                <c:pt idx="566">
                  <c:v>0.000134089106689217</c:v>
                </c:pt>
                <c:pt idx="567">
                  <c:v>0.000135604279701163</c:v>
                </c:pt>
                <c:pt idx="568">
                  <c:v>0.000138323988113642</c:v>
                </c:pt>
                <c:pt idx="569">
                  <c:v>0.000139356464731844</c:v>
                </c:pt>
                <c:pt idx="570">
                  <c:v>0.000140811085537429</c:v>
                </c:pt>
                <c:pt idx="571">
                  <c:v>0.000140849803077936</c:v>
                </c:pt>
                <c:pt idx="572">
                  <c:v>0.000140895761907345</c:v>
                </c:pt>
                <c:pt idx="573">
                  <c:v>0.000145993803825961</c:v>
                </c:pt>
                <c:pt idx="574">
                  <c:v>0.000152677596164885</c:v>
                </c:pt>
                <c:pt idx="575">
                  <c:v>0.000155249816608638</c:v>
                </c:pt>
                <c:pt idx="576">
                  <c:v>0.00015904055463789</c:v>
                </c:pt>
                <c:pt idx="577">
                  <c:v>0.000159192299708399</c:v>
                </c:pt>
                <c:pt idx="578">
                  <c:v>0.000159314963623869</c:v>
                </c:pt>
                <c:pt idx="579">
                  <c:v>0.000165747367146585</c:v>
                </c:pt>
                <c:pt idx="580">
                  <c:v>0.000166024658873498</c:v>
                </c:pt>
                <c:pt idx="581">
                  <c:v>0.000166911702775163</c:v>
                </c:pt>
                <c:pt idx="582">
                  <c:v>0.000170836102666438</c:v>
                </c:pt>
                <c:pt idx="583">
                  <c:v>0.000172310848246093</c:v>
                </c:pt>
                <c:pt idx="584">
                  <c:v>0.000173441977600719</c:v>
                </c:pt>
                <c:pt idx="585">
                  <c:v>0.000174796209959194</c:v>
                </c:pt>
                <c:pt idx="586">
                  <c:v>0.00017489423461492</c:v>
                </c:pt>
                <c:pt idx="587">
                  <c:v>0.000178765237498713</c:v>
                </c:pt>
                <c:pt idx="588">
                  <c:v>0.000179037183056785</c:v>
                </c:pt>
                <c:pt idx="589">
                  <c:v>0.000179312700626655</c:v>
                </c:pt>
                <c:pt idx="590">
                  <c:v>0.000180250647530356</c:v>
                </c:pt>
                <c:pt idx="591">
                  <c:v>0.000180617424873075</c:v>
                </c:pt>
                <c:pt idx="592">
                  <c:v>0.000181112266034678</c:v>
                </c:pt>
                <c:pt idx="593">
                  <c:v>0.000186720207347113</c:v>
                </c:pt>
                <c:pt idx="594">
                  <c:v>0.000187048248232236</c:v>
                </c:pt>
                <c:pt idx="595">
                  <c:v>0.000188392796822923</c:v>
                </c:pt>
                <c:pt idx="596">
                  <c:v>0.00018868819120299</c:v>
                </c:pt>
                <c:pt idx="597">
                  <c:v>0.000190121217842121</c:v>
                </c:pt>
                <c:pt idx="598">
                  <c:v>0.000191241345961268</c:v>
                </c:pt>
                <c:pt idx="599">
                  <c:v>0.000191970002783703</c:v>
                </c:pt>
                <c:pt idx="600">
                  <c:v>0.000197410621752381</c:v>
                </c:pt>
                <c:pt idx="601">
                  <c:v>0.00019943862369165</c:v>
                </c:pt>
                <c:pt idx="602">
                  <c:v>0.000199921159935501</c:v>
                </c:pt>
                <c:pt idx="603">
                  <c:v>0.000202483963200883</c:v>
                </c:pt>
                <c:pt idx="604">
                  <c:v>0.000202720684659541</c:v>
                </c:pt>
                <c:pt idx="605">
                  <c:v>0.000204828893944686</c:v>
                </c:pt>
                <c:pt idx="606">
                  <c:v>0.000207846986284066</c:v>
                </c:pt>
                <c:pt idx="607">
                  <c:v>0.000208572468305634</c:v>
                </c:pt>
                <c:pt idx="608">
                  <c:v>0.000214261260985449</c:v>
                </c:pt>
                <c:pt idx="609">
                  <c:v>0.000214471182714338</c:v>
                </c:pt>
                <c:pt idx="610">
                  <c:v>0.000219311855430338</c:v>
                </c:pt>
                <c:pt idx="611">
                  <c:v>0.000220708931366387</c:v>
                </c:pt>
                <c:pt idx="612">
                  <c:v>0.000225393151023434</c:v>
                </c:pt>
                <c:pt idx="613">
                  <c:v>0.000225901717385124</c:v>
                </c:pt>
                <c:pt idx="614">
                  <c:v>0.000227191473612054</c:v>
                </c:pt>
                <c:pt idx="615">
                  <c:v>0.000233781495233343</c:v>
                </c:pt>
                <c:pt idx="616">
                  <c:v>0.000237951145328319</c:v>
                </c:pt>
                <c:pt idx="617">
                  <c:v>0.000238293153098423</c:v>
                </c:pt>
                <c:pt idx="618">
                  <c:v>0.00023933481929217</c:v>
                </c:pt>
                <c:pt idx="619">
                  <c:v>0.000244904436482285</c:v>
                </c:pt>
                <c:pt idx="620">
                  <c:v>0.000247347799137376</c:v>
                </c:pt>
                <c:pt idx="621">
                  <c:v>0.000247843422072513</c:v>
                </c:pt>
                <c:pt idx="622">
                  <c:v>0.000251251238647443</c:v>
                </c:pt>
                <c:pt idx="623">
                  <c:v>0.000251500405556104</c:v>
                </c:pt>
                <c:pt idx="624">
                  <c:v>0.000253427370721759</c:v>
                </c:pt>
                <c:pt idx="625">
                  <c:v>0.000261343392722324</c:v>
                </c:pt>
                <c:pt idx="626">
                  <c:v>0.000264475248716867</c:v>
                </c:pt>
                <c:pt idx="627">
                  <c:v>0.000271018556090352</c:v>
                </c:pt>
                <c:pt idx="628">
                  <c:v>0.000271676498972306</c:v>
                </c:pt>
                <c:pt idx="629">
                  <c:v>0.000273017483058302</c:v>
                </c:pt>
                <c:pt idx="630">
                  <c:v>0.000275044542065617</c:v>
                </c:pt>
                <c:pt idx="631">
                  <c:v>0.000278124793800627</c:v>
                </c:pt>
                <c:pt idx="632">
                  <c:v>0.000280212901361043</c:v>
                </c:pt>
                <c:pt idx="633">
                  <c:v>0.000280710301432841</c:v>
                </c:pt>
                <c:pt idx="634">
                  <c:v>0.000282105357447326</c:v>
                </c:pt>
                <c:pt idx="635">
                  <c:v>0.000282320927886603</c:v>
                </c:pt>
                <c:pt idx="636">
                  <c:v>0.00028254624591284</c:v>
                </c:pt>
                <c:pt idx="637">
                  <c:v>0.000286715352247224</c:v>
                </c:pt>
                <c:pt idx="638">
                  <c:v>0.000288366743304014</c:v>
                </c:pt>
                <c:pt idx="639">
                  <c:v>0.000289651782900524</c:v>
                </c:pt>
                <c:pt idx="640">
                  <c:v>0.000293186113205612</c:v>
                </c:pt>
                <c:pt idx="641">
                  <c:v>0.000294560093067053</c:v>
                </c:pt>
                <c:pt idx="642">
                  <c:v>0.000297878349745151</c:v>
                </c:pt>
                <c:pt idx="643">
                  <c:v>0.000301877172305121</c:v>
                </c:pt>
                <c:pt idx="644">
                  <c:v>0.000305370810753436</c:v>
                </c:pt>
                <c:pt idx="645">
                  <c:v>0.000315751654564211</c:v>
                </c:pt>
                <c:pt idx="646">
                  <c:v>0.000318813924019556</c:v>
                </c:pt>
                <c:pt idx="647">
                  <c:v>0.000319037952631884</c:v>
                </c:pt>
                <c:pt idx="648">
                  <c:v>0.000320607777505755</c:v>
                </c:pt>
                <c:pt idx="649">
                  <c:v>0.000321325859045762</c:v>
                </c:pt>
                <c:pt idx="650">
                  <c:v>0.000325989632460111</c:v>
                </c:pt>
                <c:pt idx="651">
                  <c:v>0.000327286644017155</c:v>
                </c:pt>
                <c:pt idx="652">
                  <c:v>0.000327510658174823</c:v>
                </c:pt>
                <c:pt idx="653">
                  <c:v>0.000327678169951051</c:v>
                </c:pt>
                <c:pt idx="654">
                  <c:v>0.000328549221173091</c:v>
                </c:pt>
                <c:pt idx="655">
                  <c:v>0.000329889025097785</c:v>
                </c:pt>
                <c:pt idx="656">
                  <c:v>0.000331615891467463</c:v>
                </c:pt>
                <c:pt idx="657">
                  <c:v>0.00033727639427017</c:v>
                </c:pt>
                <c:pt idx="658">
                  <c:v>0.000341450716041525</c:v>
                </c:pt>
                <c:pt idx="659">
                  <c:v>0.000345572499385494</c:v>
                </c:pt>
                <c:pt idx="660">
                  <c:v>0.000351507269595874</c:v>
                </c:pt>
                <c:pt idx="661">
                  <c:v>0.000352177370296136</c:v>
                </c:pt>
                <c:pt idx="662">
                  <c:v>0.000354716157566326</c:v>
                </c:pt>
                <c:pt idx="663">
                  <c:v>0.000356734777246404</c:v>
                </c:pt>
                <c:pt idx="664">
                  <c:v>0.00035858721881743</c:v>
                </c:pt>
                <c:pt idx="665">
                  <c:v>0.000360030779313014</c:v>
                </c:pt>
                <c:pt idx="666">
                  <c:v>0.000362274743003876</c:v>
                </c:pt>
                <c:pt idx="667">
                  <c:v>0.000369620249679903</c:v>
                </c:pt>
                <c:pt idx="668">
                  <c:v>0.000373450876423265</c:v>
                </c:pt>
                <c:pt idx="669">
                  <c:v>0.000374526901615102</c:v>
                </c:pt>
                <c:pt idx="670">
                  <c:v>0.000377332040359502</c:v>
                </c:pt>
                <c:pt idx="671">
                  <c:v>0.000378373747093042</c:v>
                </c:pt>
                <c:pt idx="672">
                  <c:v>0.000380099564142533</c:v>
                </c:pt>
                <c:pt idx="673">
                  <c:v>0.000386585727225386</c:v>
                </c:pt>
                <c:pt idx="674">
                  <c:v>0.000388545927646256</c:v>
                </c:pt>
                <c:pt idx="675">
                  <c:v>0.000394055281483618</c:v>
                </c:pt>
                <c:pt idx="676">
                  <c:v>0.00039500103559198</c:v>
                </c:pt>
                <c:pt idx="677">
                  <c:v>0.000395097270480038</c:v>
                </c:pt>
                <c:pt idx="678">
                  <c:v>0.000403669496403136</c:v>
                </c:pt>
                <c:pt idx="679">
                  <c:v>0.000408703395298637</c:v>
                </c:pt>
                <c:pt idx="680">
                  <c:v>0.000408953683564084</c:v>
                </c:pt>
                <c:pt idx="681">
                  <c:v>0.000410278643858675</c:v>
                </c:pt>
                <c:pt idx="682">
                  <c:v>0.000410861809230445</c:v>
                </c:pt>
                <c:pt idx="683">
                  <c:v>0.000414577993682608</c:v>
                </c:pt>
                <c:pt idx="684">
                  <c:v>0.000417955966003802</c:v>
                </c:pt>
                <c:pt idx="685">
                  <c:v>0.000418964704318903</c:v>
                </c:pt>
                <c:pt idx="686">
                  <c:v>0.000423477682543805</c:v>
                </c:pt>
                <c:pt idx="687">
                  <c:v>0.000439264048729848</c:v>
                </c:pt>
                <c:pt idx="688">
                  <c:v>0.000442690347912444</c:v>
                </c:pt>
                <c:pt idx="689">
                  <c:v>0.000444270848725115</c:v>
                </c:pt>
                <c:pt idx="690">
                  <c:v>0.000448770288041356</c:v>
                </c:pt>
                <c:pt idx="691">
                  <c:v>0.000451876247760774</c:v>
                </c:pt>
                <c:pt idx="692">
                  <c:v>0.000454124717359505</c:v>
                </c:pt>
                <c:pt idx="693">
                  <c:v>0.000454332461996998</c:v>
                </c:pt>
                <c:pt idx="694">
                  <c:v>0.000458867352170156</c:v>
                </c:pt>
                <c:pt idx="695">
                  <c:v>0.000459068912602501</c:v>
                </c:pt>
                <c:pt idx="696">
                  <c:v>0.000460535693259212</c:v>
                </c:pt>
                <c:pt idx="697">
                  <c:v>0.000462389899331894</c:v>
                </c:pt>
                <c:pt idx="698">
                  <c:v>0.000465770294052481</c:v>
                </c:pt>
                <c:pt idx="699">
                  <c:v>0.000468894344841653</c:v>
                </c:pt>
                <c:pt idx="700">
                  <c:v>0.000475375235061248</c:v>
                </c:pt>
                <c:pt idx="701">
                  <c:v>0.0004761087243772</c:v>
                </c:pt>
                <c:pt idx="702">
                  <c:v>0.000484346522678925</c:v>
                </c:pt>
                <c:pt idx="703">
                  <c:v>0.00048895213526623</c:v>
                </c:pt>
                <c:pt idx="704">
                  <c:v>0.0004899619943739</c:v>
                </c:pt>
                <c:pt idx="705">
                  <c:v>0.000491019292753414</c:v>
                </c:pt>
                <c:pt idx="706">
                  <c:v>0.000495102576094864</c:v>
                </c:pt>
                <c:pt idx="707">
                  <c:v>0.000500427244500834</c:v>
                </c:pt>
                <c:pt idx="708">
                  <c:v>0.000507188855784602</c:v>
                </c:pt>
                <c:pt idx="709">
                  <c:v>0.000511903260778324</c:v>
                </c:pt>
                <c:pt idx="710">
                  <c:v>0.000514272226313395</c:v>
                </c:pt>
                <c:pt idx="711">
                  <c:v>0.00051465991707822</c:v>
                </c:pt>
                <c:pt idx="712">
                  <c:v>0.00051962841314479</c:v>
                </c:pt>
                <c:pt idx="713">
                  <c:v>0.000520111966359371</c:v>
                </c:pt>
                <c:pt idx="714">
                  <c:v>0.000524082211452503</c:v>
                </c:pt>
                <c:pt idx="715">
                  <c:v>0.000529457517833176</c:v>
                </c:pt>
                <c:pt idx="716">
                  <c:v>0.000538649953175652</c:v>
                </c:pt>
                <c:pt idx="717">
                  <c:v>0.000540396708853086</c:v>
                </c:pt>
                <c:pt idx="718">
                  <c:v>0.000540567580535889</c:v>
                </c:pt>
                <c:pt idx="719">
                  <c:v>0.000544601207675299</c:v>
                </c:pt>
                <c:pt idx="720">
                  <c:v>0.000553525964857693</c:v>
                </c:pt>
                <c:pt idx="721">
                  <c:v>0.000558358829094496</c:v>
                </c:pt>
                <c:pt idx="722">
                  <c:v>0.000562644395898149</c:v>
                </c:pt>
                <c:pt idx="723">
                  <c:v>0.000566300979697898</c:v>
                </c:pt>
                <c:pt idx="724">
                  <c:v>0.000567161429170904</c:v>
                </c:pt>
                <c:pt idx="725">
                  <c:v>0.000570105321662462</c:v>
                </c:pt>
                <c:pt idx="726">
                  <c:v>0.000571021324023535</c:v>
                </c:pt>
                <c:pt idx="727">
                  <c:v>0.000571835595618353</c:v>
                </c:pt>
                <c:pt idx="728">
                  <c:v>0.000577201533453975</c:v>
                </c:pt>
                <c:pt idx="729">
                  <c:v>0.000583638944375409</c:v>
                </c:pt>
                <c:pt idx="730">
                  <c:v>0.000585026772512487</c:v>
                </c:pt>
                <c:pt idx="731">
                  <c:v>0.000586570921150997</c:v>
                </c:pt>
                <c:pt idx="732">
                  <c:v>0.000594144258931229</c:v>
                </c:pt>
                <c:pt idx="733">
                  <c:v>0.000594493651856265</c:v>
                </c:pt>
                <c:pt idx="734">
                  <c:v>0.000596586940075916</c:v>
                </c:pt>
                <c:pt idx="735">
                  <c:v>0.000597905473828986</c:v>
                </c:pt>
                <c:pt idx="736">
                  <c:v>0.000601084717014366</c:v>
                </c:pt>
                <c:pt idx="737">
                  <c:v>0.000605162035743012</c:v>
                </c:pt>
                <c:pt idx="738">
                  <c:v>0.000606670705962653</c:v>
                </c:pt>
                <c:pt idx="739">
                  <c:v>0.000609595347545344</c:v>
                </c:pt>
                <c:pt idx="740">
                  <c:v>0.000612347903349075</c:v>
                </c:pt>
                <c:pt idx="741">
                  <c:v>0.000618831600200265</c:v>
                </c:pt>
                <c:pt idx="742">
                  <c:v>0.000623777521753466</c:v>
                </c:pt>
                <c:pt idx="743">
                  <c:v>0.000626864758444201</c:v>
                </c:pt>
                <c:pt idx="744">
                  <c:v>0.000630930790726181</c:v>
                </c:pt>
                <c:pt idx="745">
                  <c:v>0.000636536561425594</c:v>
                </c:pt>
                <c:pt idx="746">
                  <c:v>0.000643225801058689</c:v>
                </c:pt>
                <c:pt idx="747">
                  <c:v>0.000653433056692965</c:v>
                </c:pt>
                <c:pt idx="748">
                  <c:v>0.000654675153522133</c:v>
                </c:pt>
                <c:pt idx="749">
                  <c:v>0.000655038111317507</c:v>
                </c:pt>
                <c:pt idx="750">
                  <c:v>0.000660634458572229</c:v>
                </c:pt>
                <c:pt idx="751">
                  <c:v>0.000664858132686907</c:v>
                </c:pt>
                <c:pt idx="752">
                  <c:v>0.000665960697525003</c:v>
                </c:pt>
                <c:pt idx="753">
                  <c:v>0.00067012230805652</c:v>
                </c:pt>
                <c:pt idx="754">
                  <c:v>0.000671525228328695</c:v>
                </c:pt>
                <c:pt idx="755">
                  <c:v>0.000675406105165921</c:v>
                </c:pt>
                <c:pt idx="756">
                  <c:v>0.000678766063684</c:v>
                </c:pt>
                <c:pt idx="757">
                  <c:v>0.00067951294008739</c:v>
                </c:pt>
                <c:pt idx="758">
                  <c:v>0.000693528015813349</c:v>
                </c:pt>
                <c:pt idx="759">
                  <c:v>0.000693604773845502</c:v>
                </c:pt>
                <c:pt idx="760">
                  <c:v>0.000706785902008678</c:v>
                </c:pt>
                <c:pt idx="761">
                  <c:v>0.000707159441921901</c:v>
                </c:pt>
                <c:pt idx="762">
                  <c:v>0.0007071672956247</c:v>
                </c:pt>
                <c:pt idx="763">
                  <c:v>0.000708131754501462</c:v>
                </c:pt>
                <c:pt idx="764">
                  <c:v>0.000710451684955205</c:v>
                </c:pt>
                <c:pt idx="765">
                  <c:v>0.000713555179198133</c:v>
                </c:pt>
                <c:pt idx="766">
                  <c:v>0.000714490000000012</c:v>
                </c:pt>
                <c:pt idx="767">
                  <c:v>0.000715946093582831</c:v>
                </c:pt>
                <c:pt idx="768">
                  <c:v>0.000725755745969448</c:v>
                </c:pt>
                <c:pt idx="769">
                  <c:v>0.000728071062203517</c:v>
                </c:pt>
                <c:pt idx="770">
                  <c:v>0.000728148738267986</c:v>
                </c:pt>
                <c:pt idx="771">
                  <c:v>0.000728331899630286</c:v>
                </c:pt>
                <c:pt idx="772">
                  <c:v>0.000732301090325294</c:v>
                </c:pt>
                <c:pt idx="773">
                  <c:v>0.000733779109606036</c:v>
                </c:pt>
                <c:pt idx="774">
                  <c:v>0.000734794115646809</c:v>
                </c:pt>
                <c:pt idx="775">
                  <c:v>0.000736751809463421</c:v>
                </c:pt>
                <c:pt idx="776">
                  <c:v>0.000740112947434035</c:v>
                </c:pt>
                <c:pt idx="777">
                  <c:v>0.000741265362435017</c:v>
                </c:pt>
                <c:pt idx="778">
                  <c:v>0.000741865114738394</c:v>
                </c:pt>
                <c:pt idx="779">
                  <c:v>0.000744190697830938</c:v>
                </c:pt>
                <c:pt idx="780">
                  <c:v>0.00074712097070706</c:v>
                </c:pt>
                <c:pt idx="781">
                  <c:v>0.000749686602299571</c:v>
                </c:pt>
                <c:pt idx="782">
                  <c:v>0.000750147198952611</c:v>
                </c:pt>
                <c:pt idx="783">
                  <c:v>0.000751076274123408</c:v>
                </c:pt>
                <c:pt idx="784">
                  <c:v>0.000754658137778863</c:v>
                </c:pt>
                <c:pt idx="785">
                  <c:v>0.000754976278536157</c:v>
                </c:pt>
                <c:pt idx="786">
                  <c:v>0.000755737436983317</c:v>
                </c:pt>
                <c:pt idx="787">
                  <c:v>0.000758586098325464</c:v>
                </c:pt>
                <c:pt idx="788">
                  <c:v>0.00076404100255445</c:v>
                </c:pt>
                <c:pt idx="789">
                  <c:v>0.000767669889301104</c:v>
                </c:pt>
                <c:pt idx="790">
                  <c:v>0.000769812901599165</c:v>
                </c:pt>
                <c:pt idx="791">
                  <c:v>0.000770476733168435</c:v>
                </c:pt>
                <c:pt idx="792">
                  <c:v>0.000789251099837074</c:v>
                </c:pt>
                <c:pt idx="793">
                  <c:v>0.000796466990225397</c:v>
                </c:pt>
                <c:pt idx="794">
                  <c:v>0.000796668543223911</c:v>
                </c:pt>
                <c:pt idx="795">
                  <c:v>0.000800058707840279</c:v>
                </c:pt>
                <c:pt idx="796">
                  <c:v>0.00080294126902869</c:v>
                </c:pt>
                <c:pt idx="797">
                  <c:v>0.000806967950932824</c:v>
                </c:pt>
                <c:pt idx="798">
                  <c:v>0.000810457567478329</c:v>
                </c:pt>
                <c:pt idx="799">
                  <c:v>0.000816145966995308</c:v>
                </c:pt>
                <c:pt idx="800">
                  <c:v>0.000821129653004071</c:v>
                </c:pt>
                <c:pt idx="801">
                  <c:v>0.000821273936847167</c:v>
                </c:pt>
                <c:pt idx="802">
                  <c:v>0.000824078264002548</c:v>
                </c:pt>
                <c:pt idx="803">
                  <c:v>0.000828591027567605</c:v>
                </c:pt>
                <c:pt idx="804">
                  <c:v>0.000828656444656017</c:v>
                </c:pt>
                <c:pt idx="805">
                  <c:v>0.000829004744753448</c:v>
                </c:pt>
                <c:pt idx="806">
                  <c:v>0.000831360822722393</c:v>
                </c:pt>
                <c:pt idx="807">
                  <c:v>0.000833821501797782</c:v>
                </c:pt>
                <c:pt idx="808">
                  <c:v>0.000833979661097661</c:v>
                </c:pt>
                <c:pt idx="809">
                  <c:v>0.000843418335524815</c:v>
                </c:pt>
                <c:pt idx="810">
                  <c:v>0.000844512468381575</c:v>
                </c:pt>
                <c:pt idx="811">
                  <c:v>0.000844649153618482</c:v>
                </c:pt>
                <c:pt idx="812">
                  <c:v>0.000846367085836075</c:v>
                </c:pt>
                <c:pt idx="813">
                  <c:v>0.000858749004847059</c:v>
                </c:pt>
                <c:pt idx="814">
                  <c:v>0.000862576010365102</c:v>
                </c:pt>
                <c:pt idx="815">
                  <c:v>0.000885916776034001</c:v>
                </c:pt>
                <c:pt idx="816">
                  <c:v>0.000890077919404098</c:v>
                </c:pt>
                <c:pt idx="817">
                  <c:v>0.00089307536209815</c:v>
                </c:pt>
                <c:pt idx="818">
                  <c:v>0.000902489920825644</c:v>
                </c:pt>
                <c:pt idx="819">
                  <c:v>0.000911060955726128</c:v>
                </c:pt>
                <c:pt idx="820">
                  <c:v>0.000932500797140801</c:v>
                </c:pt>
                <c:pt idx="821">
                  <c:v>0.000933399977333771</c:v>
                </c:pt>
                <c:pt idx="822">
                  <c:v>0.000943112787074041</c:v>
                </c:pt>
                <c:pt idx="823">
                  <c:v>0.00094689981036078</c:v>
                </c:pt>
                <c:pt idx="824">
                  <c:v>0.000951514701289291</c:v>
                </c:pt>
                <c:pt idx="825">
                  <c:v>0.000956086366938225</c:v>
                </c:pt>
                <c:pt idx="826">
                  <c:v>0.000958482131447891</c:v>
                </c:pt>
                <c:pt idx="827">
                  <c:v>0.000967907269510127</c:v>
                </c:pt>
                <c:pt idx="828">
                  <c:v>0.000969819851340148</c:v>
                </c:pt>
                <c:pt idx="829">
                  <c:v>0.000976834870668908</c:v>
                </c:pt>
                <c:pt idx="830">
                  <c:v>0.000982968177971832</c:v>
                </c:pt>
                <c:pt idx="831">
                  <c:v>0.000985225592642358</c:v>
                </c:pt>
                <c:pt idx="832">
                  <c:v>0.000989422465113021</c:v>
                </c:pt>
                <c:pt idx="833">
                  <c:v>0.00100461714787436</c:v>
                </c:pt>
                <c:pt idx="834">
                  <c:v>0.00100494282041597</c:v>
                </c:pt>
                <c:pt idx="835">
                  <c:v>0.00100820483246511</c:v>
                </c:pt>
                <c:pt idx="836">
                  <c:v>0.00101088482042422</c:v>
                </c:pt>
                <c:pt idx="837">
                  <c:v>0.00101419465537322</c:v>
                </c:pt>
                <c:pt idx="838">
                  <c:v>0.00102026815883893</c:v>
                </c:pt>
                <c:pt idx="839">
                  <c:v>0.00103228599243499</c:v>
                </c:pt>
                <c:pt idx="840">
                  <c:v>0.00103677537521918</c:v>
                </c:pt>
                <c:pt idx="841">
                  <c:v>0.00104583053001117</c:v>
                </c:pt>
                <c:pt idx="842">
                  <c:v>0.00104589872786787</c:v>
                </c:pt>
                <c:pt idx="843">
                  <c:v>0.0010510409968052</c:v>
                </c:pt>
                <c:pt idx="844">
                  <c:v>0.00105870421605991</c:v>
                </c:pt>
                <c:pt idx="845">
                  <c:v>0.00106269620872501</c:v>
                </c:pt>
                <c:pt idx="846">
                  <c:v>0.00107498142231455</c:v>
                </c:pt>
                <c:pt idx="847">
                  <c:v>0.00108004076364798</c:v>
                </c:pt>
                <c:pt idx="848">
                  <c:v>0.00108019670944159</c:v>
                </c:pt>
                <c:pt idx="849">
                  <c:v>0.00108522820859225</c:v>
                </c:pt>
                <c:pt idx="850">
                  <c:v>0.00108678752056024</c:v>
                </c:pt>
                <c:pt idx="851">
                  <c:v>0.0010903862246372</c:v>
                </c:pt>
                <c:pt idx="852">
                  <c:v>0.00109038867172351</c:v>
                </c:pt>
                <c:pt idx="853">
                  <c:v>0.00109161302281735</c:v>
                </c:pt>
                <c:pt idx="854">
                  <c:v>0.00109525193559534</c:v>
                </c:pt>
                <c:pt idx="855">
                  <c:v>0.00109574496083242</c:v>
                </c:pt>
                <c:pt idx="856">
                  <c:v>0.00110042366541374</c:v>
                </c:pt>
                <c:pt idx="857">
                  <c:v>0.00110387400135359</c:v>
                </c:pt>
                <c:pt idx="858">
                  <c:v>0.0011040239821154</c:v>
                </c:pt>
                <c:pt idx="859">
                  <c:v>0.00110423232901824</c:v>
                </c:pt>
                <c:pt idx="860">
                  <c:v>0.0011171381540509</c:v>
                </c:pt>
                <c:pt idx="861">
                  <c:v>0.00112375157863731</c:v>
                </c:pt>
                <c:pt idx="862">
                  <c:v>0.00112417046749846</c:v>
                </c:pt>
                <c:pt idx="863">
                  <c:v>0.00113019618025079</c:v>
                </c:pt>
                <c:pt idx="864">
                  <c:v>0.00113370502641286</c:v>
                </c:pt>
                <c:pt idx="865">
                  <c:v>0.00113670132110921</c:v>
                </c:pt>
                <c:pt idx="866">
                  <c:v>0.00113915877947979</c:v>
                </c:pt>
                <c:pt idx="867">
                  <c:v>0.00115029668969835</c:v>
                </c:pt>
                <c:pt idx="868">
                  <c:v>0.00116362039926599</c:v>
                </c:pt>
                <c:pt idx="869">
                  <c:v>0.00118144598090497</c:v>
                </c:pt>
                <c:pt idx="870">
                  <c:v>0.00118221746139957</c:v>
                </c:pt>
                <c:pt idx="871">
                  <c:v>0.00119048573654901</c:v>
                </c:pt>
                <c:pt idx="872">
                  <c:v>0.00119516082634119</c:v>
                </c:pt>
                <c:pt idx="873">
                  <c:v>0.00119684030289813</c:v>
                </c:pt>
                <c:pt idx="874">
                  <c:v>0.00123969476128472</c:v>
                </c:pt>
                <c:pt idx="875">
                  <c:v>0.00124274202493391</c:v>
                </c:pt>
                <c:pt idx="876">
                  <c:v>0.00124452007760678</c:v>
                </c:pt>
                <c:pt idx="877">
                  <c:v>0.00124461814620247</c:v>
                </c:pt>
                <c:pt idx="878">
                  <c:v>0.00124770176982891</c:v>
                </c:pt>
                <c:pt idx="879">
                  <c:v>0.00126006288062896</c:v>
                </c:pt>
                <c:pt idx="880">
                  <c:v>0.00127222908279334</c:v>
                </c:pt>
                <c:pt idx="881">
                  <c:v>0.001278427507869</c:v>
                </c:pt>
                <c:pt idx="882">
                  <c:v>0.00128726836425108</c:v>
                </c:pt>
                <c:pt idx="883">
                  <c:v>0.00129220394371221</c:v>
                </c:pt>
                <c:pt idx="884">
                  <c:v>0.00131604665929141</c:v>
                </c:pt>
                <c:pt idx="885">
                  <c:v>0.00133374984284229</c:v>
                </c:pt>
                <c:pt idx="886">
                  <c:v>0.00133498068806626</c:v>
                </c:pt>
                <c:pt idx="887">
                  <c:v>0.00134305495766651</c:v>
                </c:pt>
                <c:pt idx="888">
                  <c:v>0.00134640401351049</c:v>
                </c:pt>
                <c:pt idx="889">
                  <c:v>0.00135990396178221</c:v>
                </c:pt>
                <c:pt idx="890">
                  <c:v>0.00136287581228767</c:v>
                </c:pt>
                <c:pt idx="891">
                  <c:v>0.00136922619695712</c:v>
                </c:pt>
                <c:pt idx="892">
                  <c:v>0.00137653963719298</c:v>
                </c:pt>
                <c:pt idx="893">
                  <c:v>0.00138861368530696</c:v>
                </c:pt>
                <c:pt idx="894">
                  <c:v>0.00139136434313292</c:v>
                </c:pt>
                <c:pt idx="895">
                  <c:v>0.00141004577815607</c:v>
                </c:pt>
                <c:pt idx="896">
                  <c:v>0.00141425775639537</c:v>
                </c:pt>
                <c:pt idx="897">
                  <c:v>0.00141458560489127</c:v>
                </c:pt>
                <c:pt idx="898">
                  <c:v>0.00142186464455829</c:v>
                </c:pt>
                <c:pt idx="899">
                  <c:v>0.00142218391638949</c:v>
                </c:pt>
                <c:pt idx="900">
                  <c:v>0.0014245288793413</c:v>
                </c:pt>
                <c:pt idx="901">
                  <c:v>0.00143391194550202</c:v>
                </c:pt>
                <c:pt idx="902">
                  <c:v>0.00146339327204026</c:v>
                </c:pt>
                <c:pt idx="903">
                  <c:v>0.00147177596921932</c:v>
                </c:pt>
                <c:pt idx="904">
                  <c:v>0.00147221786086948</c:v>
                </c:pt>
                <c:pt idx="905">
                  <c:v>0.00147268899233399</c:v>
                </c:pt>
                <c:pt idx="906">
                  <c:v>0.00147895693066413</c:v>
                </c:pt>
                <c:pt idx="907">
                  <c:v>0.00148498607952785</c:v>
                </c:pt>
                <c:pt idx="908">
                  <c:v>0.00151481891002359</c:v>
                </c:pt>
                <c:pt idx="909">
                  <c:v>0.0015292391887618</c:v>
                </c:pt>
                <c:pt idx="910">
                  <c:v>0.00153402354249188</c:v>
                </c:pt>
                <c:pt idx="911">
                  <c:v>0.00153884817296013</c:v>
                </c:pt>
                <c:pt idx="912">
                  <c:v>0.0015497255138357</c:v>
                </c:pt>
                <c:pt idx="913">
                  <c:v>0.00156951762307078</c:v>
                </c:pt>
                <c:pt idx="914">
                  <c:v>0.00159793161026034</c:v>
                </c:pt>
                <c:pt idx="915">
                  <c:v>0.00160553967560806</c:v>
                </c:pt>
                <c:pt idx="916">
                  <c:v>0.00160914664534606</c:v>
                </c:pt>
                <c:pt idx="917">
                  <c:v>0.00161454536912475</c:v>
                </c:pt>
                <c:pt idx="918">
                  <c:v>0.00161985881505289</c:v>
                </c:pt>
                <c:pt idx="919">
                  <c:v>0.00163196611083638</c:v>
                </c:pt>
                <c:pt idx="920">
                  <c:v>0.00163585038392999</c:v>
                </c:pt>
                <c:pt idx="921">
                  <c:v>0.00163617780776937</c:v>
                </c:pt>
                <c:pt idx="922">
                  <c:v>0.00165685127325887</c:v>
                </c:pt>
                <c:pt idx="923">
                  <c:v>0.00166030605603296</c:v>
                </c:pt>
                <c:pt idx="924">
                  <c:v>0.00166130162567457</c:v>
                </c:pt>
                <c:pt idx="925">
                  <c:v>0.00169293007275262</c:v>
                </c:pt>
                <c:pt idx="926">
                  <c:v>0.00170383272463503</c:v>
                </c:pt>
                <c:pt idx="927">
                  <c:v>0.00170510998312534</c:v>
                </c:pt>
                <c:pt idx="928">
                  <c:v>0.00170550980067086</c:v>
                </c:pt>
                <c:pt idx="929">
                  <c:v>0.00170885102237928</c:v>
                </c:pt>
                <c:pt idx="930">
                  <c:v>0.00172883777035859</c:v>
                </c:pt>
                <c:pt idx="931">
                  <c:v>0.00173743183434705</c:v>
                </c:pt>
                <c:pt idx="932">
                  <c:v>0.00173869339187061</c:v>
                </c:pt>
                <c:pt idx="933">
                  <c:v>0.0017415944134096</c:v>
                </c:pt>
                <c:pt idx="934">
                  <c:v>0.00177446162274442</c:v>
                </c:pt>
                <c:pt idx="935">
                  <c:v>0.00178553246571145</c:v>
                </c:pt>
                <c:pt idx="936">
                  <c:v>0.00180923491573948</c:v>
                </c:pt>
                <c:pt idx="937">
                  <c:v>0.00184150230408009</c:v>
                </c:pt>
                <c:pt idx="938">
                  <c:v>0.00184930392200378</c:v>
                </c:pt>
                <c:pt idx="939">
                  <c:v>0.00185077071443307</c:v>
                </c:pt>
                <c:pt idx="940">
                  <c:v>0.00185194358719287</c:v>
                </c:pt>
                <c:pt idx="941">
                  <c:v>0.00185212851340255</c:v>
                </c:pt>
                <c:pt idx="942">
                  <c:v>0.00186166071195815</c:v>
                </c:pt>
                <c:pt idx="943">
                  <c:v>0.00187622008476773</c:v>
                </c:pt>
                <c:pt idx="944">
                  <c:v>0.00190852878270009</c:v>
                </c:pt>
                <c:pt idx="945">
                  <c:v>0.00191720402587015</c:v>
                </c:pt>
                <c:pt idx="946">
                  <c:v>0.00193161940398268</c:v>
                </c:pt>
                <c:pt idx="947">
                  <c:v>0.00200347044342242</c:v>
                </c:pt>
                <c:pt idx="948">
                  <c:v>0.00200350678076444</c:v>
                </c:pt>
                <c:pt idx="949">
                  <c:v>0.00205199902558517</c:v>
                </c:pt>
                <c:pt idx="950">
                  <c:v>0.00209409228655</c:v>
                </c:pt>
                <c:pt idx="951">
                  <c:v>0.00211376213547121</c:v>
                </c:pt>
                <c:pt idx="952">
                  <c:v>0.00212608407917259</c:v>
                </c:pt>
                <c:pt idx="953">
                  <c:v>0.00212799789828777</c:v>
                </c:pt>
                <c:pt idx="954">
                  <c:v>0.00213195889807793</c:v>
                </c:pt>
                <c:pt idx="955">
                  <c:v>0.00216512185429174</c:v>
                </c:pt>
                <c:pt idx="956">
                  <c:v>0.00217417396171515</c:v>
                </c:pt>
                <c:pt idx="957">
                  <c:v>0.00217969741399005</c:v>
                </c:pt>
                <c:pt idx="958">
                  <c:v>0.0022384909703963</c:v>
                </c:pt>
                <c:pt idx="959">
                  <c:v>0.00224131213134959</c:v>
                </c:pt>
                <c:pt idx="960">
                  <c:v>0.00224830521229014</c:v>
                </c:pt>
                <c:pt idx="961">
                  <c:v>0.00225553744450147</c:v>
                </c:pt>
                <c:pt idx="962">
                  <c:v>0.0022582532097617</c:v>
                </c:pt>
                <c:pt idx="963">
                  <c:v>0.00226809560676422</c:v>
                </c:pt>
                <c:pt idx="964">
                  <c:v>0.00230871875995087</c:v>
                </c:pt>
                <c:pt idx="965">
                  <c:v>0.00231689943562885</c:v>
                </c:pt>
                <c:pt idx="966">
                  <c:v>0.00234847118448878</c:v>
                </c:pt>
                <c:pt idx="967">
                  <c:v>0.00242557660008491</c:v>
                </c:pt>
                <c:pt idx="968">
                  <c:v>0.00246030646078377</c:v>
                </c:pt>
                <c:pt idx="969">
                  <c:v>0.00250769620568536</c:v>
                </c:pt>
                <c:pt idx="970">
                  <c:v>0.00252654432424948</c:v>
                </c:pt>
                <c:pt idx="971">
                  <c:v>0.00255326508795783</c:v>
                </c:pt>
                <c:pt idx="972">
                  <c:v>0.00258859876541195</c:v>
                </c:pt>
                <c:pt idx="973">
                  <c:v>0.00271884756758678</c:v>
                </c:pt>
                <c:pt idx="974">
                  <c:v>0.00280781719599332</c:v>
                </c:pt>
                <c:pt idx="975">
                  <c:v>0.00286275364694744</c:v>
                </c:pt>
                <c:pt idx="976">
                  <c:v>0.00287787983811461</c:v>
                </c:pt>
                <c:pt idx="977">
                  <c:v>0.00289821041852689</c:v>
                </c:pt>
                <c:pt idx="978">
                  <c:v>0.00290624844726128</c:v>
                </c:pt>
                <c:pt idx="979">
                  <c:v>0.00298215898703158</c:v>
                </c:pt>
                <c:pt idx="980">
                  <c:v>0.00301034195661987</c:v>
                </c:pt>
                <c:pt idx="981">
                  <c:v>0.00306561139105832</c:v>
                </c:pt>
                <c:pt idx="982">
                  <c:v>0.0031303826274427</c:v>
                </c:pt>
                <c:pt idx="983">
                  <c:v>0.00313093837879275</c:v>
                </c:pt>
                <c:pt idx="984">
                  <c:v>0.00313511999862182</c:v>
                </c:pt>
                <c:pt idx="985">
                  <c:v>0.00318891703873314</c:v>
                </c:pt>
                <c:pt idx="986">
                  <c:v>0.00325954522933181</c:v>
                </c:pt>
                <c:pt idx="987">
                  <c:v>0.00340320111067238</c:v>
                </c:pt>
                <c:pt idx="988">
                  <c:v>0.00344598049761502</c:v>
                </c:pt>
                <c:pt idx="989">
                  <c:v>0.00355024649493885</c:v>
                </c:pt>
                <c:pt idx="990">
                  <c:v>0.00369662773169144</c:v>
                </c:pt>
                <c:pt idx="991">
                  <c:v>0.00376492897852443</c:v>
                </c:pt>
                <c:pt idx="992">
                  <c:v>0.00385277082222735</c:v>
                </c:pt>
                <c:pt idx="993">
                  <c:v>0.00389049690860777</c:v>
                </c:pt>
                <c:pt idx="994">
                  <c:v>0.00409251425002566</c:v>
                </c:pt>
                <c:pt idx="995">
                  <c:v>0.00423239462557645</c:v>
                </c:pt>
                <c:pt idx="996">
                  <c:v>0.00461485221116309</c:v>
                </c:pt>
                <c:pt idx="997">
                  <c:v>0.00479776680225519</c:v>
                </c:pt>
                <c:pt idx="998">
                  <c:v>0.00538755026016213</c:v>
                </c:pt>
                <c:pt idx="999">
                  <c:v>0.00569271403817084</c:v>
                </c:pt>
              </c:numCache>
            </c:numRef>
          </c:xVal>
          <c:yVal>
            <c:numRef>
              <c:f>BTC_Fit!$F$37:$F$1036</c:f>
              <c:numCache>
                <c:formatCode>0.0000</c:formatCode>
                <c:ptCount val="1000"/>
                <c:pt idx="0">
                  <c:v>0.0013407349079179</c:v>
                </c:pt>
                <c:pt idx="1">
                  <c:v>0.00179916411900953</c:v>
                </c:pt>
                <c:pt idx="2">
                  <c:v>0.00249121554858177</c:v>
                </c:pt>
                <c:pt idx="3">
                  <c:v>0.00429522981789588</c:v>
                </c:pt>
                <c:pt idx="4">
                  <c:v>0.00481622321284174</c:v>
                </c:pt>
                <c:pt idx="5">
                  <c:v>0.00507119713534318</c:v>
                </c:pt>
                <c:pt idx="6">
                  <c:v>0.00579791352596674</c:v>
                </c:pt>
                <c:pt idx="7">
                  <c:v>0.00778186564022912</c:v>
                </c:pt>
                <c:pt idx="8">
                  <c:v>0.00783204838825293</c:v>
                </c:pt>
                <c:pt idx="9">
                  <c:v>0.00982310148059846</c:v>
                </c:pt>
                <c:pt idx="10">
                  <c:v>0.0113598933100199</c:v>
                </c:pt>
                <c:pt idx="11">
                  <c:v>0.013006022369396</c:v>
                </c:pt>
                <c:pt idx="12">
                  <c:v>0.0131804087503344</c:v>
                </c:pt>
                <c:pt idx="13">
                  <c:v>0.0147105245864472</c:v>
                </c:pt>
                <c:pt idx="14">
                  <c:v>0.0154884829548328</c:v>
                </c:pt>
                <c:pt idx="15">
                  <c:v>0.0174635648569914</c:v>
                </c:pt>
                <c:pt idx="16">
                  <c:v>0.0185962463310543</c:v>
                </c:pt>
                <c:pt idx="17">
                  <c:v>0.0187708759543878</c:v>
                </c:pt>
                <c:pt idx="18">
                  <c:v>0.0191072500566341</c:v>
                </c:pt>
                <c:pt idx="19">
                  <c:v>0.0200151168542663</c:v>
                </c:pt>
                <c:pt idx="20">
                  <c:v>0.0222089915776345</c:v>
                </c:pt>
                <c:pt idx="21">
                  <c:v>0.0226903330243815</c:v>
                </c:pt>
                <c:pt idx="22">
                  <c:v>0.0238310925090808</c:v>
                </c:pt>
                <c:pt idx="23">
                  <c:v>0.0239261777672299</c:v>
                </c:pt>
                <c:pt idx="24">
                  <c:v>0.0242746281571155</c:v>
                </c:pt>
                <c:pt idx="25">
                  <c:v>0.0260175307170829</c:v>
                </c:pt>
                <c:pt idx="26">
                  <c:v>0.0260551588059192</c:v>
                </c:pt>
                <c:pt idx="27">
                  <c:v>0.0303372093204678</c:v>
                </c:pt>
                <c:pt idx="28">
                  <c:v>0.0309654148814451</c:v>
                </c:pt>
                <c:pt idx="29">
                  <c:v>0.0312003988283602</c:v>
                </c:pt>
                <c:pt idx="30">
                  <c:v>0.0314272729038862</c:v>
                </c:pt>
                <c:pt idx="31">
                  <c:v>0.0322156366260528</c:v>
                </c:pt>
                <c:pt idx="32">
                  <c:v>0.0326964652644562</c:v>
                </c:pt>
                <c:pt idx="33">
                  <c:v>0.0373992868888378</c:v>
                </c:pt>
                <c:pt idx="34">
                  <c:v>0.0376225867976196</c:v>
                </c:pt>
                <c:pt idx="35">
                  <c:v>0.0377287158551064</c:v>
                </c:pt>
                <c:pt idx="36">
                  <c:v>0.0385612434124105</c:v>
                </c:pt>
                <c:pt idx="37">
                  <c:v>0.0390165527855594</c:v>
                </c:pt>
                <c:pt idx="38">
                  <c:v>0.041836953231278</c:v>
                </c:pt>
                <c:pt idx="39">
                  <c:v>0.0426556048434636</c:v>
                </c:pt>
                <c:pt idx="40">
                  <c:v>0.0427915187344492</c:v>
                </c:pt>
                <c:pt idx="41">
                  <c:v>0.0433419961588031</c:v>
                </c:pt>
                <c:pt idx="42">
                  <c:v>0.0440996259658113</c:v>
                </c:pt>
                <c:pt idx="43">
                  <c:v>0.0452560464917103</c:v>
                </c:pt>
                <c:pt idx="44">
                  <c:v>0.0455938746893285</c:v>
                </c:pt>
                <c:pt idx="45">
                  <c:v>0.0464628373896458</c:v>
                </c:pt>
                <c:pt idx="46">
                  <c:v>0.046731927510363</c:v>
                </c:pt>
                <c:pt idx="47">
                  <c:v>0.0470016131202558</c:v>
                </c:pt>
                <c:pt idx="48">
                  <c:v>0.0492626200171725</c:v>
                </c:pt>
                <c:pt idx="49">
                  <c:v>0.0504901532814969</c:v>
                </c:pt>
                <c:pt idx="50">
                  <c:v>0.0506228208621973</c:v>
                </c:pt>
                <c:pt idx="51">
                  <c:v>0.0508952087511296</c:v>
                </c:pt>
                <c:pt idx="52">
                  <c:v>0.0511934073503498</c:v>
                </c:pt>
                <c:pt idx="53">
                  <c:v>0.0520691739332069</c:v>
                </c:pt>
                <c:pt idx="54">
                  <c:v>0.0524922233157936</c:v>
                </c:pt>
                <c:pt idx="55">
                  <c:v>0.0529454837661648</c:v>
                </c:pt>
                <c:pt idx="56">
                  <c:v>0.0536606739826959</c:v>
                </c:pt>
                <c:pt idx="57">
                  <c:v>0.0539729650410744</c:v>
                </c:pt>
                <c:pt idx="58">
                  <c:v>0.0554296731434562</c:v>
                </c:pt>
                <c:pt idx="59">
                  <c:v>0.0565759292004217</c:v>
                </c:pt>
                <c:pt idx="60">
                  <c:v>0.0574944112231125</c:v>
                </c:pt>
                <c:pt idx="61">
                  <c:v>0.0576707348639113</c:v>
                </c:pt>
                <c:pt idx="62">
                  <c:v>0.0593762822412337</c:v>
                </c:pt>
                <c:pt idx="63">
                  <c:v>0.0602745228658989</c:v>
                </c:pt>
                <c:pt idx="64">
                  <c:v>0.0604740407299907</c:v>
                </c:pt>
                <c:pt idx="65">
                  <c:v>0.0627534649974955</c:v>
                </c:pt>
                <c:pt idx="66">
                  <c:v>0.0661202963179852</c:v>
                </c:pt>
                <c:pt idx="67">
                  <c:v>0.0678730553697708</c:v>
                </c:pt>
                <c:pt idx="68">
                  <c:v>0.0689249564678149</c:v>
                </c:pt>
                <c:pt idx="69">
                  <c:v>0.0695477270489241</c:v>
                </c:pt>
                <c:pt idx="70">
                  <c:v>0.074306823514802</c:v>
                </c:pt>
                <c:pt idx="71">
                  <c:v>0.0745486133031937</c:v>
                </c:pt>
                <c:pt idx="72">
                  <c:v>0.0807271898301864</c:v>
                </c:pt>
                <c:pt idx="73">
                  <c:v>0.0827087799387319</c:v>
                </c:pt>
                <c:pt idx="74">
                  <c:v>0.0854440705309343</c:v>
                </c:pt>
                <c:pt idx="75">
                  <c:v>0.0868572134538631</c:v>
                </c:pt>
                <c:pt idx="76">
                  <c:v>0.0871930129324014</c:v>
                </c:pt>
                <c:pt idx="77">
                  <c:v>0.0872429671597308</c:v>
                </c:pt>
                <c:pt idx="78">
                  <c:v>0.0875675487802899</c:v>
                </c:pt>
                <c:pt idx="79">
                  <c:v>0.0875754447277881</c:v>
                </c:pt>
                <c:pt idx="80">
                  <c:v>0.0904608058105083</c:v>
                </c:pt>
                <c:pt idx="81">
                  <c:v>0.090521661559104</c:v>
                </c:pt>
                <c:pt idx="82">
                  <c:v>0.0929048677802487</c:v>
                </c:pt>
                <c:pt idx="83">
                  <c:v>0.0933061213713332</c:v>
                </c:pt>
                <c:pt idx="84">
                  <c:v>0.0946108773607221</c:v>
                </c:pt>
                <c:pt idx="85">
                  <c:v>0.0970063890522718</c:v>
                </c:pt>
                <c:pt idx="86">
                  <c:v>0.0971129612358398</c:v>
                </c:pt>
                <c:pt idx="87">
                  <c:v>0.09740755336738</c:v>
                </c:pt>
                <c:pt idx="88">
                  <c:v>0.0980014693418143</c:v>
                </c:pt>
                <c:pt idx="89">
                  <c:v>0.0980484684997781</c:v>
                </c:pt>
                <c:pt idx="90">
                  <c:v>0.0993671551825141</c:v>
                </c:pt>
                <c:pt idx="91">
                  <c:v>0.0999657194777395</c:v>
                </c:pt>
                <c:pt idx="92">
                  <c:v>0.101946876101981</c:v>
                </c:pt>
                <c:pt idx="93">
                  <c:v>0.102138537823928</c:v>
                </c:pt>
                <c:pt idx="94">
                  <c:v>0.102901058262123</c:v>
                </c:pt>
                <c:pt idx="95">
                  <c:v>0.103443115061272</c:v>
                </c:pt>
                <c:pt idx="96">
                  <c:v>0.104742402032935</c:v>
                </c:pt>
                <c:pt idx="97">
                  <c:v>0.10496917835311</c:v>
                </c:pt>
                <c:pt idx="98">
                  <c:v>0.106096789434085</c:v>
                </c:pt>
                <c:pt idx="99">
                  <c:v>0.106504502498077</c:v>
                </c:pt>
                <c:pt idx="100">
                  <c:v>0.107736950299202</c:v>
                </c:pt>
                <c:pt idx="101">
                  <c:v>0.108108208734951</c:v>
                </c:pt>
                <c:pt idx="102">
                  <c:v>0.108411900809763</c:v>
                </c:pt>
                <c:pt idx="103">
                  <c:v>0.109042370542948</c:v>
                </c:pt>
                <c:pt idx="104">
                  <c:v>0.109572325593897</c:v>
                </c:pt>
                <c:pt idx="105">
                  <c:v>0.110915726069345</c:v>
                </c:pt>
                <c:pt idx="106">
                  <c:v>0.11176479430708</c:v>
                </c:pt>
                <c:pt idx="107">
                  <c:v>0.112342979039409</c:v>
                </c:pt>
                <c:pt idx="108">
                  <c:v>0.112484046933712</c:v>
                </c:pt>
                <c:pt idx="109">
                  <c:v>0.113811668145183</c:v>
                </c:pt>
                <c:pt idx="110">
                  <c:v>0.113852298557456</c:v>
                </c:pt>
                <c:pt idx="111">
                  <c:v>0.113916666916979</c:v>
                </c:pt>
                <c:pt idx="112">
                  <c:v>0.114839750917171</c:v>
                </c:pt>
                <c:pt idx="113">
                  <c:v>0.115317481273513</c:v>
                </c:pt>
                <c:pt idx="114">
                  <c:v>0.117385392352444</c:v>
                </c:pt>
                <c:pt idx="115">
                  <c:v>0.117817369639327</c:v>
                </c:pt>
                <c:pt idx="116">
                  <c:v>0.118793345294445</c:v>
                </c:pt>
                <c:pt idx="117">
                  <c:v>0.119165714652749</c:v>
                </c:pt>
                <c:pt idx="118">
                  <c:v>0.120432594691016</c:v>
                </c:pt>
                <c:pt idx="119">
                  <c:v>0.121348821249007</c:v>
                </c:pt>
                <c:pt idx="120">
                  <c:v>0.121828791613923</c:v>
                </c:pt>
                <c:pt idx="121">
                  <c:v>0.122311213028798</c:v>
                </c:pt>
                <c:pt idx="122">
                  <c:v>0.122579060725759</c:v>
                </c:pt>
                <c:pt idx="123">
                  <c:v>0.123041808707677</c:v>
                </c:pt>
                <c:pt idx="124">
                  <c:v>0.123103787058853</c:v>
                </c:pt>
                <c:pt idx="125">
                  <c:v>0.124040254801238</c:v>
                </c:pt>
                <c:pt idx="126">
                  <c:v>0.125234929496718</c:v>
                </c:pt>
                <c:pt idx="127">
                  <c:v>0.125324976185985</c:v>
                </c:pt>
                <c:pt idx="128">
                  <c:v>0.126174694977651</c:v>
                </c:pt>
                <c:pt idx="129">
                  <c:v>0.127185147132693</c:v>
                </c:pt>
                <c:pt idx="130">
                  <c:v>0.127304309926634</c:v>
                </c:pt>
                <c:pt idx="131">
                  <c:v>0.128372521106499</c:v>
                </c:pt>
                <c:pt idx="132">
                  <c:v>0.129125057031512</c:v>
                </c:pt>
                <c:pt idx="133">
                  <c:v>0.129492036080025</c:v>
                </c:pt>
                <c:pt idx="134">
                  <c:v>0.130390012009172</c:v>
                </c:pt>
                <c:pt idx="135">
                  <c:v>0.131610346311307</c:v>
                </c:pt>
                <c:pt idx="136">
                  <c:v>0.133444196610356</c:v>
                </c:pt>
                <c:pt idx="137">
                  <c:v>0.134598495279272</c:v>
                </c:pt>
                <c:pt idx="138">
                  <c:v>0.134649082160217</c:v>
                </c:pt>
                <c:pt idx="139">
                  <c:v>0.135304629193951</c:v>
                </c:pt>
                <c:pt idx="140">
                  <c:v>0.135372494950434</c:v>
                </c:pt>
                <c:pt idx="141">
                  <c:v>0.135657465024459</c:v>
                </c:pt>
                <c:pt idx="142">
                  <c:v>0.137678281279878</c:v>
                </c:pt>
                <c:pt idx="143">
                  <c:v>0.137954147774856</c:v>
                </c:pt>
                <c:pt idx="144">
                  <c:v>0.138141426090505</c:v>
                </c:pt>
                <c:pt idx="145">
                  <c:v>0.140442911269651</c:v>
                </c:pt>
                <c:pt idx="146">
                  <c:v>0.141037324996201</c:v>
                </c:pt>
                <c:pt idx="147">
                  <c:v>0.141427601213045</c:v>
                </c:pt>
                <c:pt idx="148">
                  <c:v>0.141847313530576</c:v>
                </c:pt>
                <c:pt idx="149">
                  <c:v>0.143414535049193</c:v>
                </c:pt>
                <c:pt idx="150">
                  <c:v>0.143430715059022</c:v>
                </c:pt>
                <c:pt idx="151">
                  <c:v>0.143459912007202</c:v>
                </c:pt>
                <c:pt idx="152">
                  <c:v>0.143918034340077</c:v>
                </c:pt>
                <c:pt idx="153">
                  <c:v>0.144009490913737</c:v>
                </c:pt>
                <c:pt idx="154">
                  <c:v>0.145283231403857</c:v>
                </c:pt>
                <c:pt idx="155">
                  <c:v>0.146728311757317</c:v>
                </c:pt>
                <c:pt idx="156">
                  <c:v>0.147435160470146</c:v>
                </c:pt>
                <c:pt idx="157">
                  <c:v>0.147590694252572</c:v>
                </c:pt>
                <c:pt idx="158">
                  <c:v>0.147614132536342</c:v>
                </c:pt>
                <c:pt idx="159">
                  <c:v>0.148251385446194</c:v>
                </c:pt>
                <c:pt idx="160">
                  <c:v>0.148864058898141</c:v>
                </c:pt>
                <c:pt idx="161">
                  <c:v>0.14992203046853</c:v>
                </c:pt>
                <c:pt idx="162">
                  <c:v>0.151553183311933</c:v>
                </c:pt>
                <c:pt idx="163">
                  <c:v>0.152216154683831</c:v>
                </c:pt>
                <c:pt idx="164">
                  <c:v>0.153162820686176</c:v>
                </c:pt>
                <c:pt idx="165">
                  <c:v>0.154257338071613</c:v>
                </c:pt>
                <c:pt idx="166">
                  <c:v>0.154479323752641</c:v>
                </c:pt>
                <c:pt idx="167">
                  <c:v>0.156138895445956</c:v>
                </c:pt>
                <c:pt idx="168">
                  <c:v>0.156709791488785</c:v>
                </c:pt>
                <c:pt idx="169">
                  <c:v>0.157123544356826</c:v>
                </c:pt>
                <c:pt idx="170">
                  <c:v>0.157455745304073</c:v>
                </c:pt>
                <c:pt idx="171">
                  <c:v>0.157455843207509</c:v>
                </c:pt>
                <c:pt idx="172">
                  <c:v>0.158141249681555</c:v>
                </c:pt>
                <c:pt idx="173">
                  <c:v>0.159076513508511</c:v>
                </c:pt>
                <c:pt idx="174">
                  <c:v>0.159308379699906</c:v>
                </c:pt>
                <c:pt idx="175">
                  <c:v>0.161503216740046</c:v>
                </c:pt>
                <c:pt idx="176">
                  <c:v>0.164236747538248</c:v>
                </c:pt>
                <c:pt idx="177">
                  <c:v>0.165189566804469</c:v>
                </c:pt>
                <c:pt idx="178">
                  <c:v>0.165208509406302</c:v>
                </c:pt>
                <c:pt idx="179">
                  <c:v>0.166697004609812</c:v>
                </c:pt>
                <c:pt idx="180">
                  <c:v>0.166826243722596</c:v>
                </c:pt>
                <c:pt idx="181">
                  <c:v>0.167540471205372</c:v>
                </c:pt>
                <c:pt idx="182">
                  <c:v>0.167716486076674</c:v>
                </c:pt>
                <c:pt idx="183">
                  <c:v>0.16858215002398</c:v>
                </c:pt>
                <c:pt idx="184">
                  <c:v>0.169295057074578</c:v>
                </c:pt>
                <c:pt idx="185">
                  <c:v>0.169473018307242</c:v>
                </c:pt>
                <c:pt idx="186">
                  <c:v>0.169516661923172</c:v>
                </c:pt>
                <c:pt idx="187">
                  <c:v>0.169897669802991</c:v>
                </c:pt>
                <c:pt idx="188">
                  <c:v>0.170974796365912</c:v>
                </c:pt>
                <c:pt idx="189">
                  <c:v>0.174637353824098</c:v>
                </c:pt>
                <c:pt idx="190">
                  <c:v>0.175342974464296</c:v>
                </c:pt>
                <c:pt idx="191">
                  <c:v>0.177013327314294</c:v>
                </c:pt>
                <c:pt idx="192">
                  <c:v>0.177063765667077</c:v>
                </c:pt>
                <c:pt idx="193">
                  <c:v>0.177198964865054</c:v>
                </c:pt>
                <c:pt idx="194">
                  <c:v>0.178729298342665</c:v>
                </c:pt>
                <c:pt idx="195">
                  <c:v>0.180883083976436</c:v>
                </c:pt>
                <c:pt idx="196">
                  <c:v>0.181626194449572</c:v>
                </c:pt>
                <c:pt idx="197">
                  <c:v>0.182571102046363</c:v>
                </c:pt>
                <c:pt idx="198">
                  <c:v>0.183406974624629</c:v>
                </c:pt>
                <c:pt idx="199">
                  <c:v>0.183632782253947</c:v>
                </c:pt>
                <c:pt idx="200">
                  <c:v>0.185080725724504</c:v>
                </c:pt>
                <c:pt idx="201">
                  <c:v>0.185659884217573</c:v>
                </c:pt>
                <c:pt idx="202">
                  <c:v>0.187714851956158</c:v>
                </c:pt>
                <c:pt idx="203">
                  <c:v>0.189378982590861</c:v>
                </c:pt>
                <c:pt idx="204">
                  <c:v>0.18997087068461</c:v>
                </c:pt>
                <c:pt idx="205">
                  <c:v>0.19146012599497</c:v>
                </c:pt>
                <c:pt idx="206">
                  <c:v>0.191816551352391</c:v>
                </c:pt>
                <c:pt idx="207">
                  <c:v>0.192553533616859</c:v>
                </c:pt>
                <c:pt idx="208">
                  <c:v>0.193715144364793</c:v>
                </c:pt>
                <c:pt idx="209">
                  <c:v>0.195865908182545</c:v>
                </c:pt>
                <c:pt idx="210">
                  <c:v>0.197317611470864</c:v>
                </c:pt>
                <c:pt idx="211">
                  <c:v>0.19893062996661</c:v>
                </c:pt>
                <c:pt idx="212">
                  <c:v>0.200743791014805</c:v>
                </c:pt>
                <c:pt idx="213">
                  <c:v>0.201055521008258</c:v>
                </c:pt>
                <c:pt idx="214">
                  <c:v>0.202529927834483</c:v>
                </c:pt>
                <c:pt idx="215">
                  <c:v>0.20388055579283</c:v>
                </c:pt>
                <c:pt idx="216">
                  <c:v>0.204115685911956</c:v>
                </c:pt>
                <c:pt idx="217">
                  <c:v>0.204251472229195</c:v>
                </c:pt>
                <c:pt idx="218">
                  <c:v>0.206141841558191</c:v>
                </c:pt>
                <c:pt idx="219">
                  <c:v>0.206339037002957</c:v>
                </c:pt>
                <c:pt idx="220">
                  <c:v>0.20645068860173</c:v>
                </c:pt>
                <c:pt idx="221">
                  <c:v>0.206727559959221</c:v>
                </c:pt>
                <c:pt idx="222">
                  <c:v>0.206771657759293</c:v>
                </c:pt>
                <c:pt idx="223">
                  <c:v>0.208780186262847</c:v>
                </c:pt>
                <c:pt idx="224">
                  <c:v>0.211216315090467</c:v>
                </c:pt>
                <c:pt idx="225">
                  <c:v>0.211427567512266</c:v>
                </c:pt>
                <c:pt idx="226">
                  <c:v>0.212129493642871</c:v>
                </c:pt>
                <c:pt idx="227">
                  <c:v>0.213481181333181</c:v>
                </c:pt>
                <c:pt idx="228">
                  <c:v>0.216401528878184</c:v>
                </c:pt>
                <c:pt idx="229">
                  <c:v>0.216598794650161</c:v>
                </c:pt>
                <c:pt idx="230">
                  <c:v>0.219056809864426</c:v>
                </c:pt>
                <c:pt idx="231">
                  <c:v>0.220840455491781</c:v>
                </c:pt>
                <c:pt idx="232">
                  <c:v>0.222124930369443</c:v>
                </c:pt>
                <c:pt idx="233">
                  <c:v>0.230152007916863</c:v>
                </c:pt>
                <c:pt idx="234">
                  <c:v>0.231478114318605</c:v>
                </c:pt>
                <c:pt idx="235">
                  <c:v>0.231809365287532</c:v>
                </c:pt>
                <c:pt idx="236">
                  <c:v>0.232832919085383</c:v>
                </c:pt>
                <c:pt idx="237">
                  <c:v>0.234246521623604</c:v>
                </c:pt>
                <c:pt idx="238">
                  <c:v>0.234810337069244</c:v>
                </c:pt>
                <c:pt idx="239">
                  <c:v>0.235882986148521</c:v>
                </c:pt>
                <c:pt idx="240">
                  <c:v>0.237182669058572</c:v>
                </c:pt>
                <c:pt idx="241">
                  <c:v>0.237252642337289</c:v>
                </c:pt>
                <c:pt idx="242">
                  <c:v>0.237467401756375</c:v>
                </c:pt>
                <c:pt idx="243">
                  <c:v>0.238560672614099</c:v>
                </c:pt>
                <c:pt idx="244">
                  <c:v>0.239161410132733</c:v>
                </c:pt>
                <c:pt idx="245">
                  <c:v>0.239726776606077</c:v>
                </c:pt>
                <c:pt idx="246">
                  <c:v>0.241305494662415</c:v>
                </c:pt>
                <c:pt idx="247">
                  <c:v>0.241387592587289</c:v>
                </c:pt>
                <c:pt idx="248">
                  <c:v>0.242305258292213</c:v>
                </c:pt>
                <c:pt idx="249">
                  <c:v>0.243206764262071</c:v>
                </c:pt>
                <c:pt idx="250">
                  <c:v>0.245500602832768</c:v>
                </c:pt>
                <c:pt idx="251">
                  <c:v>0.245643065417222</c:v>
                </c:pt>
                <c:pt idx="252">
                  <c:v>0.246044884097457</c:v>
                </c:pt>
                <c:pt idx="253">
                  <c:v>0.246316518905698</c:v>
                </c:pt>
                <c:pt idx="254">
                  <c:v>0.247165684720399</c:v>
                </c:pt>
                <c:pt idx="255">
                  <c:v>0.248288019856529</c:v>
                </c:pt>
                <c:pt idx="256">
                  <c:v>0.248358660224023</c:v>
                </c:pt>
                <c:pt idx="257">
                  <c:v>0.249493290764244</c:v>
                </c:pt>
                <c:pt idx="258">
                  <c:v>0.249959125438047</c:v>
                </c:pt>
                <c:pt idx="259">
                  <c:v>0.250774559739437</c:v>
                </c:pt>
                <c:pt idx="260">
                  <c:v>0.252557094397228</c:v>
                </c:pt>
                <c:pt idx="261">
                  <c:v>0.253129789038854</c:v>
                </c:pt>
                <c:pt idx="262">
                  <c:v>0.254115271486948</c:v>
                </c:pt>
                <c:pt idx="263">
                  <c:v>0.257184154901067</c:v>
                </c:pt>
                <c:pt idx="264">
                  <c:v>0.257937839264578</c:v>
                </c:pt>
                <c:pt idx="265">
                  <c:v>0.258008656629827</c:v>
                </c:pt>
                <c:pt idx="266">
                  <c:v>0.258140185371216</c:v>
                </c:pt>
                <c:pt idx="267">
                  <c:v>0.258420343456567</c:v>
                </c:pt>
                <c:pt idx="268">
                  <c:v>0.259024825755352</c:v>
                </c:pt>
                <c:pt idx="269">
                  <c:v>0.260734751896895</c:v>
                </c:pt>
                <c:pt idx="270">
                  <c:v>0.264229661576735</c:v>
                </c:pt>
                <c:pt idx="271">
                  <c:v>0.26514420471656</c:v>
                </c:pt>
                <c:pt idx="272">
                  <c:v>0.267269286581975</c:v>
                </c:pt>
                <c:pt idx="273">
                  <c:v>0.26936111945168</c:v>
                </c:pt>
                <c:pt idx="274">
                  <c:v>0.270699499660101</c:v>
                </c:pt>
                <c:pt idx="275">
                  <c:v>0.271294952246762</c:v>
                </c:pt>
                <c:pt idx="276">
                  <c:v>0.271811271231829</c:v>
                </c:pt>
                <c:pt idx="277">
                  <c:v>0.275389631328509</c:v>
                </c:pt>
                <c:pt idx="278">
                  <c:v>0.275615444248375</c:v>
                </c:pt>
                <c:pt idx="279">
                  <c:v>0.277107492637898</c:v>
                </c:pt>
                <c:pt idx="280">
                  <c:v>0.27805813294145</c:v>
                </c:pt>
                <c:pt idx="281">
                  <c:v>0.279704440487251</c:v>
                </c:pt>
                <c:pt idx="282">
                  <c:v>0.282917900738999</c:v>
                </c:pt>
                <c:pt idx="283">
                  <c:v>0.282971081368761</c:v>
                </c:pt>
                <c:pt idx="284">
                  <c:v>0.283009859561474</c:v>
                </c:pt>
                <c:pt idx="285">
                  <c:v>0.28551758114086</c:v>
                </c:pt>
                <c:pt idx="286">
                  <c:v>0.285806720030132</c:v>
                </c:pt>
                <c:pt idx="287">
                  <c:v>0.286142776639131</c:v>
                </c:pt>
                <c:pt idx="288">
                  <c:v>0.286295826380131</c:v>
                </c:pt>
                <c:pt idx="289">
                  <c:v>0.288169297981939</c:v>
                </c:pt>
                <c:pt idx="290">
                  <c:v>0.288830726155165</c:v>
                </c:pt>
                <c:pt idx="291">
                  <c:v>0.289468649460117</c:v>
                </c:pt>
                <c:pt idx="292">
                  <c:v>0.289651800029354</c:v>
                </c:pt>
                <c:pt idx="293">
                  <c:v>0.291385664050616</c:v>
                </c:pt>
                <c:pt idx="294">
                  <c:v>0.293100873014711</c:v>
                </c:pt>
                <c:pt idx="295">
                  <c:v>0.293173675367282</c:v>
                </c:pt>
                <c:pt idx="296">
                  <c:v>0.293274220227252</c:v>
                </c:pt>
                <c:pt idx="297">
                  <c:v>0.295877557192466</c:v>
                </c:pt>
                <c:pt idx="298">
                  <c:v>0.297021328889889</c:v>
                </c:pt>
                <c:pt idx="299">
                  <c:v>0.298565254846391</c:v>
                </c:pt>
                <c:pt idx="300">
                  <c:v>0.299731226110863</c:v>
                </c:pt>
                <c:pt idx="301">
                  <c:v>0.299752306685404</c:v>
                </c:pt>
                <c:pt idx="302">
                  <c:v>0.30033609984055</c:v>
                </c:pt>
                <c:pt idx="303">
                  <c:v>0.301014201059595</c:v>
                </c:pt>
                <c:pt idx="304">
                  <c:v>0.301347162846346</c:v>
                </c:pt>
                <c:pt idx="305">
                  <c:v>0.301862961264522</c:v>
                </c:pt>
                <c:pt idx="306">
                  <c:v>0.303937494892726</c:v>
                </c:pt>
                <c:pt idx="307">
                  <c:v>0.304380954195527</c:v>
                </c:pt>
                <c:pt idx="308">
                  <c:v>0.305949219254465</c:v>
                </c:pt>
                <c:pt idx="309">
                  <c:v>0.306346892925355</c:v>
                </c:pt>
                <c:pt idx="310">
                  <c:v>0.306519673593554</c:v>
                </c:pt>
                <c:pt idx="311">
                  <c:v>0.306935206464819</c:v>
                </c:pt>
                <c:pt idx="312">
                  <c:v>0.307078541286178</c:v>
                </c:pt>
                <c:pt idx="313">
                  <c:v>0.308964407741052</c:v>
                </c:pt>
                <c:pt idx="314">
                  <c:v>0.309482785178056</c:v>
                </c:pt>
                <c:pt idx="315">
                  <c:v>0.309722721567303</c:v>
                </c:pt>
                <c:pt idx="316">
                  <c:v>0.310978131814791</c:v>
                </c:pt>
                <c:pt idx="317">
                  <c:v>0.312562327594052</c:v>
                </c:pt>
                <c:pt idx="318">
                  <c:v>0.315361824143575</c:v>
                </c:pt>
                <c:pt idx="319">
                  <c:v>0.315373222477918</c:v>
                </c:pt>
                <c:pt idx="320">
                  <c:v>0.316002935608741</c:v>
                </c:pt>
                <c:pt idx="321">
                  <c:v>0.317414829068259</c:v>
                </c:pt>
                <c:pt idx="322">
                  <c:v>0.317618677324044</c:v>
                </c:pt>
                <c:pt idx="323">
                  <c:v>0.318947161544045</c:v>
                </c:pt>
                <c:pt idx="324">
                  <c:v>0.319493396928278</c:v>
                </c:pt>
                <c:pt idx="325">
                  <c:v>0.319506040424225</c:v>
                </c:pt>
                <c:pt idx="326">
                  <c:v>0.320991019147942</c:v>
                </c:pt>
                <c:pt idx="327">
                  <c:v>0.321273875897454</c:v>
                </c:pt>
                <c:pt idx="328">
                  <c:v>0.322107137733917</c:v>
                </c:pt>
                <c:pt idx="329">
                  <c:v>0.322206561900076</c:v>
                </c:pt>
                <c:pt idx="330">
                  <c:v>0.322218635279054</c:v>
                </c:pt>
                <c:pt idx="331">
                  <c:v>0.322702518074592</c:v>
                </c:pt>
                <c:pt idx="332">
                  <c:v>0.323058832607391</c:v>
                </c:pt>
                <c:pt idx="333">
                  <c:v>0.323468106583832</c:v>
                </c:pt>
                <c:pt idx="334">
                  <c:v>0.324205213978518</c:v>
                </c:pt>
                <c:pt idx="335">
                  <c:v>0.326613385939357</c:v>
                </c:pt>
                <c:pt idx="336">
                  <c:v>0.327575047256692</c:v>
                </c:pt>
                <c:pt idx="337">
                  <c:v>0.327576160737518</c:v>
                </c:pt>
                <c:pt idx="338">
                  <c:v>0.330434909302527</c:v>
                </c:pt>
                <c:pt idx="339">
                  <c:v>0.33091926909068</c:v>
                </c:pt>
                <c:pt idx="340">
                  <c:v>0.332594374920403</c:v>
                </c:pt>
                <c:pt idx="341">
                  <c:v>0.333461499637555</c:v>
                </c:pt>
                <c:pt idx="342">
                  <c:v>0.33496736920922</c:v>
                </c:pt>
                <c:pt idx="343">
                  <c:v>0.335846673688229</c:v>
                </c:pt>
                <c:pt idx="344">
                  <c:v>0.336680884966251</c:v>
                </c:pt>
                <c:pt idx="345">
                  <c:v>0.338210000287783</c:v>
                </c:pt>
                <c:pt idx="346">
                  <c:v>0.338754444675998</c:v>
                </c:pt>
                <c:pt idx="347">
                  <c:v>0.339253013944153</c:v>
                </c:pt>
                <c:pt idx="348">
                  <c:v>0.343586721395371</c:v>
                </c:pt>
                <c:pt idx="349">
                  <c:v>0.343990490789495</c:v>
                </c:pt>
                <c:pt idx="350">
                  <c:v>0.344456009422934</c:v>
                </c:pt>
                <c:pt idx="351">
                  <c:v>0.344612517641742</c:v>
                </c:pt>
                <c:pt idx="352">
                  <c:v>0.345726839445802</c:v>
                </c:pt>
                <c:pt idx="353">
                  <c:v>0.346524199729791</c:v>
                </c:pt>
                <c:pt idx="354">
                  <c:v>0.347069365665325</c:v>
                </c:pt>
                <c:pt idx="355">
                  <c:v>0.347544563390838</c:v>
                </c:pt>
                <c:pt idx="356">
                  <c:v>0.348437094195281</c:v>
                </c:pt>
                <c:pt idx="357">
                  <c:v>0.351631451720155</c:v>
                </c:pt>
                <c:pt idx="358">
                  <c:v>0.35164301692082</c:v>
                </c:pt>
                <c:pt idx="359">
                  <c:v>0.352022603881894</c:v>
                </c:pt>
                <c:pt idx="360">
                  <c:v>0.353186188703327</c:v>
                </c:pt>
                <c:pt idx="361">
                  <c:v>0.359695873095645</c:v>
                </c:pt>
                <c:pt idx="362">
                  <c:v>0.365839515242562</c:v>
                </c:pt>
                <c:pt idx="363">
                  <c:v>0.366719361591898</c:v>
                </c:pt>
                <c:pt idx="364">
                  <c:v>0.366999969691533</c:v>
                </c:pt>
                <c:pt idx="365">
                  <c:v>0.369384354840187</c:v>
                </c:pt>
                <c:pt idx="366">
                  <c:v>0.370109505859267</c:v>
                </c:pt>
                <c:pt idx="367">
                  <c:v>0.370570846313035</c:v>
                </c:pt>
                <c:pt idx="368">
                  <c:v>0.371587814857717</c:v>
                </c:pt>
                <c:pt idx="369">
                  <c:v>0.371803850877259</c:v>
                </c:pt>
                <c:pt idx="370">
                  <c:v>0.37270857353925</c:v>
                </c:pt>
                <c:pt idx="371">
                  <c:v>0.375662664846943</c:v>
                </c:pt>
                <c:pt idx="372">
                  <c:v>0.376000351490262</c:v>
                </c:pt>
                <c:pt idx="373">
                  <c:v>0.376122728354197</c:v>
                </c:pt>
                <c:pt idx="374">
                  <c:v>0.376453160400531</c:v>
                </c:pt>
                <c:pt idx="375">
                  <c:v>0.377467775494919</c:v>
                </c:pt>
                <c:pt idx="376">
                  <c:v>0.377910459995631</c:v>
                </c:pt>
                <c:pt idx="377">
                  <c:v>0.378822290950388</c:v>
                </c:pt>
                <c:pt idx="378">
                  <c:v>0.378863719824957</c:v>
                </c:pt>
                <c:pt idx="379">
                  <c:v>0.379389596001615</c:v>
                </c:pt>
                <c:pt idx="380">
                  <c:v>0.381568356106974</c:v>
                </c:pt>
                <c:pt idx="381">
                  <c:v>0.382356797882498</c:v>
                </c:pt>
                <c:pt idx="382">
                  <c:v>0.382417058271932</c:v>
                </c:pt>
                <c:pt idx="383">
                  <c:v>0.384264850067836</c:v>
                </c:pt>
                <c:pt idx="384">
                  <c:v>0.384678454528882</c:v>
                </c:pt>
                <c:pt idx="385">
                  <c:v>0.386238620691997</c:v>
                </c:pt>
                <c:pt idx="386">
                  <c:v>0.38853882507451</c:v>
                </c:pt>
                <c:pt idx="387">
                  <c:v>0.389724166185725</c:v>
                </c:pt>
                <c:pt idx="388">
                  <c:v>0.39031136616913</c:v>
                </c:pt>
                <c:pt idx="389">
                  <c:v>0.392701688040163</c:v>
                </c:pt>
                <c:pt idx="390">
                  <c:v>0.39306626999593</c:v>
                </c:pt>
                <c:pt idx="391">
                  <c:v>0.397602006008085</c:v>
                </c:pt>
                <c:pt idx="392">
                  <c:v>0.397802842091752</c:v>
                </c:pt>
                <c:pt idx="393">
                  <c:v>0.398864073110744</c:v>
                </c:pt>
                <c:pt idx="394">
                  <c:v>0.399340506983236</c:v>
                </c:pt>
                <c:pt idx="395">
                  <c:v>0.399356368064041</c:v>
                </c:pt>
                <c:pt idx="396">
                  <c:v>0.399863798235181</c:v>
                </c:pt>
                <c:pt idx="397">
                  <c:v>0.400236992849536</c:v>
                </c:pt>
                <c:pt idx="398">
                  <c:v>0.401397120881564</c:v>
                </c:pt>
                <c:pt idx="399">
                  <c:v>0.402171344581129</c:v>
                </c:pt>
                <c:pt idx="400">
                  <c:v>0.402813796740651</c:v>
                </c:pt>
                <c:pt idx="401">
                  <c:v>0.403787415747968</c:v>
                </c:pt>
                <c:pt idx="402">
                  <c:v>0.405687893357644</c:v>
                </c:pt>
                <c:pt idx="403">
                  <c:v>0.406590984875305</c:v>
                </c:pt>
                <c:pt idx="404">
                  <c:v>0.409271918802</c:v>
                </c:pt>
                <c:pt idx="405">
                  <c:v>0.410093601876584</c:v>
                </c:pt>
                <c:pt idx="406">
                  <c:v>0.411625601809136</c:v>
                </c:pt>
                <c:pt idx="407">
                  <c:v>0.413181750857315</c:v>
                </c:pt>
                <c:pt idx="408">
                  <c:v>0.413201411012939</c:v>
                </c:pt>
                <c:pt idx="409">
                  <c:v>0.413766836738086</c:v>
                </c:pt>
                <c:pt idx="410">
                  <c:v>0.414024861289656</c:v>
                </c:pt>
                <c:pt idx="411">
                  <c:v>0.414380810675549</c:v>
                </c:pt>
                <c:pt idx="412">
                  <c:v>0.416821477071367</c:v>
                </c:pt>
                <c:pt idx="413">
                  <c:v>0.417052639795722</c:v>
                </c:pt>
                <c:pt idx="414">
                  <c:v>0.417817951254442</c:v>
                </c:pt>
                <c:pt idx="415">
                  <c:v>0.418809139688223</c:v>
                </c:pt>
                <c:pt idx="416">
                  <c:v>0.419270655068549</c:v>
                </c:pt>
                <c:pt idx="417">
                  <c:v>0.421048464052033</c:v>
                </c:pt>
                <c:pt idx="418">
                  <c:v>0.421508371368828</c:v>
                </c:pt>
                <c:pt idx="419">
                  <c:v>0.421853069802315</c:v>
                </c:pt>
                <c:pt idx="420">
                  <c:v>0.422133222462552</c:v>
                </c:pt>
                <c:pt idx="421">
                  <c:v>0.423646442820304</c:v>
                </c:pt>
                <c:pt idx="422">
                  <c:v>0.423854598493002</c:v>
                </c:pt>
                <c:pt idx="423">
                  <c:v>0.424357457516334</c:v>
                </c:pt>
                <c:pt idx="424">
                  <c:v>0.424517885011619</c:v>
                </c:pt>
                <c:pt idx="425">
                  <c:v>0.425627497020961</c:v>
                </c:pt>
                <c:pt idx="426">
                  <c:v>0.431127247635059</c:v>
                </c:pt>
                <c:pt idx="427">
                  <c:v>0.433144940296777</c:v>
                </c:pt>
                <c:pt idx="428">
                  <c:v>0.436571860875977</c:v>
                </c:pt>
                <c:pt idx="429">
                  <c:v>0.436664872187523</c:v>
                </c:pt>
                <c:pt idx="430">
                  <c:v>0.437332920578342</c:v>
                </c:pt>
                <c:pt idx="431">
                  <c:v>0.438214281097689</c:v>
                </c:pt>
                <c:pt idx="432">
                  <c:v>0.439025510667098</c:v>
                </c:pt>
                <c:pt idx="433">
                  <c:v>0.439806734538244</c:v>
                </c:pt>
                <c:pt idx="434">
                  <c:v>0.440338538971081</c:v>
                </c:pt>
                <c:pt idx="435">
                  <c:v>0.441958776067178</c:v>
                </c:pt>
                <c:pt idx="436">
                  <c:v>0.442394930374553</c:v>
                </c:pt>
                <c:pt idx="437">
                  <c:v>0.443145964139687</c:v>
                </c:pt>
                <c:pt idx="438">
                  <c:v>0.443231850441436</c:v>
                </c:pt>
                <c:pt idx="439">
                  <c:v>0.443630369570046</c:v>
                </c:pt>
                <c:pt idx="440">
                  <c:v>0.44411985009301</c:v>
                </c:pt>
                <c:pt idx="441">
                  <c:v>0.444152790677196</c:v>
                </c:pt>
                <c:pt idx="442">
                  <c:v>0.445330315809268</c:v>
                </c:pt>
                <c:pt idx="443">
                  <c:v>0.447553507820556</c:v>
                </c:pt>
                <c:pt idx="444">
                  <c:v>0.448655728684572</c:v>
                </c:pt>
                <c:pt idx="445">
                  <c:v>0.451389893251637</c:v>
                </c:pt>
                <c:pt idx="446">
                  <c:v>0.453443973300471</c:v>
                </c:pt>
                <c:pt idx="447">
                  <c:v>0.453481475359691</c:v>
                </c:pt>
                <c:pt idx="448">
                  <c:v>0.454594095061672</c:v>
                </c:pt>
                <c:pt idx="449">
                  <c:v>0.455096193851239</c:v>
                </c:pt>
                <c:pt idx="450">
                  <c:v>0.455621060911722</c:v>
                </c:pt>
                <c:pt idx="451">
                  <c:v>0.458510496501091</c:v>
                </c:pt>
                <c:pt idx="452">
                  <c:v>0.459126683743103</c:v>
                </c:pt>
                <c:pt idx="453">
                  <c:v>0.459545858261512</c:v>
                </c:pt>
                <c:pt idx="454">
                  <c:v>0.459685268713777</c:v>
                </c:pt>
                <c:pt idx="455">
                  <c:v>0.460348125241813</c:v>
                </c:pt>
                <c:pt idx="456">
                  <c:v>0.461010793254579</c:v>
                </c:pt>
                <c:pt idx="457">
                  <c:v>0.463774041079333</c:v>
                </c:pt>
                <c:pt idx="458">
                  <c:v>0.46378658778929</c:v>
                </c:pt>
                <c:pt idx="459">
                  <c:v>0.464144014184637</c:v>
                </c:pt>
                <c:pt idx="460">
                  <c:v>0.465996896416836</c:v>
                </c:pt>
                <c:pt idx="461">
                  <c:v>0.467101891694975</c:v>
                </c:pt>
                <c:pt idx="462">
                  <c:v>0.468021084314014</c:v>
                </c:pt>
                <c:pt idx="463">
                  <c:v>0.470191380813336</c:v>
                </c:pt>
                <c:pt idx="464">
                  <c:v>0.470232883059817</c:v>
                </c:pt>
                <c:pt idx="465">
                  <c:v>0.471203487831322</c:v>
                </c:pt>
                <c:pt idx="466">
                  <c:v>0.471939848040425</c:v>
                </c:pt>
                <c:pt idx="467">
                  <c:v>0.472594557058487</c:v>
                </c:pt>
                <c:pt idx="468">
                  <c:v>0.472854762266177</c:v>
                </c:pt>
                <c:pt idx="469">
                  <c:v>0.473634513834186</c:v>
                </c:pt>
                <c:pt idx="470">
                  <c:v>0.473976096522858</c:v>
                </c:pt>
                <c:pt idx="471">
                  <c:v>0.474539906420628</c:v>
                </c:pt>
                <c:pt idx="472">
                  <c:v>0.474767180003894</c:v>
                </c:pt>
                <c:pt idx="473">
                  <c:v>0.475012729327718</c:v>
                </c:pt>
                <c:pt idx="474">
                  <c:v>0.476308424134453</c:v>
                </c:pt>
                <c:pt idx="475">
                  <c:v>0.478701267250954</c:v>
                </c:pt>
                <c:pt idx="476">
                  <c:v>0.47934313280518</c:v>
                </c:pt>
                <c:pt idx="477">
                  <c:v>0.479381225293515</c:v>
                </c:pt>
                <c:pt idx="478">
                  <c:v>0.480914983946809</c:v>
                </c:pt>
                <c:pt idx="479">
                  <c:v>0.481460209506087</c:v>
                </c:pt>
                <c:pt idx="480">
                  <c:v>0.482706359651235</c:v>
                </c:pt>
                <c:pt idx="481">
                  <c:v>0.483081741773765</c:v>
                </c:pt>
                <c:pt idx="482">
                  <c:v>0.484570979814837</c:v>
                </c:pt>
                <c:pt idx="483">
                  <c:v>0.485063552809825</c:v>
                </c:pt>
                <c:pt idx="484">
                  <c:v>0.486112309860121</c:v>
                </c:pt>
                <c:pt idx="485">
                  <c:v>0.486690555380301</c:v>
                </c:pt>
                <c:pt idx="486">
                  <c:v>0.48722526384507</c:v>
                </c:pt>
                <c:pt idx="487">
                  <c:v>0.487497134995563</c:v>
                </c:pt>
                <c:pt idx="488">
                  <c:v>0.487769175621752</c:v>
                </c:pt>
                <c:pt idx="489">
                  <c:v>0.491846095539775</c:v>
                </c:pt>
                <c:pt idx="490">
                  <c:v>0.49377064173811</c:v>
                </c:pt>
                <c:pt idx="491">
                  <c:v>0.494684521671308</c:v>
                </c:pt>
                <c:pt idx="492">
                  <c:v>0.494882827666096</c:v>
                </c:pt>
                <c:pt idx="493">
                  <c:v>0.495383512950623</c:v>
                </c:pt>
                <c:pt idx="494">
                  <c:v>0.495791627949211</c:v>
                </c:pt>
                <c:pt idx="495">
                  <c:v>0.495886609376945</c:v>
                </c:pt>
                <c:pt idx="496">
                  <c:v>0.497330146694159</c:v>
                </c:pt>
                <c:pt idx="497">
                  <c:v>0.498465197650409</c:v>
                </c:pt>
                <c:pt idx="498">
                  <c:v>0.4991672118345</c:v>
                </c:pt>
                <c:pt idx="499">
                  <c:v>0.499319586001972</c:v>
                </c:pt>
                <c:pt idx="500">
                  <c:v>0.500680413998028</c:v>
                </c:pt>
                <c:pt idx="501">
                  <c:v>0.502075552450673</c:v>
                </c:pt>
                <c:pt idx="502">
                  <c:v>0.503956349337321</c:v>
                </c:pt>
                <c:pt idx="503">
                  <c:v>0.505841130022494</c:v>
                </c:pt>
                <c:pt idx="504">
                  <c:v>0.506132585713263</c:v>
                </c:pt>
                <c:pt idx="505">
                  <c:v>0.50866375142739</c:v>
                </c:pt>
                <c:pt idx="506">
                  <c:v>0.509536868780769</c:v>
                </c:pt>
                <c:pt idx="507">
                  <c:v>0.509544099637761</c:v>
                </c:pt>
                <c:pt idx="508">
                  <c:v>0.509799896356287</c:v>
                </c:pt>
                <c:pt idx="509">
                  <c:v>0.511303893813376</c:v>
                </c:pt>
                <c:pt idx="510">
                  <c:v>0.512240462312995</c:v>
                </c:pt>
                <c:pt idx="511">
                  <c:v>0.51309921585964</c:v>
                </c:pt>
                <c:pt idx="512">
                  <c:v>0.513277235113917</c:v>
                </c:pt>
                <c:pt idx="513">
                  <c:v>0.517559319568583</c:v>
                </c:pt>
                <c:pt idx="514">
                  <c:v>0.517572372020593</c:v>
                </c:pt>
                <c:pt idx="515">
                  <c:v>0.51901986665564</c:v>
                </c:pt>
                <c:pt idx="516">
                  <c:v>0.519373001626816</c:v>
                </c:pt>
                <c:pt idx="517">
                  <c:v>0.519417827288047</c:v>
                </c:pt>
                <c:pt idx="518">
                  <c:v>0.519835154546837</c:v>
                </c:pt>
                <c:pt idx="519">
                  <c:v>0.520843062932403</c:v>
                </c:pt>
                <c:pt idx="520">
                  <c:v>0.521759529245496</c:v>
                </c:pt>
                <c:pt idx="521">
                  <c:v>0.522378137976497</c:v>
                </c:pt>
                <c:pt idx="522">
                  <c:v>0.523552536536818</c:v>
                </c:pt>
                <c:pt idx="523">
                  <c:v>0.524893606789841</c:v>
                </c:pt>
                <c:pt idx="524">
                  <c:v>0.524938130774528</c:v>
                </c:pt>
                <c:pt idx="525">
                  <c:v>0.525329461481179</c:v>
                </c:pt>
                <c:pt idx="526">
                  <c:v>0.526639007962446</c:v>
                </c:pt>
                <c:pt idx="527">
                  <c:v>0.52724279231353</c:v>
                </c:pt>
                <c:pt idx="528">
                  <c:v>0.528342085159847</c:v>
                </c:pt>
                <c:pt idx="529">
                  <c:v>0.529648244206922</c:v>
                </c:pt>
                <c:pt idx="530">
                  <c:v>0.534004478166046</c:v>
                </c:pt>
                <c:pt idx="531">
                  <c:v>0.534207492187259</c:v>
                </c:pt>
                <c:pt idx="532">
                  <c:v>0.535205597494483</c:v>
                </c:pt>
                <c:pt idx="533">
                  <c:v>0.535283525637303</c:v>
                </c:pt>
                <c:pt idx="534">
                  <c:v>0.535832560533799</c:v>
                </c:pt>
                <c:pt idx="535">
                  <c:v>0.536299353850241</c:v>
                </c:pt>
                <c:pt idx="536">
                  <c:v>0.537114558669765</c:v>
                </c:pt>
                <c:pt idx="537">
                  <c:v>0.539773603014014</c:v>
                </c:pt>
                <c:pt idx="538">
                  <c:v>0.540391400208843</c:v>
                </c:pt>
                <c:pt idx="539">
                  <c:v>0.540516314625</c:v>
                </c:pt>
                <c:pt idx="540">
                  <c:v>0.540876393117554</c:v>
                </c:pt>
                <c:pt idx="541">
                  <c:v>0.543775641173876</c:v>
                </c:pt>
                <c:pt idx="542">
                  <c:v>0.545074869949929</c:v>
                </c:pt>
                <c:pt idx="543">
                  <c:v>0.54655240706514</c:v>
                </c:pt>
                <c:pt idx="544">
                  <c:v>0.553188699579319</c:v>
                </c:pt>
                <c:pt idx="545">
                  <c:v>0.556863831797962</c:v>
                </c:pt>
                <c:pt idx="546">
                  <c:v>0.556955132872548</c:v>
                </c:pt>
                <c:pt idx="547">
                  <c:v>0.55706655299126</c:v>
                </c:pt>
                <c:pt idx="548">
                  <c:v>0.557494870910456</c:v>
                </c:pt>
                <c:pt idx="549">
                  <c:v>0.557531697629381</c:v>
                </c:pt>
                <c:pt idx="550">
                  <c:v>0.557978760676356</c:v>
                </c:pt>
                <c:pt idx="551">
                  <c:v>0.558349195327891</c:v>
                </c:pt>
                <c:pt idx="552">
                  <c:v>0.558513623894201</c:v>
                </c:pt>
                <c:pt idx="553">
                  <c:v>0.558778720494755</c:v>
                </c:pt>
                <c:pt idx="554">
                  <c:v>0.559119037929514</c:v>
                </c:pt>
                <c:pt idx="555">
                  <c:v>0.559371011104533</c:v>
                </c:pt>
                <c:pt idx="556">
                  <c:v>0.559872880290371</c:v>
                </c:pt>
                <c:pt idx="557">
                  <c:v>0.560910079021971</c:v>
                </c:pt>
                <c:pt idx="558">
                  <c:v>0.5630394910286</c:v>
                </c:pt>
                <c:pt idx="559">
                  <c:v>0.56527498323343</c:v>
                </c:pt>
                <c:pt idx="560">
                  <c:v>0.56594226535692</c:v>
                </c:pt>
                <c:pt idx="561">
                  <c:v>0.568663909862587</c:v>
                </c:pt>
                <c:pt idx="562">
                  <c:v>0.568945743193543</c:v>
                </c:pt>
                <c:pt idx="563">
                  <c:v>0.569469229256403</c:v>
                </c:pt>
                <c:pt idx="564">
                  <c:v>0.57061164122201</c:v>
                </c:pt>
                <c:pt idx="565">
                  <c:v>0.572375324697221</c:v>
                </c:pt>
                <c:pt idx="566">
                  <c:v>0.572836893077418</c:v>
                </c:pt>
                <c:pt idx="567">
                  <c:v>0.573546647769397</c:v>
                </c:pt>
                <c:pt idx="568">
                  <c:v>0.57481768779889</c:v>
                </c:pt>
                <c:pt idx="569">
                  <c:v>0.575299217117984</c:v>
                </c:pt>
                <c:pt idx="570">
                  <c:v>0.575976701976145</c:v>
                </c:pt>
                <c:pt idx="571">
                  <c:v>0.575994719770056</c:v>
                </c:pt>
                <c:pt idx="572">
                  <c:v>0.576016106413641</c:v>
                </c:pt>
                <c:pt idx="573">
                  <c:v>0.578381763018773</c:v>
                </c:pt>
                <c:pt idx="574">
                  <c:v>0.581463274310463</c:v>
                </c:pt>
                <c:pt idx="575">
                  <c:v>0.582643166270862</c:v>
                </c:pt>
                <c:pt idx="576">
                  <c:v>0.584375938791871</c:v>
                </c:pt>
                <c:pt idx="577">
                  <c:v>0.584445152556361</c:v>
                </c:pt>
                <c:pt idx="578">
                  <c:v>0.584501093437667</c:v>
                </c:pt>
                <c:pt idx="579">
                  <c:v>0.587424063948048</c:v>
                </c:pt>
                <c:pt idx="580">
                  <c:v>0.587549605670786</c:v>
                </c:pt>
                <c:pt idx="581">
                  <c:v>0.587950951553837</c:v>
                </c:pt>
                <c:pt idx="582">
                  <c:v>0.589721878267718</c:v>
                </c:pt>
                <c:pt idx="583">
                  <c:v>0.590385403439889</c:v>
                </c:pt>
                <c:pt idx="584">
                  <c:v>0.590893599754787</c:v>
                </c:pt>
                <c:pt idx="585">
                  <c:v>0.59150120304367</c:v>
                </c:pt>
                <c:pt idx="586">
                  <c:v>0.591545148715427</c:v>
                </c:pt>
                <c:pt idx="587">
                  <c:v>0.59327679301995</c:v>
                </c:pt>
                <c:pt idx="588">
                  <c:v>0.593398168084707</c:v>
                </c:pt>
                <c:pt idx="589">
                  <c:v>0.59352110047633</c:v>
                </c:pt>
                <c:pt idx="590">
                  <c:v>0.593939321735789</c:v>
                </c:pt>
                <c:pt idx="591">
                  <c:v>0.594102747072322</c:v>
                </c:pt>
                <c:pt idx="592">
                  <c:v>0.594323129703569</c:v>
                </c:pt>
                <c:pt idx="593">
                  <c:v>0.596812338043126</c:v>
                </c:pt>
                <c:pt idx="594">
                  <c:v>0.596957472453359</c:v>
                </c:pt>
                <c:pt idx="595">
                  <c:v>0.59755179244358</c:v>
                </c:pt>
                <c:pt idx="596">
                  <c:v>0.597682245779639</c:v>
                </c:pt>
                <c:pt idx="597">
                  <c:v>0.598314505250729</c:v>
                </c:pt>
                <c:pt idx="598">
                  <c:v>0.598808020167832</c:v>
                </c:pt>
                <c:pt idx="599">
                  <c:v>0.599128732008741</c:v>
                </c:pt>
                <c:pt idx="600">
                  <c:v>0.601515282450389</c:v>
                </c:pt>
                <c:pt idx="601">
                  <c:v>0.602401234395181</c:v>
                </c:pt>
                <c:pt idx="602">
                  <c:v>0.602611744686954</c:v>
                </c:pt>
                <c:pt idx="603">
                  <c:v>0.603727921569223</c:v>
                </c:pt>
                <c:pt idx="604">
                  <c:v>0.603830862489682</c:v>
                </c:pt>
                <c:pt idx="605">
                  <c:v>0.6047464616448</c:v>
                </c:pt>
                <c:pt idx="606">
                  <c:v>0.606053542837546</c:v>
                </c:pt>
                <c:pt idx="607">
                  <c:v>0.606367091048244</c:v>
                </c:pt>
                <c:pt idx="608">
                  <c:v>0.608817111996776</c:v>
                </c:pt>
                <c:pt idx="609">
                  <c:v>0.608907227720757</c:v>
                </c:pt>
                <c:pt idx="610">
                  <c:v>0.61097949483135</c:v>
                </c:pt>
                <c:pt idx="611">
                  <c:v>0.611575531464684</c:v>
                </c:pt>
                <c:pt idx="612">
                  <c:v>0.613567311204171</c:v>
                </c:pt>
                <c:pt idx="613">
                  <c:v>0.613782943422793</c:v>
                </c:pt>
                <c:pt idx="614">
                  <c:v>0.614329260908367</c:v>
                </c:pt>
                <c:pt idx="615">
                  <c:v>0.617108636745865</c:v>
                </c:pt>
                <c:pt idx="616">
                  <c:v>0.618856853165431</c:v>
                </c:pt>
                <c:pt idx="617">
                  <c:v>0.618999892652322</c:v>
                </c:pt>
                <c:pt idx="618">
                  <c:v>0.619435222854851</c:v>
                </c:pt>
                <c:pt idx="619">
                  <c:v>0.621754435663098</c:v>
                </c:pt>
                <c:pt idx="620">
                  <c:v>0.622767397200249</c:v>
                </c:pt>
                <c:pt idx="621">
                  <c:v>0.622972539803962</c:v>
                </c:pt>
                <c:pt idx="622">
                  <c:v>0.624380047063991</c:v>
                </c:pt>
                <c:pt idx="623">
                  <c:v>0.624482752397766</c:v>
                </c:pt>
                <c:pt idx="624">
                  <c:v>0.625276089842974</c:v>
                </c:pt>
                <c:pt idx="625">
                  <c:v>0.628517593735192</c:v>
                </c:pt>
                <c:pt idx="626">
                  <c:v>0.629792291468494</c:v>
                </c:pt>
                <c:pt idx="627">
                  <c:v>0.632441387165138</c:v>
                </c:pt>
                <c:pt idx="628">
                  <c:v>0.63270670800534</c:v>
                </c:pt>
                <c:pt idx="629">
                  <c:v>0.633246877970523</c:v>
                </c:pt>
                <c:pt idx="630">
                  <c:v>0.634061902284469</c:v>
                </c:pt>
                <c:pt idx="631">
                  <c:v>0.635296920341634</c:v>
                </c:pt>
                <c:pt idx="632">
                  <c:v>0.636131769679142</c:v>
                </c:pt>
                <c:pt idx="633">
                  <c:v>0.636330353931715</c:v>
                </c:pt>
                <c:pt idx="634">
                  <c:v>0.636886744332002</c:v>
                </c:pt>
                <c:pt idx="635">
                  <c:v>0.636972644358321</c:v>
                </c:pt>
                <c:pt idx="636">
                  <c:v>0.637062406861312</c:v>
                </c:pt>
                <c:pt idx="637">
                  <c:v>0.638719302173885</c:v>
                </c:pt>
                <c:pt idx="638">
                  <c:v>0.639373508202982</c:v>
                </c:pt>
                <c:pt idx="639">
                  <c:v>0.639881762757064</c:v>
                </c:pt>
                <c:pt idx="640">
                  <c:v>0.641275957909396</c:v>
                </c:pt>
                <c:pt idx="641">
                  <c:v>0.641816496620909</c:v>
                </c:pt>
                <c:pt idx="642">
                  <c:v>0.643118578630456</c:v>
                </c:pt>
                <c:pt idx="643">
                  <c:v>0.644681426727505</c:v>
                </c:pt>
                <c:pt idx="644">
                  <c:v>0.646041232491648</c:v>
                </c:pt>
                <c:pt idx="645">
                  <c:v>0.650051072434268</c:v>
                </c:pt>
                <c:pt idx="646">
                  <c:v>0.651225244713759</c:v>
                </c:pt>
                <c:pt idx="647">
                  <c:v>0.65131098965411</c:v>
                </c:pt>
                <c:pt idx="648">
                  <c:v>0.651911234935028</c:v>
                </c:pt>
                <c:pt idx="649">
                  <c:v>0.652185459278309</c:v>
                </c:pt>
                <c:pt idx="650">
                  <c:v>0.653961232584063</c:v>
                </c:pt>
                <c:pt idx="651">
                  <c:v>0.654453468038324</c:v>
                </c:pt>
                <c:pt idx="652">
                  <c:v>0.654538413851801</c:v>
                </c:pt>
                <c:pt idx="653">
                  <c:v>0.654601920405616</c:v>
                </c:pt>
                <c:pt idx="654">
                  <c:v>0.654931962548726</c:v>
                </c:pt>
                <c:pt idx="655">
                  <c:v>0.655439000039535</c:v>
                </c:pt>
                <c:pt idx="656">
                  <c:v>0.656091419225032</c:v>
                </c:pt>
                <c:pt idx="657">
                  <c:v>0.658221338031013</c:v>
                </c:pt>
                <c:pt idx="658">
                  <c:v>0.659783585279949</c:v>
                </c:pt>
                <c:pt idx="659">
                  <c:v>0.661319163117759</c:v>
                </c:pt>
                <c:pt idx="660">
                  <c:v>0.663518006331782</c:v>
                </c:pt>
                <c:pt idx="661">
                  <c:v>0.663765381196935</c:v>
                </c:pt>
                <c:pt idx="662">
                  <c:v>0.664700953134314</c:v>
                </c:pt>
                <c:pt idx="663">
                  <c:v>0.665442979243339</c:v>
                </c:pt>
                <c:pt idx="664">
                  <c:v>0.666122474800723</c:v>
                </c:pt>
                <c:pt idx="665">
                  <c:v>0.666651031456715</c:v>
                </c:pt>
                <c:pt idx="666">
                  <c:v>0.667470993260098</c:v>
                </c:pt>
                <c:pt idx="667">
                  <c:v>0.670141017599105</c:v>
                </c:pt>
                <c:pt idx="668">
                  <c:v>0.671524899095101</c:v>
                </c:pt>
                <c:pt idx="669">
                  <c:v>0.67191258663027</c:v>
                </c:pt>
                <c:pt idx="670">
                  <c:v>0.672921116853342</c:v>
                </c:pt>
                <c:pt idx="671">
                  <c:v>0.67329485127491</c:v>
                </c:pt>
                <c:pt idx="672">
                  <c:v>0.67391308523383</c:v>
                </c:pt>
                <c:pt idx="673">
                  <c:v>0.676226160188559</c:v>
                </c:pt>
                <c:pt idx="674">
                  <c:v>0.676921966744498</c:v>
                </c:pt>
                <c:pt idx="675">
                  <c:v>0.678869608641049</c:v>
                </c:pt>
                <c:pt idx="676">
                  <c:v>0.67920276463416</c:v>
                </c:pt>
                <c:pt idx="677">
                  <c:v>0.679236645428889</c:v>
                </c:pt>
                <c:pt idx="678">
                  <c:v>0.682240302527885</c:v>
                </c:pt>
                <c:pt idx="679">
                  <c:v>0.68399102584938</c:v>
                </c:pt>
                <c:pt idx="680">
                  <c:v>0.68407782063158</c:v>
                </c:pt>
                <c:pt idx="681">
                  <c:v>0.684536892426114</c:v>
                </c:pt>
                <c:pt idx="682">
                  <c:v>0.684738735890397</c:v>
                </c:pt>
                <c:pt idx="683">
                  <c:v>0.68602194041208</c:v>
                </c:pt>
                <c:pt idx="684">
                  <c:v>0.687183827555783</c:v>
                </c:pt>
                <c:pt idx="685">
                  <c:v>0.687529958711041</c:v>
                </c:pt>
                <c:pt idx="686">
                  <c:v>0.689073825686543</c:v>
                </c:pt>
                <c:pt idx="687">
                  <c:v>0.694414498595248</c:v>
                </c:pt>
                <c:pt idx="688">
                  <c:v>0.695561476563826</c:v>
                </c:pt>
                <c:pt idx="689">
                  <c:v>0.696089108500798</c:v>
                </c:pt>
                <c:pt idx="690">
                  <c:v>0.697586192407931</c:v>
                </c:pt>
                <c:pt idx="691">
                  <c:v>0.698615323697237</c:v>
                </c:pt>
                <c:pt idx="692">
                  <c:v>0.699358147470627</c:v>
                </c:pt>
                <c:pt idx="693">
                  <c:v>0.699426687314818</c:v>
                </c:pt>
                <c:pt idx="694">
                  <c:v>0.700918967004782</c:v>
                </c:pt>
                <c:pt idx="695">
                  <c:v>0.700985121518105</c:v>
                </c:pt>
                <c:pt idx="696">
                  <c:v>0.701466095752491</c:v>
                </c:pt>
                <c:pt idx="697">
                  <c:v>0.702073004216782</c:v>
                </c:pt>
                <c:pt idx="698">
                  <c:v>0.703176282967139</c:v>
                </c:pt>
                <c:pt idx="699">
                  <c:v>0.704192264287421</c:v>
                </c:pt>
                <c:pt idx="700">
                  <c:v>0.706288856255306</c:v>
                </c:pt>
                <c:pt idx="701">
                  <c:v>0.706525204717985</c:v>
                </c:pt>
                <c:pt idx="702">
                  <c:v>0.709166600856525</c:v>
                </c:pt>
                <c:pt idx="703">
                  <c:v>0.710632985414507</c:v>
                </c:pt>
                <c:pt idx="704">
                  <c:v>0.710953525626864</c:v>
                </c:pt>
                <c:pt idx="705">
                  <c:v>0.711288743100948</c:v>
                </c:pt>
                <c:pt idx="706">
                  <c:v>0.71257970615964</c:v>
                </c:pt>
                <c:pt idx="707">
                  <c:v>0.714254475414922</c:v>
                </c:pt>
                <c:pt idx="708">
                  <c:v>0.716367149676011</c:v>
                </c:pt>
                <c:pt idx="709">
                  <c:v>0.717830922593785</c:v>
                </c:pt>
                <c:pt idx="710">
                  <c:v>0.718563607193346</c:v>
                </c:pt>
                <c:pt idx="711">
                  <c:v>0.718683332699085</c:v>
                </c:pt>
                <c:pt idx="712">
                  <c:v>0.720213187458738</c:v>
                </c:pt>
                <c:pt idx="713">
                  <c:v>0.720361633848362</c:v>
                </c:pt>
                <c:pt idx="714">
                  <c:v>0.721577488257909</c:v>
                </c:pt>
                <c:pt idx="715">
                  <c:v>0.723215211442388</c:v>
                </c:pt>
                <c:pt idx="716">
                  <c:v>0.725993627167351</c:v>
                </c:pt>
                <c:pt idx="717">
                  <c:v>0.726518422497014</c:v>
                </c:pt>
                <c:pt idx="718">
                  <c:v>0.726569705188708</c:v>
                </c:pt>
                <c:pt idx="719">
                  <c:v>0.727777504526679</c:v>
                </c:pt>
                <c:pt idx="720">
                  <c:v>0.730430940019878</c:v>
                </c:pt>
                <c:pt idx="721">
                  <c:v>0.731856996487684</c:v>
                </c:pt>
                <c:pt idx="722">
                  <c:v>0.733115247091576</c:v>
                </c:pt>
                <c:pt idx="723">
                  <c:v>0.734184157966379</c:v>
                </c:pt>
                <c:pt idx="724">
                  <c:v>0.734435065987437</c:v>
                </c:pt>
                <c:pt idx="725">
                  <c:v>0.735291718365968</c:v>
                </c:pt>
                <c:pt idx="726">
                  <c:v>0.73555770462189</c:v>
                </c:pt>
                <c:pt idx="727">
                  <c:v>0.735793926173973</c:v>
                </c:pt>
                <c:pt idx="728">
                  <c:v>0.737345325476917</c:v>
                </c:pt>
                <c:pt idx="729">
                  <c:v>0.739194493788184</c:v>
                </c:pt>
                <c:pt idx="730">
                  <c:v>0.739591443138095</c:v>
                </c:pt>
                <c:pt idx="731">
                  <c:v>0.740032393556873</c:v>
                </c:pt>
                <c:pt idx="732">
                  <c:v>0.742184264725345</c:v>
                </c:pt>
                <c:pt idx="733">
                  <c:v>0.7422831094787</c:v>
                </c:pt>
                <c:pt idx="734">
                  <c:v>0.74287451651643</c:v>
                </c:pt>
                <c:pt idx="735">
                  <c:v>0.743246338903089</c:v>
                </c:pt>
                <c:pt idx="736">
                  <c:v>0.744140665786868</c:v>
                </c:pt>
                <c:pt idx="737">
                  <c:v>0.745283065087604</c:v>
                </c:pt>
                <c:pt idx="738">
                  <c:v>0.745704476212604</c:v>
                </c:pt>
                <c:pt idx="739">
                  <c:v>0.746519420466366</c:v>
                </c:pt>
                <c:pt idx="740">
                  <c:v>0.747284027608366</c:v>
                </c:pt>
                <c:pt idx="741">
                  <c:v>0.749075971676606</c:v>
                </c:pt>
                <c:pt idx="742">
                  <c:v>0.750434362183692</c:v>
                </c:pt>
                <c:pt idx="743">
                  <c:v>0.751278537252214</c:v>
                </c:pt>
                <c:pt idx="744">
                  <c:v>0.752385999101995</c:v>
                </c:pt>
                <c:pt idx="745">
                  <c:v>0.753904757119827</c:v>
                </c:pt>
                <c:pt idx="746">
                  <c:v>0.755704871510086</c:v>
                </c:pt>
                <c:pt idx="747">
                  <c:v>0.758426361851036</c:v>
                </c:pt>
                <c:pt idx="748">
                  <c:v>0.758755457671405</c:v>
                </c:pt>
                <c:pt idx="749">
                  <c:v>0.758851539329282</c:v>
                </c:pt>
                <c:pt idx="750">
                  <c:v>0.760328161719049</c:v>
                </c:pt>
                <c:pt idx="751">
                  <c:v>0.761436607759932</c:v>
                </c:pt>
                <c:pt idx="752">
                  <c:v>0.761725116224947</c:v>
                </c:pt>
                <c:pt idx="753">
                  <c:v>0.762810945703118</c:v>
                </c:pt>
                <c:pt idx="754">
                  <c:v>0.763175873284802</c:v>
                </c:pt>
                <c:pt idx="755">
                  <c:v>0.764182444689676</c:v>
                </c:pt>
                <c:pt idx="756">
                  <c:v>0.765050451029686</c:v>
                </c:pt>
                <c:pt idx="757">
                  <c:v>0.765242963439024</c:v>
                </c:pt>
                <c:pt idx="758">
                  <c:v>0.768826332849252</c:v>
                </c:pt>
                <c:pt idx="759">
                  <c:v>0.768845806943288</c:v>
                </c:pt>
                <c:pt idx="760">
                  <c:v>0.772165746130507</c:v>
                </c:pt>
                <c:pt idx="761">
                  <c:v>0.772259131829404</c:v>
                </c:pt>
                <c:pt idx="762">
                  <c:v>0.772261094859348</c:v>
                </c:pt>
                <c:pt idx="763">
                  <c:v>0.772502032398942</c:v>
                </c:pt>
                <c:pt idx="764">
                  <c:v>0.77308054532994</c:v>
                </c:pt>
                <c:pt idx="765">
                  <c:v>0.773852153130773</c:v>
                </c:pt>
                <c:pt idx="766">
                  <c:v>0.774084058826541</c:v>
                </c:pt>
                <c:pt idx="767">
                  <c:v>0.774444805678884</c:v>
                </c:pt>
                <c:pt idx="768">
                  <c:v>0.77686017772</c:v>
                </c:pt>
                <c:pt idx="769">
                  <c:v>0.777426481007334</c:v>
                </c:pt>
                <c:pt idx="770">
                  <c:v>0.777445454861368</c:v>
                </c:pt>
                <c:pt idx="771">
                  <c:v>0.77749018909932</c:v>
                </c:pt>
                <c:pt idx="772">
                  <c:v>0.778457394874047</c:v>
                </c:pt>
                <c:pt idx="773">
                  <c:v>0.778816480912193</c:v>
                </c:pt>
                <c:pt idx="774">
                  <c:v>0.779062740344554</c:v>
                </c:pt>
                <c:pt idx="775">
                  <c:v>0.779536939320491</c:v>
                </c:pt>
                <c:pt idx="776">
                  <c:v>0.780348712578682</c:v>
                </c:pt>
                <c:pt idx="777">
                  <c:v>0.780626352171118</c:v>
                </c:pt>
                <c:pt idx="778">
                  <c:v>0.780770705503969</c:v>
                </c:pt>
                <c:pt idx="779">
                  <c:v>0.781329548335891</c:v>
                </c:pt>
                <c:pt idx="780">
                  <c:v>0.782031671597218</c:v>
                </c:pt>
                <c:pt idx="781">
                  <c:v>0.782644571767171</c:v>
                </c:pt>
                <c:pt idx="782">
                  <c:v>0.782754420452424</c:v>
                </c:pt>
                <c:pt idx="783">
                  <c:v>0.782975828683163</c:v>
                </c:pt>
                <c:pt idx="784">
                  <c:v>0.783827313981856</c:v>
                </c:pt>
                <c:pt idx="785">
                  <c:v>0.783902781083746</c:v>
                </c:pt>
                <c:pt idx="786">
                  <c:v>0.784083230807233</c:v>
                </c:pt>
                <c:pt idx="787">
                  <c:v>0.784757233806677</c:v>
                </c:pt>
                <c:pt idx="788">
                  <c:v>0.786042016478642</c:v>
                </c:pt>
                <c:pt idx="789">
                  <c:v>0.786892470244538</c:v>
                </c:pt>
                <c:pt idx="790">
                  <c:v>0.787393110985586</c:v>
                </c:pt>
                <c:pt idx="791">
                  <c:v>0.787547953565478</c:v>
                </c:pt>
                <c:pt idx="792">
                  <c:v>0.791880795815282</c:v>
                </c:pt>
                <c:pt idx="793">
                  <c:v>0.793522507393069</c:v>
                </c:pt>
                <c:pt idx="794">
                  <c:v>0.793568177003662</c:v>
                </c:pt>
                <c:pt idx="795">
                  <c:v>0.794334837505542</c:v>
                </c:pt>
                <c:pt idx="796">
                  <c:v>0.794984467138446</c:v>
                </c:pt>
                <c:pt idx="797">
                  <c:v>0.795888508185092</c:v>
                </c:pt>
                <c:pt idx="798">
                  <c:v>0.796668746246101</c:v>
                </c:pt>
                <c:pt idx="799">
                  <c:v>0.797934218461641</c:v>
                </c:pt>
                <c:pt idx="800">
                  <c:v>0.799036441840127</c:v>
                </c:pt>
                <c:pt idx="801">
                  <c:v>0.799068262852218</c:v>
                </c:pt>
                <c:pt idx="802">
                  <c:v>0.799685742163207</c:v>
                </c:pt>
                <c:pt idx="803">
                  <c:v>0.800675417501784</c:v>
                </c:pt>
                <c:pt idx="804">
                  <c:v>0.80068972783824</c:v>
                </c:pt>
                <c:pt idx="805">
                  <c:v>0.800765903043636</c:v>
                </c:pt>
                <c:pt idx="806">
                  <c:v>0.801280426640039</c:v>
                </c:pt>
                <c:pt idx="807">
                  <c:v>0.801816374667591</c:v>
                </c:pt>
                <c:pt idx="808">
                  <c:v>0.801850773061956</c:v>
                </c:pt>
                <c:pt idx="809">
                  <c:v>0.803892836499409</c:v>
                </c:pt>
                <c:pt idx="810">
                  <c:v>0.804128187553401</c:v>
                </c:pt>
                <c:pt idx="811">
                  <c:v>0.80415756907873</c:v>
                </c:pt>
                <c:pt idx="812">
                  <c:v>0.804526476011573</c:v>
                </c:pt>
                <c:pt idx="813">
                  <c:v>0.80716488244248</c:v>
                </c:pt>
                <c:pt idx="814">
                  <c:v>0.807973134518789</c:v>
                </c:pt>
                <c:pt idx="815">
                  <c:v>0.812829816474717</c:v>
                </c:pt>
                <c:pt idx="816">
                  <c:v>0.813682663981835</c:v>
                </c:pt>
                <c:pt idx="817">
                  <c:v>0.814294596242817</c:v>
                </c:pt>
                <c:pt idx="818">
                  <c:v>0.81620355299178</c:v>
                </c:pt>
                <c:pt idx="819">
                  <c:v>0.817924401560975</c:v>
                </c:pt>
                <c:pt idx="820">
                  <c:v>0.822158754633588</c:v>
                </c:pt>
                <c:pt idx="821">
                  <c:v>0.822334174309987</c:v>
                </c:pt>
                <c:pt idx="822">
                  <c:v>0.82421803768455</c:v>
                </c:pt>
                <c:pt idx="823">
                  <c:v>0.824947131508927</c:v>
                </c:pt>
                <c:pt idx="824">
                  <c:v>0.825831523211549</c:v>
                </c:pt>
                <c:pt idx="825">
                  <c:v>0.826703225716094</c:v>
                </c:pt>
                <c:pt idx="826">
                  <c:v>0.827158294582743</c:v>
                </c:pt>
                <c:pt idx="827">
                  <c:v>0.828937005313168</c:v>
                </c:pt>
                <c:pt idx="828">
                  <c:v>0.829295707251342</c:v>
                </c:pt>
                <c:pt idx="829">
                  <c:v>0.830604937110451</c:v>
                </c:pt>
                <c:pt idx="830">
                  <c:v>0.831741380850929</c:v>
                </c:pt>
                <c:pt idx="831">
                  <c:v>0.83215773619186</c:v>
                </c:pt>
                <c:pt idx="832">
                  <c:v>0.832929066916812</c:v>
                </c:pt>
                <c:pt idx="833">
                  <c:v>0.835692122824194</c:v>
                </c:pt>
                <c:pt idx="834">
                  <c:v>0.835750841367943</c:v>
                </c:pt>
                <c:pt idx="835">
                  <c:v>0.836337823514643</c:v>
                </c:pt>
                <c:pt idx="836">
                  <c:v>0.836818503432017</c:v>
                </c:pt>
                <c:pt idx="837">
                  <c:v>0.83741020406857</c:v>
                </c:pt>
                <c:pt idx="838">
                  <c:v>0.838490391883099</c:v>
                </c:pt>
                <c:pt idx="839">
                  <c:v>0.840606690371227</c:v>
                </c:pt>
                <c:pt idx="840">
                  <c:v>0.841390121093589</c:v>
                </c:pt>
                <c:pt idx="841">
                  <c:v>0.842958616317899</c:v>
                </c:pt>
                <c:pt idx="842">
                  <c:v>0.842970370216706</c:v>
                </c:pt>
                <c:pt idx="843">
                  <c:v>0.84385411081173</c:v>
                </c:pt>
                <c:pt idx="844">
                  <c:v>0.845161877044394</c:v>
                </c:pt>
                <c:pt idx="845">
                  <c:v>0.845838785522948</c:v>
                </c:pt>
                <c:pt idx="846">
                  <c:v>0.847903436400461</c:v>
                </c:pt>
                <c:pt idx="847">
                  <c:v>0.848745648622554</c:v>
                </c:pt>
                <c:pt idx="848">
                  <c:v>0.848771534192919</c:v>
                </c:pt>
                <c:pt idx="849">
                  <c:v>0.849604343819324</c:v>
                </c:pt>
                <c:pt idx="850">
                  <c:v>0.849861507775387</c:v>
                </c:pt>
                <c:pt idx="851">
                  <c:v>0.850453333954925</c:v>
                </c:pt>
                <c:pt idx="852">
                  <c:v>0.85045373559663</c:v>
                </c:pt>
                <c:pt idx="853">
                  <c:v>0.850654553831056</c:v>
                </c:pt>
                <c:pt idx="854">
                  <c:v>0.851249818409854</c:v>
                </c:pt>
                <c:pt idx="855">
                  <c:v>0.851330286282917</c:v>
                </c:pt>
                <c:pt idx="856">
                  <c:v>0.852091745977957</c:v>
                </c:pt>
                <c:pt idx="857">
                  <c:v>0.852650788851516</c:v>
                </c:pt>
                <c:pt idx="858">
                  <c:v>0.852675041601416</c:v>
                </c:pt>
                <c:pt idx="859">
                  <c:v>0.852708725867108</c:v>
                </c:pt>
                <c:pt idx="860">
                  <c:v>0.854780316873025</c:v>
                </c:pt>
                <c:pt idx="861">
                  <c:v>0.855830560531043</c:v>
                </c:pt>
                <c:pt idx="862">
                  <c:v>0.855896825737577</c:v>
                </c:pt>
                <c:pt idx="863">
                  <c:v>0.856846686731024</c:v>
                </c:pt>
                <c:pt idx="864">
                  <c:v>0.857396915279354</c:v>
                </c:pt>
                <c:pt idx="865">
                  <c:v>0.857865095340402</c:v>
                </c:pt>
                <c:pt idx="866">
                  <c:v>0.858247933071749</c:v>
                </c:pt>
                <c:pt idx="867">
                  <c:v>0.859970177338382</c:v>
                </c:pt>
                <c:pt idx="868">
                  <c:v>0.862002944180129</c:v>
                </c:pt>
                <c:pt idx="869">
                  <c:v>0.86467647721583</c:v>
                </c:pt>
                <c:pt idx="870">
                  <c:v>0.864791009456523</c:v>
                </c:pt>
                <c:pt idx="871">
                  <c:v>0.866012428858908</c:v>
                </c:pt>
                <c:pt idx="872">
                  <c:v>0.866698160395586</c:v>
                </c:pt>
                <c:pt idx="873">
                  <c:v>0.866943644430138</c:v>
                </c:pt>
                <c:pt idx="874">
                  <c:v>0.873056889161764</c:v>
                </c:pt>
                <c:pt idx="875">
                  <c:v>0.87348073360692</c:v>
                </c:pt>
                <c:pt idx="876">
                  <c:v>0.873727389198479</c:v>
                </c:pt>
                <c:pt idx="877">
                  <c:v>0.873740979500425</c:v>
                </c:pt>
                <c:pt idx="878">
                  <c:v>0.874167561423406</c:v>
                </c:pt>
                <c:pt idx="879">
                  <c:v>0.875863151458811</c:v>
                </c:pt>
                <c:pt idx="880">
                  <c:v>0.877509693541625</c:v>
                </c:pt>
                <c:pt idx="881">
                  <c:v>0.878340156073175</c:v>
                </c:pt>
                <c:pt idx="882">
                  <c:v>0.879514917472491</c:v>
                </c:pt>
                <c:pt idx="883">
                  <c:v>0.88016580965178</c:v>
                </c:pt>
                <c:pt idx="884">
                  <c:v>0.883260947004813</c:v>
                </c:pt>
                <c:pt idx="885">
                  <c:v>0.885507251562659</c:v>
                </c:pt>
                <c:pt idx="886">
                  <c:v>0.885661813118301</c:v>
                </c:pt>
                <c:pt idx="887">
                  <c:v>0.886670566580251</c:v>
                </c:pt>
                <c:pt idx="888">
                  <c:v>0.887086362815233</c:v>
                </c:pt>
                <c:pt idx="889">
                  <c:v>0.888747014209792</c:v>
                </c:pt>
                <c:pt idx="890">
                  <c:v>0.889109293847868</c:v>
                </c:pt>
                <c:pt idx="891">
                  <c:v>0.889879480475464</c:v>
                </c:pt>
                <c:pt idx="892">
                  <c:v>0.890759842960646</c:v>
                </c:pt>
                <c:pt idx="893">
                  <c:v>0.892197893741366</c:v>
                </c:pt>
                <c:pt idx="894">
                  <c:v>0.892522847671364</c:v>
                </c:pt>
                <c:pt idx="895">
                  <c:v>0.894704045817742</c:v>
                </c:pt>
                <c:pt idx="896">
                  <c:v>0.895189678309631</c:v>
                </c:pt>
                <c:pt idx="897">
                  <c:v>0.895227384484655</c:v>
                </c:pt>
                <c:pt idx="898">
                  <c:v>0.896061068776348</c:v>
                </c:pt>
                <c:pt idx="899">
                  <c:v>0.896097483424953</c:v>
                </c:pt>
                <c:pt idx="900">
                  <c:v>0.896364548238632</c:v>
                </c:pt>
                <c:pt idx="901">
                  <c:v>0.897426322503081</c:v>
                </c:pt>
                <c:pt idx="902">
                  <c:v>0.900692119215429</c:v>
                </c:pt>
                <c:pt idx="903">
                  <c:v>0.901601581278064</c:v>
                </c:pt>
                <c:pt idx="904">
                  <c:v>0.901649291558241</c:v>
                </c:pt>
                <c:pt idx="905">
                  <c:v>0.901700133331149</c:v>
                </c:pt>
                <c:pt idx="906">
                  <c:v>0.902374037373636</c:v>
                </c:pt>
                <c:pt idx="907">
                  <c:v>0.903017907980077</c:v>
                </c:pt>
                <c:pt idx="908">
                  <c:v>0.90614189263177</c:v>
                </c:pt>
                <c:pt idx="909">
                  <c:v>0.907615652221217</c:v>
                </c:pt>
                <c:pt idx="910">
                  <c:v>0.908099485028216</c:v>
                </c:pt>
                <c:pt idx="911">
                  <c:v>0.908584824981437</c:v>
                </c:pt>
                <c:pt idx="912">
                  <c:v>0.909669662366949</c:v>
                </c:pt>
                <c:pt idx="913">
                  <c:v>0.91161068535603</c:v>
                </c:pt>
                <c:pt idx="914">
                  <c:v>0.914324568681054</c:v>
                </c:pt>
                <c:pt idx="915">
                  <c:v>0.915036981905521</c:v>
                </c:pt>
                <c:pt idx="916">
                  <c:v>0.915372662663834</c:v>
                </c:pt>
                <c:pt idx="917">
                  <c:v>0.915872615614611</c:v>
                </c:pt>
                <c:pt idx="918">
                  <c:v>0.916361787295795</c:v>
                </c:pt>
                <c:pt idx="919">
                  <c:v>0.917465822683701</c:v>
                </c:pt>
                <c:pt idx="920">
                  <c:v>0.917816923272787</c:v>
                </c:pt>
                <c:pt idx="921">
                  <c:v>0.917846450864265</c:v>
                </c:pt>
                <c:pt idx="922">
                  <c:v>0.919689493190704</c:v>
                </c:pt>
                <c:pt idx="923">
                  <c:v>0.919993430053329</c:v>
                </c:pt>
                <c:pt idx="924">
                  <c:v>0.920080802281565</c:v>
                </c:pt>
                <c:pt idx="925">
                  <c:v>0.922807433070723</c:v>
                </c:pt>
                <c:pt idx="926">
                  <c:v>0.923725607551024</c:v>
                </c:pt>
                <c:pt idx="927">
                  <c:v>0.923832455588806</c:v>
                </c:pt>
                <c:pt idx="928">
                  <c:v>0.923865871236384</c:v>
                </c:pt>
                <c:pt idx="929">
                  <c:v>0.924144548789285</c:v>
                </c:pt>
                <c:pt idx="930">
                  <c:v>0.925790389044356</c:v>
                </c:pt>
                <c:pt idx="931">
                  <c:v>0.926487056523419</c:v>
                </c:pt>
                <c:pt idx="932">
                  <c:v>0.926588771196368</c:v>
                </c:pt>
                <c:pt idx="933">
                  <c:v>0.926822136135968</c:v>
                </c:pt>
                <c:pt idx="934">
                  <c:v>0.929414801246115</c:v>
                </c:pt>
                <c:pt idx="935">
                  <c:v>0.930267257141366</c:v>
                </c:pt>
                <c:pt idx="936">
                  <c:v>0.932057890757475</c:v>
                </c:pt>
                <c:pt idx="937">
                  <c:v>0.934421898017334</c:v>
                </c:pt>
                <c:pt idx="938">
                  <c:v>0.934981010123464</c:v>
                </c:pt>
                <c:pt idx="939">
                  <c:v>0.935085595921436</c:v>
                </c:pt>
                <c:pt idx="940">
                  <c:v>0.935169103490639</c:v>
                </c:pt>
                <c:pt idx="941">
                  <c:v>0.935182260275867</c:v>
                </c:pt>
                <c:pt idx="942">
                  <c:v>0.935856835759609</c:v>
                </c:pt>
                <c:pt idx="943">
                  <c:v>0.936873648974277</c:v>
                </c:pt>
                <c:pt idx="944">
                  <c:v>0.939072857040553</c:v>
                </c:pt>
                <c:pt idx="945">
                  <c:v>0.939650208082703</c:v>
                </c:pt>
                <c:pt idx="946">
                  <c:v>0.940597500751969</c:v>
                </c:pt>
                <c:pt idx="947">
                  <c:v>0.945101930672638</c:v>
                </c:pt>
                <c:pt idx="948">
                  <c:v>0.945104120021297</c:v>
                </c:pt>
                <c:pt idx="949">
                  <c:v>0.947949365837504</c:v>
                </c:pt>
                <c:pt idx="950">
                  <c:v>0.950299316513783</c:v>
                </c:pt>
                <c:pt idx="951">
                  <c:v>0.951360761241525</c:v>
                </c:pt>
                <c:pt idx="952">
                  <c:v>0.952014111468172</c:v>
                </c:pt>
                <c:pt idx="953">
                  <c:v>0.95211479808796</c:v>
                </c:pt>
                <c:pt idx="954">
                  <c:v>0.952322516906944</c:v>
                </c:pt>
                <c:pt idx="955">
                  <c:v>0.954026637658643</c:v>
                </c:pt>
                <c:pt idx="956">
                  <c:v>0.954481116616588</c:v>
                </c:pt>
                <c:pt idx="957">
                  <c:v>0.954756222489182</c:v>
                </c:pt>
                <c:pt idx="958">
                  <c:v>0.957583480099524</c:v>
                </c:pt>
                <c:pt idx="959">
                  <c:v>0.957714610709844</c:v>
                </c:pt>
                <c:pt idx="960">
                  <c:v>0.958037911448485</c:v>
                </c:pt>
                <c:pt idx="961">
                  <c:v>0.958369668639537</c:v>
                </c:pt>
                <c:pt idx="962">
                  <c:v>0.95849356780654</c:v>
                </c:pt>
                <c:pt idx="963">
                  <c:v>0.958939517712561</c:v>
                </c:pt>
                <c:pt idx="964">
                  <c:v>0.960729981484471</c:v>
                </c:pt>
                <c:pt idx="965">
                  <c:v>0.961080988220342</c:v>
                </c:pt>
                <c:pt idx="966">
                  <c:v>0.962406462265858</c:v>
                </c:pt>
                <c:pt idx="967">
                  <c:v>0.965456919603669</c:v>
                </c:pt>
                <c:pt idx="968">
                  <c:v>0.966748813360188</c:v>
                </c:pt>
                <c:pt idx="969">
                  <c:v>0.968434045451737</c:v>
                </c:pt>
                <c:pt idx="970">
                  <c:v>0.969080318550594</c:v>
                </c:pt>
                <c:pt idx="971">
                  <c:v>0.969973921521889</c:v>
                </c:pt>
                <c:pt idx="972">
                  <c:v>0.971116029508094</c:v>
                </c:pt>
                <c:pt idx="973">
                  <c:v>0.974963473480065</c:v>
                </c:pt>
                <c:pt idx="974">
                  <c:v>0.97729262716339</c:v>
                </c:pt>
                <c:pt idx="975">
                  <c:v>0.978621287473809</c:v>
                </c:pt>
                <c:pt idx="976">
                  <c:v>0.978973272790791</c:v>
                </c:pt>
                <c:pt idx="977">
                  <c:v>0.979437252047154</c:v>
                </c:pt>
                <c:pt idx="978">
                  <c:v>0.979617857068822</c:v>
                </c:pt>
                <c:pt idx="979">
                  <c:v>0.981247151530934</c:v>
                </c:pt>
                <c:pt idx="980">
                  <c:v>0.98181832495775</c:v>
                </c:pt>
                <c:pt idx="981">
                  <c:v>0.982888431023339</c:v>
                </c:pt>
                <c:pt idx="982">
                  <c:v>0.984062626184526</c:v>
                </c:pt>
                <c:pt idx="983">
                  <c:v>0.984072344213844</c:v>
                </c:pt>
                <c:pt idx="984">
                  <c:v>0.984145275449279</c:v>
                </c:pt>
                <c:pt idx="985">
                  <c:v>0.985054293282473</c:v>
                </c:pt>
                <c:pt idx="986">
                  <c:v>0.986169060618155</c:v>
                </c:pt>
                <c:pt idx="987">
                  <c:v>0.9881865048994</c:v>
                </c:pt>
                <c:pt idx="988">
                  <c:v>0.98872834464783</c:v>
                </c:pt>
                <c:pt idx="989">
                  <c:v>0.989947142331519</c:v>
                </c:pt>
                <c:pt idx="990">
                  <c:v>0.99143914332033</c:v>
                </c:pt>
                <c:pt idx="991">
                  <c:v>0.992057420300927</c:v>
                </c:pt>
                <c:pt idx="992">
                  <c:v>0.992787398262413</c:v>
                </c:pt>
                <c:pt idx="993">
                  <c:v>0.993079939477674</c:v>
                </c:pt>
                <c:pt idx="994">
                  <c:v>0.99445605703451</c:v>
                </c:pt>
                <c:pt idx="995">
                  <c:v>0.995245059704178</c:v>
                </c:pt>
                <c:pt idx="996">
                  <c:v>0.996875018375704</c:v>
                </c:pt>
                <c:pt idx="997">
                  <c:v>0.99744340688825</c:v>
                </c:pt>
                <c:pt idx="998">
                  <c:v>0.998661733597312</c:v>
                </c:pt>
                <c:pt idx="999">
                  <c:v>0.999042614369283</c:v>
                </c:pt>
              </c:numCache>
            </c:numRef>
          </c:yVal>
          <c:smooth val="0"/>
        </c:ser>
        <c:ser>
          <c:idx val="4"/>
          <c:order val="4"/>
          <c:tx>
            <c:strRef>
              <c:f>"Logistic"</c:f>
              <c:strCache>
                <c:ptCount val="1"/>
                <c:pt idx="0">
                  <c:v>Logistic</c:v>
                </c:pt>
              </c:strCache>
            </c:strRef>
          </c:tx>
          <c:spPr>
            <a:solidFill>
              <a:srgbClr val="ccdab8"/>
            </a:solidFill>
            <a:ln w="47520">
              <a:solidFill>
                <a:srgbClr val="ccdab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BTC_Fit!$B$37:$B$1036</c:f>
              <c:numCache>
                <c:formatCode>0.0000%</c:formatCode>
                <c:ptCount val="1000"/>
                <c:pt idx="0">
                  <c:v>-0.00540459767562251</c:v>
                </c:pt>
                <c:pt idx="1">
                  <c:v>-0.00513662656395619</c:v>
                </c:pt>
                <c:pt idx="2">
                  <c:v>-0.00484009629879822</c:v>
                </c:pt>
                <c:pt idx="3">
                  <c:v>-0.00434376534633485</c:v>
                </c:pt>
                <c:pt idx="4">
                  <c:v>-0.00423945312351037</c:v>
                </c:pt>
                <c:pt idx="5">
                  <c:v>-0.00419245011043712</c:v>
                </c:pt>
                <c:pt idx="6">
                  <c:v>-0.00407042871523866</c:v>
                </c:pt>
                <c:pt idx="7">
                  <c:v>-0.00380228109993475</c:v>
                </c:pt>
                <c:pt idx="8">
                  <c:v>-0.00379642429465144</c:v>
                </c:pt>
                <c:pt idx="9">
                  <c:v>-0.00359003867696783</c:v>
                </c:pt>
                <c:pt idx="10">
                  <c:v>-0.00345760208480739</c:v>
                </c:pt>
                <c:pt idx="11">
                  <c:v>-0.00333430300896975</c:v>
                </c:pt>
                <c:pt idx="12">
                  <c:v>-0.00332216746339409</c:v>
                </c:pt>
                <c:pt idx="13">
                  <c:v>-0.00322209509831739</c:v>
                </c:pt>
                <c:pt idx="14">
                  <c:v>-0.00317514068497671</c:v>
                </c:pt>
                <c:pt idx="15">
                  <c:v>-0.00306578528733237</c:v>
                </c:pt>
                <c:pt idx="16">
                  <c:v>-0.00300852627159698</c:v>
                </c:pt>
                <c:pt idx="17">
                  <c:v>-0.00300001002830286</c:v>
                </c:pt>
                <c:pt idx="18">
                  <c:v>-0.00298382691337806</c:v>
                </c:pt>
                <c:pt idx="19">
                  <c:v>-0.00294153166093325</c:v>
                </c:pt>
                <c:pt idx="20">
                  <c:v>-0.00284676420137775</c:v>
                </c:pt>
                <c:pt idx="21">
                  <c:v>-0.00282722770309729</c:v>
                </c:pt>
                <c:pt idx="22">
                  <c:v>-0.00278253416086793</c:v>
                </c:pt>
                <c:pt idx="23">
                  <c:v>-0.00277890596350994</c:v>
                </c:pt>
                <c:pt idx="24">
                  <c:v>-0.00276573216990728</c:v>
                </c:pt>
                <c:pt idx="25">
                  <c:v>-0.00270255452720181</c:v>
                </c:pt>
                <c:pt idx="26">
                  <c:v>-0.00270123773010234</c:v>
                </c:pt>
                <c:pt idx="27">
                  <c:v>-0.00256259890404198</c:v>
                </c:pt>
                <c:pt idx="28">
                  <c:v>-0.00254392416473803</c:v>
                </c:pt>
                <c:pt idx="29">
                  <c:v>-0.00253703597225963</c:v>
                </c:pt>
                <c:pt idx="30">
                  <c:v>-0.00253043455567015</c:v>
                </c:pt>
                <c:pt idx="31">
                  <c:v>-0.00250786019524984</c:v>
                </c:pt>
                <c:pt idx="32">
                  <c:v>-0.00249436157958771</c:v>
                </c:pt>
                <c:pt idx="33">
                  <c:v>-0.00237191790952029</c:v>
                </c:pt>
                <c:pt idx="34">
                  <c:v>-0.00236649392356991</c:v>
                </c:pt>
                <c:pt idx="35">
                  <c:v>-0.0023639273101298</c:v>
                </c:pt>
                <c:pt idx="36">
                  <c:v>-0.00234404050081205</c:v>
                </c:pt>
                <c:pt idx="37">
                  <c:v>-0.00233334525492268</c:v>
                </c:pt>
                <c:pt idx="38">
                  <c:v>-0.00226975291626363</c:v>
                </c:pt>
                <c:pt idx="39">
                  <c:v>-0.0022520961614021</c:v>
                </c:pt>
                <c:pt idx="40">
                  <c:v>-0.0022491975940333</c:v>
                </c:pt>
                <c:pt idx="41">
                  <c:v>-0.00223755124262626</c:v>
                </c:pt>
                <c:pt idx="42">
                  <c:v>-0.00222176181636602</c:v>
                </c:pt>
                <c:pt idx="43">
                  <c:v>-0.00219817688880519</c:v>
                </c:pt>
                <c:pt idx="44">
                  <c:v>-0.00219140063011414</c:v>
                </c:pt>
                <c:pt idx="45">
                  <c:v>-0.00217419877801539</c:v>
                </c:pt>
                <c:pt idx="46">
                  <c:v>-0.00216893710230925</c:v>
                </c:pt>
                <c:pt idx="47">
                  <c:v>-0.00216369409353911</c:v>
                </c:pt>
                <c:pt idx="48">
                  <c:v>-0.00212088525486365</c:v>
                </c:pt>
                <c:pt idx="49">
                  <c:v>-0.0020984595114556</c:v>
                </c:pt>
                <c:pt idx="50">
                  <c:v>-0.00209606853770594</c:v>
                </c:pt>
                <c:pt idx="51">
                  <c:v>-0.00209117906202438</c:v>
                </c:pt>
                <c:pt idx="52">
                  <c:v>-0.00208585618844215</c:v>
                </c:pt>
                <c:pt idx="53">
                  <c:v>-0.00207040106637357</c:v>
                </c:pt>
                <c:pt idx="54">
                  <c:v>-0.00206302816046555</c:v>
                </c:pt>
                <c:pt idx="55">
                  <c:v>-0.00205519438386093</c:v>
                </c:pt>
                <c:pt idx="56">
                  <c:v>-0.0020429690022683</c:v>
                </c:pt>
                <c:pt idx="57">
                  <c:v>-0.00203768175795527</c:v>
                </c:pt>
                <c:pt idx="58">
                  <c:v>-0.00201341638097163</c:v>
                </c:pt>
                <c:pt idx="59">
                  <c:v>-0.00199476660178033</c:v>
                </c:pt>
                <c:pt idx="60">
                  <c:v>-0.00198009343199723</c:v>
                </c:pt>
                <c:pt idx="61">
                  <c:v>-0.00197730341752822</c:v>
                </c:pt>
                <c:pt idx="62">
                  <c:v>-0.00195074814197682</c:v>
                </c:pt>
                <c:pt idx="63">
                  <c:v>-0.00193706764542911</c:v>
                </c:pt>
                <c:pt idx="64">
                  <c:v>-0.0019340566032221</c:v>
                </c:pt>
                <c:pt idx="65">
                  <c:v>-0.0019003446679281</c:v>
                </c:pt>
                <c:pt idx="66">
                  <c:v>-0.00185272653943447</c:v>
                </c:pt>
                <c:pt idx="67">
                  <c:v>-0.00182888795982572</c:v>
                </c:pt>
                <c:pt idx="68">
                  <c:v>-0.00181487530845836</c:v>
                </c:pt>
                <c:pt idx="69">
                  <c:v>-0.00180667965582926</c:v>
                </c:pt>
                <c:pt idx="70">
                  <c:v>-0.00174637149936463</c:v>
                </c:pt>
                <c:pt idx="71">
                  <c:v>-0.00174341150918711</c:v>
                </c:pt>
                <c:pt idx="72">
                  <c:v>-0.00167086264008975</c:v>
                </c:pt>
                <c:pt idx="73">
                  <c:v>-0.00164876712663165</c:v>
                </c:pt>
                <c:pt idx="74">
                  <c:v>-0.00161912194044767</c:v>
                </c:pt>
                <c:pt idx="75">
                  <c:v>-0.00160417597594753</c:v>
                </c:pt>
                <c:pt idx="76">
                  <c:v>-0.00160066018860705</c:v>
                </c:pt>
                <c:pt idx="77">
                  <c:v>-0.00160013833003414</c:v>
                </c:pt>
                <c:pt idx="78">
                  <c:v>-0.00159675477298793</c:v>
                </c:pt>
                <c:pt idx="79">
                  <c:v>-0.00159667261910057</c:v>
                </c:pt>
                <c:pt idx="80">
                  <c:v>-0.00156713697868649</c:v>
                </c:pt>
                <c:pt idx="81">
                  <c:v>-0.00156652423089443</c:v>
                </c:pt>
                <c:pt idx="82">
                  <c:v>-0.00154284647444847</c:v>
                </c:pt>
                <c:pt idx="83">
                  <c:v>-0.00153891974543241</c:v>
                </c:pt>
                <c:pt idx="84">
                  <c:v>-0.00152626693955926</c:v>
                </c:pt>
                <c:pt idx="85">
                  <c:v>-0.00150348435895709</c:v>
                </c:pt>
                <c:pt idx="86">
                  <c:v>-0.00150248391742414</c:v>
                </c:pt>
                <c:pt idx="87">
                  <c:v>-0.00149972414863198</c:v>
                </c:pt>
                <c:pt idx="88">
                  <c:v>-0.00149418556949532</c:v>
                </c:pt>
                <c:pt idx="89">
                  <c:v>-0.00149374871177932</c:v>
                </c:pt>
                <c:pt idx="90">
                  <c:v>-0.00148157611618738</c:v>
                </c:pt>
                <c:pt idx="91">
                  <c:v>-0.00147610406921173</c:v>
                </c:pt>
                <c:pt idx="92">
                  <c:v>-0.00145822330932588</c:v>
                </c:pt>
                <c:pt idx="93">
                  <c:v>-0.0014565119540384</c:v>
                </c:pt>
                <c:pt idx="94">
                  <c:v>-0.00144973503359191</c:v>
                </c:pt>
                <c:pt idx="95">
                  <c:v>-0.0014449479587253</c:v>
                </c:pt>
                <c:pt idx="96">
                  <c:v>-0.00143357491148388</c:v>
                </c:pt>
                <c:pt idx="97">
                  <c:v>-0.00143160434045153</c:v>
                </c:pt>
                <c:pt idx="98">
                  <c:v>-0.00142186875915351</c:v>
                </c:pt>
                <c:pt idx="99">
                  <c:v>-0.00141837409138279</c:v>
                </c:pt>
                <c:pt idx="100">
                  <c:v>-0.0014078910704115</c:v>
                </c:pt>
                <c:pt idx="101">
                  <c:v>-0.00140475669450513</c:v>
                </c:pt>
                <c:pt idx="102">
                  <c:v>-0.00140220074576591</c:v>
                </c:pt>
                <c:pt idx="103">
                  <c:v>-0.00139691733774971</c:v>
                </c:pt>
                <c:pt idx="104">
                  <c:v>-0.00139249983155554</c:v>
                </c:pt>
                <c:pt idx="105">
                  <c:v>-0.00138139677770299</c:v>
                </c:pt>
                <c:pt idx="106">
                  <c:v>-0.00137444846898238</c:v>
                </c:pt>
                <c:pt idx="107">
                  <c:v>-0.00136974706796866</c:v>
                </c:pt>
                <c:pt idx="108">
                  <c:v>-0.00136860367278269</c:v>
                </c:pt>
                <c:pt idx="109">
                  <c:v>-0.00135791264473595</c:v>
                </c:pt>
                <c:pt idx="110">
                  <c:v>-0.0013575874274887</c:v>
                </c:pt>
                <c:pt idx="111">
                  <c:v>-0.00135707244253847</c:v>
                </c:pt>
                <c:pt idx="112">
                  <c:v>-0.00134971906392378</c:v>
                </c:pt>
                <c:pt idx="113">
                  <c:v>-0.00134593659411486</c:v>
                </c:pt>
                <c:pt idx="114">
                  <c:v>-0.00132974244327111</c:v>
                </c:pt>
                <c:pt idx="115">
                  <c:v>-0.00132639559813219</c:v>
                </c:pt>
                <c:pt idx="116">
                  <c:v>-0.00131887895945659</c:v>
                </c:pt>
                <c:pt idx="117">
                  <c:v>-0.00131602735896741</c:v>
                </c:pt>
                <c:pt idx="118">
                  <c:v>-0.0013063918995726</c:v>
                </c:pt>
                <c:pt idx="119">
                  <c:v>-0.00129948634323485</c:v>
                </c:pt>
                <c:pt idx="120">
                  <c:v>-0.00129588961163418</c:v>
                </c:pt>
                <c:pt idx="121">
                  <c:v>-0.00129228876330345</c:v>
                </c:pt>
                <c:pt idx="122">
                  <c:v>-0.0012902956444959</c:v>
                </c:pt>
                <c:pt idx="123">
                  <c:v>-0.00128686246573428</c:v>
                </c:pt>
                <c:pt idx="124">
                  <c:v>-0.00128640362222521</c:v>
                </c:pt>
                <c:pt idx="125">
                  <c:v>-0.00127949865868016</c:v>
                </c:pt>
                <c:pt idx="126">
                  <c:v>-0.00127076511335777</c:v>
                </c:pt>
                <c:pt idx="127">
                  <c:v>-0.00127011021662182</c:v>
                </c:pt>
                <c:pt idx="128">
                  <c:v>-0.00126395340184915</c:v>
                </c:pt>
                <c:pt idx="129">
                  <c:v>-0.00125668570319326</c:v>
                </c:pt>
                <c:pt idx="130">
                  <c:v>-0.00125583243108796</c:v>
                </c:pt>
                <c:pt idx="131">
                  <c:v>-0.00124821892138838</c:v>
                </c:pt>
                <c:pt idx="132">
                  <c:v>-0.00124289327950577</c:v>
                </c:pt>
                <c:pt idx="133">
                  <c:v>-0.00124030744354864</c:v>
                </c:pt>
                <c:pt idx="134">
                  <c:v>-0.00123401083380303</c:v>
                </c:pt>
                <c:pt idx="135">
                  <c:v>-0.00122552300310019</c:v>
                </c:pt>
                <c:pt idx="136">
                  <c:v>-0.00121291482913799</c:v>
                </c:pt>
                <c:pt idx="137">
                  <c:v>-0.00120506728904801</c:v>
                </c:pt>
                <c:pt idx="138">
                  <c:v>-0.0012047249135021</c:v>
                </c:pt>
                <c:pt idx="139">
                  <c:v>-0.00120029972228275</c:v>
                </c:pt>
                <c:pt idx="140">
                  <c:v>-0.00119984282793628</c:v>
                </c:pt>
                <c:pt idx="141">
                  <c:v>-0.00119792681362529</c:v>
                </c:pt>
                <c:pt idx="142">
                  <c:v>-0.00118445410422841</c:v>
                </c:pt>
                <c:pt idx="143">
                  <c:v>-0.00118263026974008</c:v>
                </c:pt>
                <c:pt idx="144">
                  <c:v>-0.0011813941949439</c:v>
                </c:pt>
                <c:pt idx="145">
                  <c:v>-0.00116633929056187</c:v>
                </c:pt>
                <c:pt idx="146">
                  <c:v>-0.0011624910855329</c:v>
                </c:pt>
                <c:pt idx="147">
                  <c:v>-0.00115997326675521</c:v>
                </c:pt>
                <c:pt idx="148">
                  <c:v>-0.00115727328674098</c:v>
                </c:pt>
                <c:pt idx="149">
                  <c:v>-0.00114726158973333</c:v>
                </c:pt>
                <c:pt idx="150">
                  <c:v>-0.00114715880047012</c:v>
                </c:pt>
                <c:pt idx="151">
                  <c:v>-0.0011469733458167</c:v>
                </c:pt>
                <c:pt idx="152">
                  <c:v>-0.00114406835322733</c:v>
                </c:pt>
                <c:pt idx="153">
                  <c:v>-0.00114348952674681</c:v>
                </c:pt>
                <c:pt idx="154">
                  <c:v>-0.00113546604466797</c:v>
                </c:pt>
                <c:pt idx="155">
                  <c:v>-0.00112644800467787</c:v>
                </c:pt>
                <c:pt idx="156">
                  <c:v>-0.00112206920378022</c:v>
                </c:pt>
                <c:pt idx="157">
                  <c:v>-0.00112110851806957</c:v>
                </c:pt>
                <c:pt idx="158">
                  <c:v>-0.00112096383457527</c:v>
                </c:pt>
                <c:pt idx="159">
                  <c:v>-0.00111703887868508</c:v>
                </c:pt>
                <c:pt idx="160">
                  <c:v>-0.00111328118751286</c:v>
                </c:pt>
                <c:pt idx="161">
                  <c:v>-0.00110682862719724</c:v>
                </c:pt>
                <c:pt idx="162">
                  <c:v>-0.00109696892227051</c:v>
                </c:pt>
                <c:pt idx="163">
                  <c:v>-0.00109299180712918</c:v>
                </c:pt>
                <c:pt idx="164">
                  <c:v>-0.00108734275382916</c:v>
                </c:pt>
                <c:pt idx="165">
                  <c:v>-0.00108085478445519</c:v>
                </c:pt>
                <c:pt idx="166">
                  <c:v>-0.00107954453657233</c:v>
                </c:pt>
                <c:pt idx="167">
                  <c:v>-0.00106980832820425</c:v>
                </c:pt>
                <c:pt idx="168">
                  <c:v>-0.00106648295944423</c:v>
                </c:pt>
                <c:pt idx="169">
                  <c:v>-0.00106408048470485</c:v>
                </c:pt>
                <c:pt idx="170">
                  <c:v>-0.00106215611932681</c:v>
                </c:pt>
                <c:pt idx="171">
                  <c:v>-0.00106215555279288</c:v>
                </c:pt>
                <c:pt idx="172">
                  <c:v>-0.00105819794707085</c:v>
                </c:pt>
                <c:pt idx="173">
                  <c:v>-0.0010528252230636</c:v>
                </c:pt>
                <c:pt idx="174">
                  <c:v>-0.00105149812906136</c:v>
                </c:pt>
                <c:pt idx="175">
                  <c:v>-0.00103903073654865</c:v>
                </c:pt>
                <c:pt idx="176">
                  <c:v>-0.00102373819193657</c:v>
                </c:pt>
                <c:pt idx="177">
                  <c:v>-0.00101846747020629</c:v>
                </c:pt>
                <c:pt idx="178">
                  <c:v>-0.00101836299367253</c:v>
                </c:pt>
                <c:pt idx="179">
                  <c:v>-0.00101019053904872</c:v>
                </c:pt>
                <c:pt idx="180">
                  <c:v>-0.00100948440929405</c:v>
                </c:pt>
                <c:pt idx="181">
                  <c:v>-0.00100559188964222</c:v>
                </c:pt>
                <c:pt idx="182">
                  <c:v>-0.00100463516218618</c:v>
                </c:pt>
                <c:pt idx="183">
                  <c:v>-0.000999944417252929</c:v>
                </c:pt>
                <c:pt idx="184">
                  <c:v>-0.000996099461972655</c:v>
                </c:pt>
                <c:pt idx="185">
                  <c:v>-0.000995142180612252</c:v>
                </c:pt>
                <c:pt idx="186">
                  <c:v>-0.000994907568254155</c:v>
                </c:pt>
                <c:pt idx="187">
                  <c:v>-0.000992861968805658</c:v>
                </c:pt>
                <c:pt idx="188">
                  <c:v>-0.000987103687290269</c:v>
                </c:pt>
                <c:pt idx="189">
                  <c:v>-0.00096779163906513</c:v>
                </c:pt>
                <c:pt idx="190">
                  <c:v>-0.000964117590738889</c:v>
                </c:pt>
                <c:pt idx="191">
                  <c:v>-0.000955478936995879</c:v>
                </c:pt>
                <c:pt idx="192">
                  <c:v>-0.000955219351931436</c:v>
                </c:pt>
                <c:pt idx="193">
                  <c:v>-0.000954523902902627</c:v>
                </c:pt>
                <c:pt idx="194">
                  <c:v>-0.000946688832304865</c:v>
                </c:pt>
                <c:pt idx="195">
                  <c:v>-0.000935774688649804</c:v>
                </c:pt>
                <c:pt idx="196">
                  <c:v>-0.000932039164934451</c:v>
                </c:pt>
                <c:pt idx="197">
                  <c:v>-0.000927311243710927</c:v>
                </c:pt>
                <c:pt idx="198">
                  <c:v>-0.000923149240634302</c:v>
                </c:pt>
                <c:pt idx="199">
                  <c:v>-0.000922028146212228</c:v>
                </c:pt>
                <c:pt idx="200">
                  <c:v>-0.000914871963423436</c:v>
                </c:pt>
                <c:pt idx="201">
                  <c:v>-0.000912025246672443</c:v>
                </c:pt>
                <c:pt idx="202">
                  <c:v>-0.000901995704729486</c:v>
                </c:pt>
                <c:pt idx="203">
                  <c:v>-0.000893953827525551</c:v>
                </c:pt>
                <c:pt idx="204">
                  <c:v>-0.000891110566904163</c:v>
                </c:pt>
                <c:pt idx="205">
                  <c:v>-0.000883995614228583</c:v>
                </c:pt>
                <c:pt idx="206">
                  <c:v>-0.00088230099176001</c:v>
                </c:pt>
                <c:pt idx="207">
                  <c:v>-0.000878806977899993</c:v>
                </c:pt>
                <c:pt idx="208">
                  <c:v>-0.000873326870473923</c:v>
                </c:pt>
                <c:pt idx="209">
                  <c:v>-0.000863266454418477</c:v>
                </c:pt>
                <c:pt idx="210">
                  <c:v>-0.000856538219256686</c:v>
                </c:pt>
                <c:pt idx="211">
                  <c:v>-0.000849120147455973</c:v>
                </c:pt>
                <c:pt idx="212">
                  <c:v>-0.000840853115053886</c:v>
                </c:pt>
                <c:pt idx="213">
                  <c:v>-0.000839439321090318</c:v>
                </c:pt>
                <c:pt idx="214">
                  <c:v>-0.000832781986267905</c:v>
                </c:pt>
                <c:pt idx="215">
                  <c:v>-0.000826725941648565</c:v>
                </c:pt>
                <c:pt idx="216">
                  <c:v>-0.000825675749459909</c:v>
                </c:pt>
                <c:pt idx="217">
                  <c:v>-0.000825069820301394</c:v>
                </c:pt>
                <c:pt idx="218">
                  <c:v>-0.00081667587583556</c:v>
                </c:pt>
                <c:pt idx="219">
                  <c:v>-0.000815804692167577</c:v>
                </c:pt>
                <c:pt idx="220">
                  <c:v>-0.000815311799097662</c:v>
                </c:pt>
                <c:pt idx="221">
                  <c:v>-0.00081409068209326</c:v>
                </c:pt>
                <c:pt idx="222">
                  <c:v>-0.000813896343583642</c:v>
                </c:pt>
                <c:pt idx="223">
                  <c:v>-0.000805088434934431</c:v>
                </c:pt>
                <c:pt idx="224">
                  <c:v>-0.000794518408263611</c:v>
                </c:pt>
                <c:pt idx="225">
                  <c:v>-0.000793607564729904</c:v>
                </c:pt>
                <c:pt idx="226">
                  <c:v>-0.000790587637237827</c:v>
                </c:pt>
                <c:pt idx="227">
                  <c:v>-0.000784800258013196</c:v>
                </c:pt>
                <c:pt idx="228">
                  <c:v>-0.000772420621988901</c:v>
                </c:pt>
                <c:pt idx="229">
                  <c:v>-0.000771590426861923</c:v>
                </c:pt>
                <c:pt idx="230">
                  <c:v>-0.000761308784245851</c:v>
                </c:pt>
                <c:pt idx="231">
                  <c:v>-0.000753919943169201</c:v>
                </c:pt>
                <c:pt idx="232">
                  <c:v>-0.000748635810960519</c:v>
                </c:pt>
                <c:pt idx="233">
                  <c:v>-0.000716290207650072</c:v>
                </c:pt>
                <c:pt idx="234">
                  <c:v>-0.000711055383938675</c:v>
                </c:pt>
                <c:pt idx="235">
                  <c:v>-0.000709752447283774</c:v>
                </c:pt>
                <c:pt idx="236">
                  <c:v>-0.000705738152316227</c:v>
                </c:pt>
                <c:pt idx="237">
                  <c:v>-0.000700223037921055</c:v>
                </c:pt>
                <c:pt idx="238">
                  <c:v>-0.000698032613252519</c:v>
                </c:pt>
                <c:pt idx="239">
                  <c:v>-0.000693879851533241</c:v>
                </c:pt>
                <c:pt idx="240">
                  <c:v>-0.000688873357348463</c:v>
                </c:pt>
                <c:pt idx="241">
                  <c:v>-0.000688604592878117</c:v>
                </c:pt>
                <c:pt idx="242">
                  <c:v>-0.000687780205535504</c:v>
                </c:pt>
                <c:pt idx="243">
                  <c:v>-0.000683595040359419</c:v>
                </c:pt>
                <c:pt idx="244">
                  <c:v>-0.00068130350637452</c:v>
                </c:pt>
                <c:pt idx="245">
                  <c:v>-0.00067915214799219</c:v>
                </c:pt>
                <c:pt idx="246">
                  <c:v>-0.000673171495660929</c:v>
                </c:pt>
                <c:pt idx="247">
                  <c:v>-0.000672861555582105</c:v>
                </c:pt>
                <c:pt idx="248">
                  <c:v>-0.000669404296004483</c:v>
                </c:pt>
                <c:pt idx="249">
                  <c:v>-0.000666020643527943</c:v>
                </c:pt>
                <c:pt idx="250">
                  <c:v>-0.000657467341875107</c:v>
                </c:pt>
                <c:pt idx="251">
                  <c:v>-0.00065693876407924</c:v>
                </c:pt>
                <c:pt idx="252">
                  <c:v>-0.000655449549465614</c:v>
                </c:pt>
                <c:pt idx="253">
                  <c:v>-0.000654444197574988</c:v>
                </c:pt>
                <c:pt idx="254">
                  <c:v>-0.000651308471843692</c:v>
                </c:pt>
                <c:pt idx="255">
                  <c:v>-0.000647180498764444</c:v>
                </c:pt>
                <c:pt idx="256">
                  <c:v>-0.000646921306491355</c:v>
                </c:pt>
                <c:pt idx="257">
                  <c:v>-0.000642768213629963</c:v>
                </c:pt>
                <c:pt idx="258">
                  <c:v>-0.000641068583375093</c:v>
                </c:pt>
                <c:pt idx="259">
                  <c:v>-0.000638101025577265</c:v>
                </c:pt>
                <c:pt idx="260">
                  <c:v>-0.000631647423424364</c:v>
                </c:pt>
                <c:pt idx="261">
                  <c:v>-0.000629583667891343</c:v>
                </c:pt>
                <c:pt idx="262">
                  <c:v>-0.000626043301186874</c:v>
                </c:pt>
                <c:pt idx="263">
                  <c:v>-0.000615105577846054</c:v>
                </c:pt>
                <c:pt idx="264">
                  <c:v>-0.00061243935554911</c:v>
                </c:pt>
                <c:pt idx="265">
                  <c:v>-0.000612189233640148</c:v>
                </c:pt>
                <c:pt idx="266">
                  <c:v>-0.000611724865569374</c:v>
                </c:pt>
                <c:pt idx="267">
                  <c:v>-0.000610736543212753</c:v>
                </c:pt>
                <c:pt idx="268">
                  <c:v>-0.000608607737226152</c:v>
                </c:pt>
                <c:pt idx="269">
                  <c:v>-0.000602612683877735</c:v>
                </c:pt>
                <c:pt idx="270">
                  <c:v>-0.000590480774909863</c:v>
                </c:pt>
                <c:pt idx="271">
                  <c:v>-0.000587332600639923</c:v>
                </c:pt>
                <c:pt idx="272">
                  <c:v>-0.000580059065289795</c:v>
                </c:pt>
                <c:pt idx="273">
                  <c:v>-0.000572955595458558</c:v>
                </c:pt>
                <c:pt idx="274">
                  <c:v>-0.00056843958936581</c:v>
                </c:pt>
                <c:pt idx="275">
                  <c:v>-0.000566437565942879</c:v>
                </c:pt>
                <c:pt idx="276">
                  <c:v>-0.000564705158343837</c:v>
                </c:pt>
                <c:pt idx="277">
                  <c:v>-0.00055278834704886</c:v>
                </c:pt>
                <c:pt idx="278">
                  <c:v>-0.000552041537528636</c:v>
                </c:pt>
                <c:pt idx="279">
                  <c:v>-0.000547122353045548</c:v>
                </c:pt>
                <c:pt idx="280">
                  <c:v>-0.00054400194985238</c:v>
                </c:pt>
                <c:pt idx="281">
                  <c:v>-0.000538623222938517</c:v>
                </c:pt>
                <c:pt idx="282">
                  <c:v>-0.000528214982514208</c:v>
                </c:pt>
                <c:pt idx="283">
                  <c:v>-0.000528043729244088</c:v>
                </c:pt>
                <c:pt idx="284">
                  <c:v>-0.0005279188752636</c:v>
                </c:pt>
                <c:pt idx="285">
                  <c:v>-0.000519880887574487</c:v>
                </c:pt>
                <c:pt idx="286">
                  <c:v>-0.000518958654947777</c:v>
                </c:pt>
                <c:pt idx="287">
                  <c:v>-0.000517887945973183</c:v>
                </c:pt>
                <c:pt idx="288">
                  <c:v>-0.000517400731332329</c:v>
                </c:pt>
                <c:pt idx="289">
                  <c:v>-0.000511457787571557</c:v>
                </c:pt>
                <c:pt idx="290">
                  <c:v>-0.000509368858554238</c:v>
                </c:pt>
                <c:pt idx="291">
                  <c:v>-0.000507358689627591</c:v>
                </c:pt>
                <c:pt idx="292">
                  <c:v>-0.00050678237980617</c:v>
                </c:pt>
                <c:pt idx="293">
                  <c:v>-0.000501344509786783</c:v>
                </c:pt>
                <c:pt idx="294">
                  <c:v>-0.00049599689141655</c:v>
                </c:pt>
                <c:pt idx="295">
                  <c:v>-0.000495770603684775</c:v>
                </c:pt>
                <c:pt idx="296">
                  <c:v>-0.000495458177748542</c:v>
                </c:pt>
                <c:pt idx="297">
                  <c:v>-0.000487405827558796</c:v>
                </c:pt>
                <c:pt idx="298">
                  <c:v>-0.000483890418363719</c:v>
                </c:pt>
                <c:pt idx="299">
                  <c:v>-0.00047916653496205</c:v>
                </c:pt>
                <c:pt idx="300">
                  <c:v>-0.000475615224972858</c:v>
                </c:pt>
                <c:pt idx="301">
                  <c:v>-0.000475551145073694</c:v>
                </c:pt>
                <c:pt idx="302">
                  <c:v>-0.000473778341847031</c:v>
                </c:pt>
                <c:pt idx="303">
                  <c:v>-0.00047172347440616</c:v>
                </c:pt>
                <c:pt idx="304">
                  <c:v>-0.000470716185701603</c:v>
                </c:pt>
                <c:pt idx="305">
                  <c:v>-0.000469157968034595</c:v>
                </c:pt>
                <c:pt idx="306">
                  <c:v>-0.000462917614204139</c:v>
                </c:pt>
                <c:pt idx="307">
                  <c:v>-0.000461589181700806</c:v>
                </c:pt>
                <c:pt idx="308">
                  <c:v>-0.000456906741761909</c:v>
                </c:pt>
                <c:pt idx="309">
                  <c:v>-0.000455723204238034</c:v>
                </c:pt>
                <c:pt idx="310">
                  <c:v>-0.000455209461300177</c:v>
                </c:pt>
                <c:pt idx="311">
                  <c:v>-0.000453975108064109</c:v>
                </c:pt>
                <c:pt idx="312">
                  <c:v>-0.000453549715144996</c:v>
                </c:pt>
                <c:pt idx="313">
                  <c:v>-0.000447971208750508</c:v>
                </c:pt>
                <c:pt idx="314">
                  <c:v>-0.000446443782664341</c:v>
                </c:pt>
                <c:pt idx="315">
                  <c:v>-0.000445737663554602</c:v>
                </c:pt>
                <c:pt idx="316">
                  <c:v>-0.000442051958711387</c:v>
                </c:pt>
                <c:pt idx="317">
                  <c:v>-0.00043742216349385</c:v>
                </c:pt>
                <c:pt idx="318">
                  <c:v>-0.0004292977454744</c:v>
                </c:pt>
                <c:pt idx="319">
                  <c:v>-0.000429264814008512</c:v>
                </c:pt>
                <c:pt idx="320">
                  <c:v>-0.000427447326856401</c:v>
                </c:pt>
                <c:pt idx="321">
                  <c:v>-0.00042338542860243</c:v>
                </c:pt>
                <c:pt idx="322">
                  <c:v>-0.000422800467472895</c:v>
                </c:pt>
                <c:pt idx="323">
                  <c:v>-0.00041899743235041</c:v>
                </c:pt>
                <c:pt idx="324">
                  <c:v>-0.000417438324705643</c:v>
                </c:pt>
                <c:pt idx="325">
                  <c:v>-0.000417402268225175</c:v>
                </c:pt>
                <c:pt idx="326">
                  <c:v>-0.000413177328637104</c:v>
                </c:pt>
                <c:pt idx="327">
                  <c:v>-0.000412374784320213</c:v>
                </c:pt>
                <c:pt idx="328">
                  <c:v>-0.0004100146858248</c:v>
                </c:pt>
                <c:pt idx="329">
                  <c:v>-0.000409733488470954</c:v>
                </c:pt>
                <c:pt idx="330">
                  <c:v>-0.000409699347729053</c:v>
                </c:pt>
                <c:pt idx="331">
                  <c:v>-0.000408332090353514</c:v>
                </c:pt>
                <c:pt idx="332">
                  <c:v>-0.000407326599404123</c:v>
                </c:pt>
                <c:pt idx="333">
                  <c:v>-0.000406173028754453</c:v>
                </c:pt>
                <c:pt idx="334">
                  <c:v>-0.000404099110748457</c:v>
                </c:pt>
                <c:pt idx="335">
                  <c:v>-0.000397356219496103</c:v>
                </c:pt>
                <c:pt idx="336">
                  <c:v>-0.000394677444521596</c:v>
                </c:pt>
                <c:pt idx="337">
                  <c:v>-0.000394674347403035</c:v>
                </c:pt>
                <c:pt idx="338">
                  <c:v>-0.000386757320398168</c:v>
                </c:pt>
                <c:pt idx="339">
                  <c:v>-0.00038542272171882</c:v>
                </c:pt>
                <c:pt idx="340">
                  <c:v>-0.000380822169662509</c:v>
                </c:pt>
                <c:pt idx="341">
                  <c:v>-0.000378449770388922</c:v>
                </c:pt>
                <c:pt idx="342">
                  <c:v>-0.000374344426630091</c:v>
                </c:pt>
                <c:pt idx="343">
                  <c:v>-0.000371955768358356</c:v>
                </c:pt>
                <c:pt idx="344">
                  <c:v>-0.000369695381214674</c:v>
                </c:pt>
                <c:pt idx="345">
                  <c:v>-0.000365566579232923</c:v>
                </c:pt>
                <c:pt idx="346">
                  <c:v>-0.000364101016563922</c:v>
                </c:pt>
                <c:pt idx="347">
                  <c:v>-0.000362761007468682</c:v>
                </c:pt>
                <c:pt idx="348">
                  <c:v>-0.000351195537884763</c:v>
                </c:pt>
                <c:pt idx="349">
                  <c:v>-0.000350125427433623</c:v>
                </c:pt>
                <c:pt idx="350">
                  <c:v>-0.000348893220712743</c:v>
                </c:pt>
                <c:pt idx="351">
                  <c:v>-0.000348479324572493</c:v>
                </c:pt>
                <c:pt idx="352">
                  <c:v>-0.000345537850625077</c:v>
                </c:pt>
                <c:pt idx="353">
                  <c:v>-0.000343438872995927</c:v>
                </c:pt>
                <c:pt idx="354">
                  <c:v>-0.000342006551929397</c:v>
                </c:pt>
                <c:pt idx="355">
                  <c:v>-0.000340759893243225</c:v>
                </c:pt>
                <c:pt idx="356">
                  <c:v>-0.000338422981599806</c:v>
                </c:pt>
                <c:pt idx="357">
                  <c:v>-0.00033010797486055</c:v>
                </c:pt>
                <c:pt idx="358">
                  <c:v>-0.000330078007744095</c:v>
                </c:pt>
                <c:pt idx="359">
                  <c:v>-0.000329094989384382</c:v>
                </c:pt>
                <c:pt idx="360">
                  <c:v>-0.000326088239123612</c:v>
                </c:pt>
                <c:pt idx="361">
                  <c:v>-0.000309447563600296</c:v>
                </c:pt>
                <c:pt idx="362">
                  <c:v>-0.000294016554567178</c:v>
                </c:pt>
                <c:pt idx="363">
                  <c:v>-0.000291827880237738</c:v>
                </c:pt>
                <c:pt idx="364">
                  <c:v>-0.000291130953869345</c:v>
                </c:pt>
                <c:pt idx="365">
                  <c:v>-0.000285230437424233</c:v>
                </c:pt>
                <c:pt idx="366">
                  <c:v>-0.000283443494577651</c:v>
                </c:pt>
                <c:pt idx="367">
                  <c:v>-0.000282308464410463</c:v>
                </c:pt>
                <c:pt idx="368">
                  <c:v>-0.000279811411952102</c:v>
                </c:pt>
                <c:pt idx="369">
                  <c:v>-0.000279281839816958</c:v>
                </c:pt>
                <c:pt idx="370">
                  <c:v>-0.000277067417919774</c:v>
                </c:pt>
                <c:pt idx="371">
                  <c:v>-0.000269874158609573</c:v>
                </c:pt>
                <c:pt idx="372">
                  <c:v>-0.000269055491459502</c:v>
                </c:pt>
                <c:pt idx="373">
                  <c:v>-0.000268758989859008</c:v>
                </c:pt>
                <c:pt idx="374">
                  <c:v>-0.000267958882026353</c:v>
                </c:pt>
                <c:pt idx="375">
                  <c:v>-0.000265506475789601</c:v>
                </c:pt>
                <c:pt idx="376">
                  <c:v>-0.000264438536576983</c:v>
                </c:pt>
                <c:pt idx="377">
                  <c:v>-0.000262242757484321</c:v>
                </c:pt>
                <c:pt idx="378">
                  <c:v>-0.00026214311822248</c:v>
                </c:pt>
                <c:pt idx="379">
                  <c:v>-0.000260879296305583</c:v>
                </c:pt>
                <c:pt idx="380">
                  <c:v>-0.000255661746834002</c:v>
                </c:pt>
                <c:pt idx="381">
                  <c:v>-0.000253780977195306</c:v>
                </c:pt>
                <c:pt idx="382">
                  <c:v>-0.000253637390058348</c:v>
                </c:pt>
                <c:pt idx="383">
                  <c:v>-0.000249245461221848</c:v>
                </c:pt>
                <c:pt idx="384">
                  <c:v>-0.000248265277308368</c:v>
                </c:pt>
                <c:pt idx="385">
                  <c:v>-0.000244577366435017</c:v>
                </c:pt>
                <c:pt idx="386">
                  <c:v>-0.000239167240592475</c:v>
                </c:pt>
                <c:pt idx="387">
                  <c:v>-0.000236391787201695</c:v>
                </c:pt>
                <c:pt idx="388">
                  <c:v>-0.000235019994889285</c:v>
                </c:pt>
                <c:pt idx="389">
                  <c:v>-0.000229457042205783</c:v>
                </c:pt>
                <c:pt idx="390">
                  <c:v>-0.000228611534596301</c:v>
                </c:pt>
                <c:pt idx="391">
                  <c:v>-0.000218157718534173</c:v>
                </c:pt>
                <c:pt idx="392">
                  <c:v>-0.000217697599548483</c:v>
                </c:pt>
                <c:pt idx="393">
                  <c:v>-0.000215270150935476</c:v>
                </c:pt>
                <c:pt idx="394">
                  <c:v>-0.000214182461022783</c:v>
                </c:pt>
                <c:pt idx="395">
                  <c:v>-0.000214146272785709</c:v>
                </c:pt>
                <c:pt idx="396">
                  <c:v>-0.000212989290938048</c:v>
                </c:pt>
                <c:pt idx="397">
                  <c:v>-0.000212139313625626</c:v>
                </c:pt>
                <c:pt idx="398">
                  <c:v>-0.000209502091760738</c:v>
                </c:pt>
                <c:pt idx="399">
                  <c:v>-0.000207746351190474</c:v>
                </c:pt>
                <c:pt idx="400">
                  <c:v>-0.000206291998777974</c:v>
                </c:pt>
                <c:pt idx="401">
                  <c:v>-0.000204092382026566</c:v>
                </c:pt>
                <c:pt idx="402">
                  <c:v>-0.000199814029335332</c:v>
                </c:pt>
                <c:pt idx="403">
                  <c:v>-0.000197788010791844</c:v>
                </c:pt>
                <c:pt idx="404">
                  <c:v>-0.000191799937306225</c:v>
                </c:pt>
                <c:pt idx="405">
                  <c:v>-0.000189972496003055</c:v>
                </c:pt>
                <c:pt idx="406">
                  <c:v>-0.000186575050907578</c:v>
                </c:pt>
                <c:pt idx="407">
                  <c:v>-0.000183136972180087</c:v>
                </c:pt>
                <c:pt idx="408">
                  <c:v>-0.000183093618883579</c:v>
                </c:pt>
                <c:pt idx="409">
                  <c:v>-0.000181847660803314</c:v>
                </c:pt>
                <c:pt idx="410">
                  <c:v>-0.000181279649976607</c:v>
                </c:pt>
                <c:pt idx="411">
                  <c:v>-0.000180496649826667</c:v>
                </c:pt>
                <c:pt idx="412">
                  <c:v>-0.000175145839282798</c:v>
                </c:pt>
                <c:pt idx="413">
                  <c:v>-0.000174640673465398</c:v>
                </c:pt>
                <c:pt idx="414">
                  <c:v>-0.000172970214511015</c:v>
                </c:pt>
                <c:pt idx="415">
                  <c:v>-0.000170811271693383</c:v>
                </c:pt>
                <c:pt idx="416">
                  <c:v>-0.000169807771439823</c:v>
                </c:pt>
                <c:pt idx="417">
                  <c:v>-0.000165952471834707</c:v>
                </c:pt>
                <c:pt idx="418">
                  <c:v>-0.000164957781747077</c:v>
                </c:pt>
                <c:pt idx="419">
                  <c:v>-0.000164212977358136</c:v>
                </c:pt>
                <c:pt idx="420">
                  <c:v>-0.000163608087910938</c:v>
                </c:pt>
                <c:pt idx="421">
                  <c:v>-0.000160347754356582</c:v>
                </c:pt>
                <c:pt idx="422">
                  <c:v>-0.000159900180559225</c:v>
                </c:pt>
                <c:pt idx="423">
                  <c:v>-0.000158819845446301</c:v>
                </c:pt>
                <c:pt idx="424">
                  <c:v>-0.00015847545466019</c:v>
                </c:pt>
                <c:pt idx="425">
                  <c:v>-0.000156097000261424</c:v>
                </c:pt>
                <c:pt idx="426">
                  <c:v>-0.00014439906864061</c:v>
                </c:pt>
                <c:pt idx="427">
                  <c:v>-0.000140144829489541</c:v>
                </c:pt>
                <c:pt idx="428">
                  <c:v>-0.000132964488624543</c:v>
                </c:pt>
                <c:pt idx="429">
                  <c:v>-0.000132770390916082</c:v>
                </c:pt>
                <c:pt idx="430">
                  <c:v>-0.000131377508983066</c:v>
                </c:pt>
                <c:pt idx="431">
                  <c:v>-0.000129543122637688</c:v>
                </c:pt>
                <c:pt idx="432">
                  <c:v>-0.000127857958503674</c:v>
                </c:pt>
                <c:pt idx="433">
                  <c:v>-0.00012623806572043</c:v>
                </c:pt>
                <c:pt idx="434">
                  <c:v>-0.00012513699737049</c:v>
                </c:pt>
                <c:pt idx="435">
                  <c:v>-0.000121790575143388</c:v>
                </c:pt>
                <c:pt idx="436">
                  <c:v>-0.000120891841840387</c:v>
                </c:pt>
                <c:pt idx="437">
                  <c:v>-0.000119346346930227</c:v>
                </c:pt>
                <c:pt idx="438">
                  <c:v>-0.000119169775001593</c:v>
                </c:pt>
                <c:pt idx="439">
                  <c:v>-0.000118350914956378</c:v>
                </c:pt>
                <c:pt idx="440">
                  <c:v>-0.000117346157344045</c:v>
                </c:pt>
                <c:pt idx="441">
                  <c:v>-0.000117278579918056</c:v>
                </c:pt>
                <c:pt idx="442">
                  <c:v>-0.000114866179645179</c:v>
                </c:pt>
                <c:pt idx="443">
                  <c:v>-0.000110328858176856</c:v>
                </c:pt>
                <c:pt idx="444">
                  <c:v>-0.000108087681649605</c:v>
                </c:pt>
                <c:pt idx="445">
                  <c:v>-0.00010255191089048</c:v>
                </c:pt>
                <c:pt idx="446">
                  <c:v>-9.84150978152742E-005</c:v>
                </c:pt>
                <c:pt idx="447">
                  <c:v>-9.83397448822698E-005</c:v>
                </c:pt>
                <c:pt idx="448">
                  <c:v>-9.61069871324716E-005</c:v>
                </c:pt>
                <c:pt idx="449">
                  <c:v>-9.51011855971906E-005</c:v>
                </c:pt>
                <c:pt idx="450">
                  <c:v>-9.40509603953865E-005</c:v>
                </c:pt>
                <c:pt idx="451">
                  <c:v>-8.82909615477212E-005</c:v>
                </c:pt>
                <c:pt idx="452">
                  <c:v>-8.70673082077333E-005</c:v>
                </c:pt>
                <c:pt idx="453">
                  <c:v>-8.62358301317867E-005</c:v>
                </c:pt>
                <c:pt idx="454">
                  <c:v>-8.59594624524895E-005</c:v>
                </c:pt>
                <c:pt idx="455">
                  <c:v>-8.46465594057655E-005</c:v>
                </c:pt>
                <c:pt idx="456">
                  <c:v>-8.3335918034444E-005</c:v>
                </c:pt>
                <c:pt idx="457">
                  <c:v>-7.78909283103424E-005</c:v>
                </c:pt>
                <c:pt idx="458">
                  <c:v>-7.78662790332785E-005</c:v>
                </c:pt>
                <c:pt idx="459">
                  <c:v>-7.71643587705873E-005</c:v>
                </c:pt>
                <c:pt idx="460">
                  <c:v>-7.35342780778803E-005</c:v>
                </c:pt>
                <c:pt idx="461">
                  <c:v>-7.13762870530044E-005</c:v>
                </c:pt>
                <c:pt idx="462">
                  <c:v>-6.95850437703038E-005</c:v>
                </c:pt>
                <c:pt idx="463">
                  <c:v>-6.53696778498691E-005</c:v>
                </c:pt>
                <c:pt idx="464">
                  <c:v>-6.52892577859277E-005</c:v>
                </c:pt>
                <c:pt idx="465">
                  <c:v>-6.34105110565164E-005</c:v>
                </c:pt>
                <c:pt idx="466">
                  <c:v>-6.19877586316431E-005</c:v>
                </c:pt>
                <c:pt idx="467">
                  <c:v>-6.07246309731746E-005</c:v>
                </c:pt>
                <c:pt idx="468">
                  <c:v>-6.02231039068535E-005</c:v>
                </c:pt>
                <c:pt idx="469">
                  <c:v>-5.87218391423505E-005</c:v>
                </c:pt>
                <c:pt idx="470">
                  <c:v>-5.80649643578957E-005</c:v>
                </c:pt>
                <c:pt idx="471">
                  <c:v>-5.69817741666867E-005</c:v>
                </c:pt>
                <c:pt idx="472">
                  <c:v>-5.65455006215077E-005</c:v>
                </c:pt>
                <c:pt idx="473">
                  <c:v>-5.6074379681581E-005</c:v>
                </c:pt>
                <c:pt idx="474">
                  <c:v>-5.35924328880499E-005</c:v>
                </c:pt>
                <c:pt idx="475">
                  <c:v>-4.90265581795102E-005</c:v>
                </c:pt>
                <c:pt idx="476">
                  <c:v>-4.78056721268105E-005</c:v>
                </c:pt>
                <c:pt idx="477">
                  <c:v>-4.77332681840803E-005</c:v>
                </c:pt>
                <c:pt idx="478">
                  <c:v>-4.48227600654549E-005</c:v>
                </c:pt>
                <c:pt idx="479">
                  <c:v>-4.37903589444177E-005</c:v>
                </c:pt>
                <c:pt idx="480">
                  <c:v>-4.14351188847695E-005</c:v>
                </c:pt>
                <c:pt idx="481">
                  <c:v>-4.07268333192379E-005</c:v>
                </c:pt>
                <c:pt idx="482">
                  <c:v>-3.79222937230139E-005</c:v>
                </c:pt>
                <c:pt idx="483">
                  <c:v>-3.6996574684145E-005</c:v>
                </c:pt>
                <c:pt idx="484">
                  <c:v>-3.50287164132546E-005</c:v>
                </c:pt>
                <c:pt idx="485">
                  <c:v>-3.39455277120759E-005</c:v>
                </c:pt>
                <c:pt idx="486">
                  <c:v>-3.2945038714316E-005</c:v>
                </c:pt>
                <c:pt idx="487">
                  <c:v>-3.24367636260758E-005</c:v>
                </c:pt>
                <c:pt idx="488">
                  <c:v>-3.19284553402799E-005</c:v>
                </c:pt>
                <c:pt idx="489">
                  <c:v>-2.43444998455633E-005</c:v>
                </c:pt>
                <c:pt idx="490">
                  <c:v>-2.07862416602422E-005</c:v>
                </c:pt>
                <c:pt idx="491">
                  <c:v>-1.91014394448352E-005</c:v>
                </c:pt>
                <c:pt idx="492">
                  <c:v>-1.87362593258023E-005</c:v>
                </c:pt>
                <c:pt idx="493">
                  <c:v>-1.78148990557236E-005</c:v>
                </c:pt>
                <c:pt idx="494">
                  <c:v>-1.70645750984244E-005</c:v>
                </c:pt>
                <c:pt idx="495">
                  <c:v>-1.68900392881755E-005</c:v>
                </c:pt>
                <c:pt idx="496">
                  <c:v>-1.42415335526724E-005</c:v>
                </c:pt>
                <c:pt idx="497">
                  <c:v>-1.21644111501507E-005</c:v>
                </c:pt>
                <c:pt idx="498">
                  <c:v>-1.08821040597507E-005</c:v>
                </c:pt>
                <c:pt idx="499">
                  <c:v>-1.06040138776464E-005</c:v>
                </c:pt>
                <c:pt idx="500">
                  <c:v>-8.12250669057768E-006</c:v>
                </c:pt>
                <c:pt idx="501">
                  <c:v>-5.57313722515662E-006</c:v>
                </c:pt>
                <c:pt idx="502">
                  <c:v>-2.12498362073266E-006</c:v>
                </c:pt>
                <c:pt idx="503">
                  <c:v>1.34361425518925E-006</c:v>
                </c:pt>
                <c:pt idx="504">
                  <c:v>1.88116651034242E-006</c:v>
                </c:pt>
                <c:pt idx="505">
                  <c:v>6.56295889767122E-006</c:v>
                </c:pt>
                <c:pt idx="506">
                  <c:v>8.1835244958306E-006</c:v>
                </c:pt>
                <c:pt idx="507">
                  <c:v>8.19695750298166E-006</c:v>
                </c:pt>
                <c:pt idx="508">
                  <c:v>8.67228717038593E-006</c:v>
                </c:pt>
                <c:pt idx="509">
                  <c:v>1.14720898896081E-005</c:v>
                </c:pt>
                <c:pt idx="510">
                  <c:v>1.321993842196E-005</c:v>
                </c:pt>
                <c:pt idx="511">
                  <c:v>1.48255186225299E-005</c:v>
                </c:pt>
                <c:pt idx="512">
                  <c:v>1.51587090739813E-005</c:v>
                </c:pt>
                <c:pt idx="513">
                  <c:v>2.32102251376265E-005</c:v>
                </c:pt>
                <c:pt idx="514">
                  <c:v>2.32348764870327E-005</c:v>
                </c:pt>
                <c:pt idx="515">
                  <c:v>2.59728155820316E-005</c:v>
                </c:pt>
                <c:pt idx="516">
                  <c:v>2.66420213974605E-005</c:v>
                </c:pt>
                <c:pt idx="517">
                  <c:v>2.67270031011346E-005</c:v>
                </c:pt>
                <c:pt idx="518">
                  <c:v>2.75185640656872E-005</c:v>
                </c:pt>
                <c:pt idx="519">
                  <c:v>2.9433144193014E-005</c:v>
                </c:pt>
                <c:pt idx="520">
                  <c:v>3.11775238999168E-005</c:v>
                </c:pt>
                <c:pt idx="521">
                  <c:v>3.23568594557955E-005</c:v>
                </c:pt>
                <c:pt idx="522">
                  <c:v>3.45999790591911E-005</c:v>
                </c:pt>
                <c:pt idx="523">
                  <c:v>3.71682159341358E-005</c:v>
                </c:pt>
                <c:pt idx="524">
                  <c:v>3.7253606548715E-005</c:v>
                </c:pt>
                <c:pt idx="525">
                  <c:v>3.80044671697277E-005</c:v>
                </c:pt>
                <c:pt idx="526">
                  <c:v>4.05216516572438E-005</c:v>
                </c:pt>
                <c:pt idx="527">
                  <c:v>4.16845805195631E-005</c:v>
                </c:pt>
                <c:pt idx="528">
                  <c:v>4.38057105838219E-005</c:v>
                </c:pt>
                <c:pt idx="529">
                  <c:v>4.63324334709636E-005</c:v>
                </c:pt>
                <c:pt idx="530">
                  <c:v>5.48104451749687E-005</c:v>
                </c:pt>
                <c:pt idx="531">
                  <c:v>5.5207477208219E-005</c:v>
                </c:pt>
                <c:pt idx="532">
                  <c:v>5.71619796900791E-005</c:v>
                </c:pt>
                <c:pt idx="533">
                  <c:v>5.73147561651055E-005</c:v>
                </c:pt>
                <c:pt idx="534">
                  <c:v>5.83918540966177E-005</c:v>
                </c:pt>
                <c:pt idx="535">
                  <c:v>5.93086128446441E-005</c:v>
                </c:pt>
                <c:pt idx="536">
                  <c:v>6.09118497809646E-005</c:v>
                </c:pt>
                <c:pt idx="537">
                  <c:v>6.61610011292169E-005</c:v>
                </c:pt>
                <c:pt idx="538">
                  <c:v>6.73849202017518E-005</c:v>
                </c:pt>
                <c:pt idx="539">
                  <c:v>6.7632588305333E-005</c:v>
                </c:pt>
                <c:pt idx="540">
                  <c:v>6.83468937321408E-005</c:v>
                </c:pt>
                <c:pt idx="541">
                  <c:v>7.41187730310955E-005</c:v>
                </c:pt>
                <c:pt idx="542">
                  <c:v>7.67172144111594E-005</c:v>
                </c:pt>
                <c:pt idx="543">
                  <c:v>7.96813040395694E-005</c:v>
                </c:pt>
                <c:pt idx="544">
                  <c:v>9.31146005573869E-005</c:v>
                </c:pt>
                <c:pt idx="545">
                  <c:v>0.000100639967808291</c:v>
                </c:pt>
                <c:pt idx="546">
                  <c:v>0.000100827713540363</c:v>
                </c:pt>
                <c:pt idx="547">
                  <c:v>0.000101056883222039</c:v>
                </c:pt>
                <c:pt idx="548">
                  <c:v>0.000101938387599088</c:v>
                </c:pt>
                <c:pt idx="549">
                  <c:v>0.000102014219061086</c:v>
                </c:pt>
                <c:pt idx="550">
                  <c:v>0.000102935289285178</c:v>
                </c:pt>
                <c:pt idx="551">
                  <c:v>0.00010369919040909</c:v>
                </c:pt>
                <c:pt idx="552">
                  <c:v>0.000104038476253177</c:v>
                </c:pt>
                <c:pt idx="553">
                  <c:v>0.000104585749114872</c:v>
                </c:pt>
                <c:pt idx="554">
                  <c:v>0.000105288792180636</c:v>
                </c:pt>
                <c:pt idx="555">
                  <c:v>0.000105809679440405</c:v>
                </c:pt>
                <c:pt idx="556">
                  <c:v>0.000106848048045061</c:v>
                </c:pt>
                <c:pt idx="557">
                  <c:v>0.000108997772098718</c:v>
                </c:pt>
                <c:pt idx="558">
                  <c:v>0.000113427204528449</c:v>
                </c:pt>
                <c:pt idx="559">
                  <c:v>0.000118100582547909</c:v>
                </c:pt>
                <c:pt idx="560">
                  <c:v>0.00011950021827567</c:v>
                </c:pt>
                <c:pt idx="561">
                  <c:v>0.000125231287739558</c:v>
                </c:pt>
                <c:pt idx="562">
                  <c:v>0.000125826819758812</c:v>
                </c:pt>
                <c:pt idx="563">
                  <c:v>0.000126934013617186</c:v>
                </c:pt>
                <c:pt idx="564">
                  <c:v>0.0001293549424497</c:v>
                </c:pt>
                <c:pt idx="565">
                  <c:v>0.000133105108225839</c:v>
                </c:pt>
                <c:pt idx="566">
                  <c:v>0.000134089106689217</c:v>
                </c:pt>
                <c:pt idx="567">
                  <c:v>0.000135604279701163</c:v>
                </c:pt>
                <c:pt idx="568">
                  <c:v>0.000138323988113642</c:v>
                </c:pt>
                <c:pt idx="569">
                  <c:v>0.000139356464731844</c:v>
                </c:pt>
                <c:pt idx="570">
                  <c:v>0.000140811085537429</c:v>
                </c:pt>
                <c:pt idx="571">
                  <c:v>0.000140849803077936</c:v>
                </c:pt>
                <c:pt idx="572">
                  <c:v>0.000140895761907345</c:v>
                </c:pt>
                <c:pt idx="573">
                  <c:v>0.000145993803825961</c:v>
                </c:pt>
                <c:pt idx="574">
                  <c:v>0.000152677596164885</c:v>
                </c:pt>
                <c:pt idx="575">
                  <c:v>0.000155249816608638</c:v>
                </c:pt>
                <c:pt idx="576">
                  <c:v>0.00015904055463789</c:v>
                </c:pt>
                <c:pt idx="577">
                  <c:v>0.000159192299708399</c:v>
                </c:pt>
                <c:pt idx="578">
                  <c:v>0.000159314963623869</c:v>
                </c:pt>
                <c:pt idx="579">
                  <c:v>0.000165747367146585</c:v>
                </c:pt>
                <c:pt idx="580">
                  <c:v>0.000166024658873498</c:v>
                </c:pt>
                <c:pt idx="581">
                  <c:v>0.000166911702775163</c:v>
                </c:pt>
                <c:pt idx="582">
                  <c:v>0.000170836102666438</c:v>
                </c:pt>
                <c:pt idx="583">
                  <c:v>0.000172310848246093</c:v>
                </c:pt>
                <c:pt idx="584">
                  <c:v>0.000173441977600719</c:v>
                </c:pt>
                <c:pt idx="585">
                  <c:v>0.000174796209959194</c:v>
                </c:pt>
                <c:pt idx="586">
                  <c:v>0.00017489423461492</c:v>
                </c:pt>
                <c:pt idx="587">
                  <c:v>0.000178765237498713</c:v>
                </c:pt>
                <c:pt idx="588">
                  <c:v>0.000179037183056785</c:v>
                </c:pt>
                <c:pt idx="589">
                  <c:v>0.000179312700626655</c:v>
                </c:pt>
                <c:pt idx="590">
                  <c:v>0.000180250647530356</c:v>
                </c:pt>
                <c:pt idx="591">
                  <c:v>0.000180617424873075</c:v>
                </c:pt>
                <c:pt idx="592">
                  <c:v>0.000181112266034678</c:v>
                </c:pt>
                <c:pt idx="593">
                  <c:v>0.000186720207347113</c:v>
                </c:pt>
                <c:pt idx="594">
                  <c:v>0.000187048248232236</c:v>
                </c:pt>
                <c:pt idx="595">
                  <c:v>0.000188392796822923</c:v>
                </c:pt>
                <c:pt idx="596">
                  <c:v>0.00018868819120299</c:v>
                </c:pt>
                <c:pt idx="597">
                  <c:v>0.000190121217842121</c:v>
                </c:pt>
                <c:pt idx="598">
                  <c:v>0.000191241345961268</c:v>
                </c:pt>
                <c:pt idx="599">
                  <c:v>0.000191970002783703</c:v>
                </c:pt>
                <c:pt idx="600">
                  <c:v>0.000197410621752381</c:v>
                </c:pt>
                <c:pt idx="601">
                  <c:v>0.00019943862369165</c:v>
                </c:pt>
                <c:pt idx="602">
                  <c:v>0.000199921159935501</c:v>
                </c:pt>
                <c:pt idx="603">
                  <c:v>0.000202483963200883</c:v>
                </c:pt>
                <c:pt idx="604">
                  <c:v>0.000202720684659541</c:v>
                </c:pt>
                <c:pt idx="605">
                  <c:v>0.000204828893944686</c:v>
                </c:pt>
                <c:pt idx="606">
                  <c:v>0.000207846986284066</c:v>
                </c:pt>
                <c:pt idx="607">
                  <c:v>0.000208572468305634</c:v>
                </c:pt>
                <c:pt idx="608">
                  <c:v>0.000214261260985449</c:v>
                </c:pt>
                <c:pt idx="609">
                  <c:v>0.000214471182714338</c:v>
                </c:pt>
                <c:pt idx="610">
                  <c:v>0.000219311855430338</c:v>
                </c:pt>
                <c:pt idx="611">
                  <c:v>0.000220708931366387</c:v>
                </c:pt>
                <c:pt idx="612">
                  <c:v>0.000225393151023434</c:v>
                </c:pt>
                <c:pt idx="613">
                  <c:v>0.000225901717385124</c:v>
                </c:pt>
                <c:pt idx="614">
                  <c:v>0.000227191473612054</c:v>
                </c:pt>
                <c:pt idx="615">
                  <c:v>0.000233781495233343</c:v>
                </c:pt>
                <c:pt idx="616">
                  <c:v>0.000237951145328319</c:v>
                </c:pt>
                <c:pt idx="617">
                  <c:v>0.000238293153098423</c:v>
                </c:pt>
                <c:pt idx="618">
                  <c:v>0.00023933481929217</c:v>
                </c:pt>
                <c:pt idx="619">
                  <c:v>0.000244904436482285</c:v>
                </c:pt>
                <c:pt idx="620">
                  <c:v>0.000247347799137376</c:v>
                </c:pt>
                <c:pt idx="621">
                  <c:v>0.000247843422072513</c:v>
                </c:pt>
                <c:pt idx="622">
                  <c:v>0.000251251238647443</c:v>
                </c:pt>
                <c:pt idx="623">
                  <c:v>0.000251500405556104</c:v>
                </c:pt>
                <c:pt idx="624">
                  <c:v>0.000253427370721759</c:v>
                </c:pt>
                <c:pt idx="625">
                  <c:v>0.000261343392722324</c:v>
                </c:pt>
                <c:pt idx="626">
                  <c:v>0.000264475248716867</c:v>
                </c:pt>
                <c:pt idx="627">
                  <c:v>0.000271018556090352</c:v>
                </c:pt>
                <c:pt idx="628">
                  <c:v>0.000271676498972306</c:v>
                </c:pt>
                <c:pt idx="629">
                  <c:v>0.000273017483058302</c:v>
                </c:pt>
                <c:pt idx="630">
                  <c:v>0.000275044542065617</c:v>
                </c:pt>
                <c:pt idx="631">
                  <c:v>0.000278124793800627</c:v>
                </c:pt>
                <c:pt idx="632">
                  <c:v>0.000280212901361043</c:v>
                </c:pt>
                <c:pt idx="633">
                  <c:v>0.000280710301432841</c:v>
                </c:pt>
                <c:pt idx="634">
                  <c:v>0.000282105357447326</c:v>
                </c:pt>
                <c:pt idx="635">
                  <c:v>0.000282320927886603</c:v>
                </c:pt>
                <c:pt idx="636">
                  <c:v>0.00028254624591284</c:v>
                </c:pt>
                <c:pt idx="637">
                  <c:v>0.000286715352247224</c:v>
                </c:pt>
                <c:pt idx="638">
                  <c:v>0.000288366743304014</c:v>
                </c:pt>
                <c:pt idx="639">
                  <c:v>0.000289651782900524</c:v>
                </c:pt>
                <c:pt idx="640">
                  <c:v>0.000293186113205612</c:v>
                </c:pt>
                <c:pt idx="641">
                  <c:v>0.000294560093067053</c:v>
                </c:pt>
                <c:pt idx="642">
                  <c:v>0.000297878349745151</c:v>
                </c:pt>
                <c:pt idx="643">
                  <c:v>0.000301877172305121</c:v>
                </c:pt>
                <c:pt idx="644">
                  <c:v>0.000305370810753436</c:v>
                </c:pt>
                <c:pt idx="645">
                  <c:v>0.000315751654564211</c:v>
                </c:pt>
                <c:pt idx="646">
                  <c:v>0.000318813924019556</c:v>
                </c:pt>
                <c:pt idx="647">
                  <c:v>0.000319037952631884</c:v>
                </c:pt>
                <c:pt idx="648">
                  <c:v>0.000320607777505755</c:v>
                </c:pt>
                <c:pt idx="649">
                  <c:v>0.000321325859045762</c:v>
                </c:pt>
                <c:pt idx="650">
                  <c:v>0.000325989632460111</c:v>
                </c:pt>
                <c:pt idx="651">
                  <c:v>0.000327286644017155</c:v>
                </c:pt>
                <c:pt idx="652">
                  <c:v>0.000327510658174823</c:v>
                </c:pt>
                <c:pt idx="653">
                  <c:v>0.000327678169951051</c:v>
                </c:pt>
                <c:pt idx="654">
                  <c:v>0.000328549221173091</c:v>
                </c:pt>
                <c:pt idx="655">
                  <c:v>0.000329889025097785</c:v>
                </c:pt>
                <c:pt idx="656">
                  <c:v>0.000331615891467463</c:v>
                </c:pt>
                <c:pt idx="657">
                  <c:v>0.00033727639427017</c:v>
                </c:pt>
                <c:pt idx="658">
                  <c:v>0.000341450716041525</c:v>
                </c:pt>
                <c:pt idx="659">
                  <c:v>0.000345572499385494</c:v>
                </c:pt>
                <c:pt idx="660">
                  <c:v>0.000351507269595874</c:v>
                </c:pt>
                <c:pt idx="661">
                  <c:v>0.000352177370296136</c:v>
                </c:pt>
                <c:pt idx="662">
                  <c:v>0.000354716157566326</c:v>
                </c:pt>
                <c:pt idx="663">
                  <c:v>0.000356734777246404</c:v>
                </c:pt>
                <c:pt idx="664">
                  <c:v>0.00035858721881743</c:v>
                </c:pt>
                <c:pt idx="665">
                  <c:v>0.000360030779313014</c:v>
                </c:pt>
                <c:pt idx="666">
                  <c:v>0.000362274743003876</c:v>
                </c:pt>
                <c:pt idx="667">
                  <c:v>0.000369620249679903</c:v>
                </c:pt>
                <c:pt idx="668">
                  <c:v>0.000373450876423265</c:v>
                </c:pt>
                <c:pt idx="669">
                  <c:v>0.000374526901615102</c:v>
                </c:pt>
                <c:pt idx="670">
                  <c:v>0.000377332040359502</c:v>
                </c:pt>
                <c:pt idx="671">
                  <c:v>0.000378373747093042</c:v>
                </c:pt>
                <c:pt idx="672">
                  <c:v>0.000380099564142533</c:v>
                </c:pt>
                <c:pt idx="673">
                  <c:v>0.000386585727225386</c:v>
                </c:pt>
                <c:pt idx="674">
                  <c:v>0.000388545927646256</c:v>
                </c:pt>
                <c:pt idx="675">
                  <c:v>0.000394055281483618</c:v>
                </c:pt>
                <c:pt idx="676">
                  <c:v>0.00039500103559198</c:v>
                </c:pt>
                <c:pt idx="677">
                  <c:v>0.000395097270480038</c:v>
                </c:pt>
                <c:pt idx="678">
                  <c:v>0.000403669496403136</c:v>
                </c:pt>
                <c:pt idx="679">
                  <c:v>0.000408703395298637</c:v>
                </c:pt>
                <c:pt idx="680">
                  <c:v>0.000408953683564084</c:v>
                </c:pt>
                <c:pt idx="681">
                  <c:v>0.000410278643858675</c:v>
                </c:pt>
                <c:pt idx="682">
                  <c:v>0.000410861809230445</c:v>
                </c:pt>
                <c:pt idx="683">
                  <c:v>0.000414577993682608</c:v>
                </c:pt>
                <c:pt idx="684">
                  <c:v>0.000417955966003802</c:v>
                </c:pt>
                <c:pt idx="685">
                  <c:v>0.000418964704318903</c:v>
                </c:pt>
                <c:pt idx="686">
                  <c:v>0.000423477682543805</c:v>
                </c:pt>
                <c:pt idx="687">
                  <c:v>0.000439264048729848</c:v>
                </c:pt>
                <c:pt idx="688">
                  <c:v>0.000442690347912444</c:v>
                </c:pt>
                <c:pt idx="689">
                  <c:v>0.000444270848725115</c:v>
                </c:pt>
                <c:pt idx="690">
                  <c:v>0.000448770288041356</c:v>
                </c:pt>
                <c:pt idx="691">
                  <c:v>0.000451876247760774</c:v>
                </c:pt>
                <c:pt idx="692">
                  <c:v>0.000454124717359505</c:v>
                </c:pt>
                <c:pt idx="693">
                  <c:v>0.000454332461996998</c:v>
                </c:pt>
                <c:pt idx="694">
                  <c:v>0.000458867352170156</c:v>
                </c:pt>
                <c:pt idx="695">
                  <c:v>0.000459068912602501</c:v>
                </c:pt>
                <c:pt idx="696">
                  <c:v>0.000460535693259212</c:v>
                </c:pt>
                <c:pt idx="697">
                  <c:v>0.000462389899331894</c:v>
                </c:pt>
                <c:pt idx="698">
                  <c:v>0.000465770294052481</c:v>
                </c:pt>
                <c:pt idx="699">
                  <c:v>0.000468894344841653</c:v>
                </c:pt>
                <c:pt idx="700">
                  <c:v>0.000475375235061248</c:v>
                </c:pt>
                <c:pt idx="701">
                  <c:v>0.0004761087243772</c:v>
                </c:pt>
                <c:pt idx="702">
                  <c:v>0.000484346522678925</c:v>
                </c:pt>
                <c:pt idx="703">
                  <c:v>0.00048895213526623</c:v>
                </c:pt>
                <c:pt idx="704">
                  <c:v>0.0004899619943739</c:v>
                </c:pt>
                <c:pt idx="705">
                  <c:v>0.000491019292753414</c:v>
                </c:pt>
                <c:pt idx="706">
                  <c:v>0.000495102576094864</c:v>
                </c:pt>
                <c:pt idx="707">
                  <c:v>0.000500427244500834</c:v>
                </c:pt>
                <c:pt idx="708">
                  <c:v>0.000507188855784602</c:v>
                </c:pt>
                <c:pt idx="709">
                  <c:v>0.000511903260778324</c:v>
                </c:pt>
                <c:pt idx="710">
                  <c:v>0.000514272226313395</c:v>
                </c:pt>
                <c:pt idx="711">
                  <c:v>0.00051465991707822</c:v>
                </c:pt>
                <c:pt idx="712">
                  <c:v>0.00051962841314479</c:v>
                </c:pt>
                <c:pt idx="713">
                  <c:v>0.000520111966359371</c:v>
                </c:pt>
                <c:pt idx="714">
                  <c:v>0.000524082211452503</c:v>
                </c:pt>
                <c:pt idx="715">
                  <c:v>0.000529457517833176</c:v>
                </c:pt>
                <c:pt idx="716">
                  <c:v>0.000538649953175652</c:v>
                </c:pt>
                <c:pt idx="717">
                  <c:v>0.000540396708853086</c:v>
                </c:pt>
                <c:pt idx="718">
                  <c:v>0.000540567580535889</c:v>
                </c:pt>
                <c:pt idx="719">
                  <c:v>0.000544601207675299</c:v>
                </c:pt>
                <c:pt idx="720">
                  <c:v>0.000553525964857693</c:v>
                </c:pt>
                <c:pt idx="721">
                  <c:v>0.000558358829094496</c:v>
                </c:pt>
                <c:pt idx="722">
                  <c:v>0.000562644395898149</c:v>
                </c:pt>
                <c:pt idx="723">
                  <c:v>0.000566300979697898</c:v>
                </c:pt>
                <c:pt idx="724">
                  <c:v>0.000567161429170904</c:v>
                </c:pt>
                <c:pt idx="725">
                  <c:v>0.000570105321662462</c:v>
                </c:pt>
                <c:pt idx="726">
                  <c:v>0.000571021324023535</c:v>
                </c:pt>
                <c:pt idx="727">
                  <c:v>0.000571835595618353</c:v>
                </c:pt>
                <c:pt idx="728">
                  <c:v>0.000577201533453975</c:v>
                </c:pt>
                <c:pt idx="729">
                  <c:v>0.000583638944375409</c:v>
                </c:pt>
                <c:pt idx="730">
                  <c:v>0.000585026772512487</c:v>
                </c:pt>
                <c:pt idx="731">
                  <c:v>0.000586570921150997</c:v>
                </c:pt>
                <c:pt idx="732">
                  <c:v>0.000594144258931229</c:v>
                </c:pt>
                <c:pt idx="733">
                  <c:v>0.000594493651856265</c:v>
                </c:pt>
                <c:pt idx="734">
                  <c:v>0.000596586940075916</c:v>
                </c:pt>
                <c:pt idx="735">
                  <c:v>0.000597905473828986</c:v>
                </c:pt>
                <c:pt idx="736">
                  <c:v>0.000601084717014366</c:v>
                </c:pt>
                <c:pt idx="737">
                  <c:v>0.000605162035743012</c:v>
                </c:pt>
                <c:pt idx="738">
                  <c:v>0.000606670705962653</c:v>
                </c:pt>
                <c:pt idx="739">
                  <c:v>0.000609595347545344</c:v>
                </c:pt>
                <c:pt idx="740">
                  <c:v>0.000612347903349075</c:v>
                </c:pt>
                <c:pt idx="741">
                  <c:v>0.000618831600200265</c:v>
                </c:pt>
                <c:pt idx="742">
                  <c:v>0.000623777521753466</c:v>
                </c:pt>
                <c:pt idx="743">
                  <c:v>0.000626864758444201</c:v>
                </c:pt>
                <c:pt idx="744">
                  <c:v>0.000630930790726181</c:v>
                </c:pt>
                <c:pt idx="745">
                  <c:v>0.000636536561425594</c:v>
                </c:pt>
                <c:pt idx="746">
                  <c:v>0.000643225801058689</c:v>
                </c:pt>
                <c:pt idx="747">
                  <c:v>0.000653433056692965</c:v>
                </c:pt>
                <c:pt idx="748">
                  <c:v>0.000654675153522133</c:v>
                </c:pt>
                <c:pt idx="749">
                  <c:v>0.000655038111317507</c:v>
                </c:pt>
                <c:pt idx="750">
                  <c:v>0.000660634458572229</c:v>
                </c:pt>
                <c:pt idx="751">
                  <c:v>0.000664858132686907</c:v>
                </c:pt>
                <c:pt idx="752">
                  <c:v>0.000665960697525003</c:v>
                </c:pt>
                <c:pt idx="753">
                  <c:v>0.00067012230805652</c:v>
                </c:pt>
                <c:pt idx="754">
                  <c:v>0.000671525228328695</c:v>
                </c:pt>
                <c:pt idx="755">
                  <c:v>0.000675406105165921</c:v>
                </c:pt>
                <c:pt idx="756">
                  <c:v>0.000678766063684</c:v>
                </c:pt>
                <c:pt idx="757">
                  <c:v>0.00067951294008739</c:v>
                </c:pt>
                <c:pt idx="758">
                  <c:v>0.000693528015813349</c:v>
                </c:pt>
                <c:pt idx="759">
                  <c:v>0.000693604773845502</c:v>
                </c:pt>
                <c:pt idx="760">
                  <c:v>0.000706785902008678</c:v>
                </c:pt>
                <c:pt idx="761">
                  <c:v>0.000707159441921901</c:v>
                </c:pt>
                <c:pt idx="762">
                  <c:v>0.0007071672956247</c:v>
                </c:pt>
                <c:pt idx="763">
                  <c:v>0.000708131754501462</c:v>
                </c:pt>
                <c:pt idx="764">
                  <c:v>0.000710451684955205</c:v>
                </c:pt>
                <c:pt idx="765">
                  <c:v>0.000713555179198133</c:v>
                </c:pt>
                <c:pt idx="766">
                  <c:v>0.000714490000000012</c:v>
                </c:pt>
                <c:pt idx="767">
                  <c:v>0.000715946093582831</c:v>
                </c:pt>
                <c:pt idx="768">
                  <c:v>0.000725755745969448</c:v>
                </c:pt>
                <c:pt idx="769">
                  <c:v>0.000728071062203517</c:v>
                </c:pt>
                <c:pt idx="770">
                  <c:v>0.000728148738267986</c:v>
                </c:pt>
                <c:pt idx="771">
                  <c:v>0.000728331899630286</c:v>
                </c:pt>
                <c:pt idx="772">
                  <c:v>0.000732301090325294</c:v>
                </c:pt>
                <c:pt idx="773">
                  <c:v>0.000733779109606036</c:v>
                </c:pt>
                <c:pt idx="774">
                  <c:v>0.000734794115646809</c:v>
                </c:pt>
                <c:pt idx="775">
                  <c:v>0.000736751809463421</c:v>
                </c:pt>
                <c:pt idx="776">
                  <c:v>0.000740112947434035</c:v>
                </c:pt>
                <c:pt idx="777">
                  <c:v>0.000741265362435017</c:v>
                </c:pt>
                <c:pt idx="778">
                  <c:v>0.000741865114738394</c:v>
                </c:pt>
                <c:pt idx="779">
                  <c:v>0.000744190697830938</c:v>
                </c:pt>
                <c:pt idx="780">
                  <c:v>0.00074712097070706</c:v>
                </c:pt>
                <c:pt idx="781">
                  <c:v>0.000749686602299571</c:v>
                </c:pt>
                <c:pt idx="782">
                  <c:v>0.000750147198952611</c:v>
                </c:pt>
                <c:pt idx="783">
                  <c:v>0.000751076274123408</c:v>
                </c:pt>
                <c:pt idx="784">
                  <c:v>0.000754658137778863</c:v>
                </c:pt>
                <c:pt idx="785">
                  <c:v>0.000754976278536157</c:v>
                </c:pt>
                <c:pt idx="786">
                  <c:v>0.000755737436983317</c:v>
                </c:pt>
                <c:pt idx="787">
                  <c:v>0.000758586098325464</c:v>
                </c:pt>
                <c:pt idx="788">
                  <c:v>0.00076404100255445</c:v>
                </c:pt>
                <c:pt idx="789">
                  <c:v>0.000767669889301104</c:v>
                </c:pt>
                <c:pt idx="790">
                  <c:v>0.000769812901599165</c:v>
                </c:pt>
                <c:pt idx="791">
                  <c:v>0.000770476733168435</c:v>
                </c:pt>
                <c:pt idx="792">
                  <c:v>0.000789251099837074</c:v>
                </c:pt>
                <c:pt idx="793">
                  <c:v>0.000796466990225397</c:v>
                </c:pt>
                <c:pt idx="794">
                  <c:v>0.000796668543223911</c:v>
                </c:pt>
                <c:pt idx="795">
                  <c:v>0.000800058707840279</c:v>
                </c:pt>
                <c:pt idx="796">
                  <c:v>0.00080294126902869</c:v>
                </c:pt>
                <c:pt idx="797">
                  <c:v>0.000806967950932824</c:v>
                </c:pt>
                <c:pt idx="798">
                  <c:v>0.000810457567478329</c:v>
                </c:pt>
                <c:pt idx="799">
                  <c:v>0.000816145966995308</c:v>
                </c:pt>
                <c:pt idx="800">
                  <c:v>0.000821129653004071</c:v>
                </c:pt>
                <c:pt idx="801">
                  <c:v>0.000821273936847167</c:v>
                </c:pt>
                <c:pt idx="802">
                  <c:v>0.000824078264002548</c:v>
                </c:pt>
                <c:pt idx="803">
                  <c:v>0.000828591027567605</c:v>
                </c:pt>
                <c:pt idx="804">
                  <c:v>0.000828656444656017</c:v>
                </c:pt>
                <c:pt idx="805">
                  <c:v>0.000829004744753448</c:v>
                </c:pt>
                <c:pt idx="806">
                  <c:v>0.000831360822722393</c:v>
                </c:pt>
                <c:pt idx="807">
                  <c:v>0.000833821501797782</c:v>
                </c:pt>
                <c:pt idx="808">
                  <c:v>0.000833979661097661</c:v>
                </c:pt>
                <c:pt idx="809">
                  <c:v>0.000843418335524815</c:v>
                </c:pt>
                <c:pt idx="810">
                  <c:v>0.000844512468381575</c:v>
                </c:pt>
                <c:pt idx="811">
                  <c:v>0.000844649153618482</c:v>
                </c:pt>
                <c:pt idx="812">
                  <c:v>0.000846367085836075</c:v>
                </c:pt>
                <c:pt idx="813">
                  <c:v>0.000858749004847059</c:v>
                </c:pt>
                <c:pt idx="814">
                  <c:v>0.000862576010365102</c:v>
                </c:pt>
                <c:pt idx="815">
                  <c:v>0.000885916776034001</c:v>
                </c:pt>
                <c:pt idx="816">
                  <c:v>0.000890077919404098</c:v>
                </c:pt>
                <c:pt idx="817">
                  <c:v>0.00089307536209815</c:v>
                </c:pt>
                <c:pt idx="818">
                  <c:v>0.000902489920825644</c:v>
                </c:pt>
                <c:pt idx="819">
                  <c:v>0.000911060955726128</c:v>
                </c:pt>
                <c:pt idx="820">
                  <c:v>0.000932500797140801</c:v>
                </c:pt>
                <c:pt idx="821">
                  <c:v>0.000933399977333771</c:v>
                </c:pt>
                <c:pt idx="822">
                  <c:v>0.000943112787074041</c:v>
                </c:pt>
                <c:pt idx="823">
                  <c:v>0.00094689981036078</c:v>
                </c:pt>
                <c:pt idx="824">
                  <c:v>0.000951514701289291</c:v>
                </c:pt>
                <c:pt idx="825">
                  <c:v>0.000956086366938225</c:v>
                </c:pt>
                <c:pt idx="826">
                  <c:v>0.000958482131447891</c:v>
                </c:pt>
                <c:pt idx="827">
                  <c:v>0.000967907269510127</c:v>
                </c:pt>
                <c:pt idx="828">
                  <c:v>0.000969819851340148</c:v>
                </c:pt>
                <c:pt idx="829">
                  <c:v>0.000976834870668908</c:v>
                </c:pt>
                <c:pt idx="830">
                  <c:v>0.000982968177971832</c:v>
                </c:pt>
                <c:pt idx="831">
                  <c:v>0.000985225592642358</c:v>
                </c:pt>
                <c:pt idx="832">
                  <c:v>0.000989422465113021</c:v>
                </c:pt>
                <c:pt idx="833">
                  <c:v>0.00100461714787436</c:v>
                </c:pt>
                <c:pt idx="834">
                  <c:v>0.00100494282041597</c:v>
                </c:pt>
                <c:pt idx="835">
                  <c:v>0.00100820483246511</c:v>
                </c:pt>
                <c:pt idx="836">
                  <c:v>0.00101088482042422</c:v>
                </c:pt>
                <c:pt idx="837">
                  <c:v>0.00101419465537322</c:v>
                </c:pt>
                <c:pt idx="838">
                  <c:v>0.00102026815883893</c:v>
                </c:pt>
                <c:pt idx="839">
                  <c:v>0.00103228599243499</c:v>
                </c:pt>
                <c:pt idx="840">
                  <c:v>0.00103677537521918</c:v>
                </c:pt>
                <c:pt idx="841">
                  <c:v>0.00104583053001117</c:v>
                </c:pt>
                <c:pt idx="842">
                  <c:v>0.00104589872786787</c:v>
                </c:pt>
                <c:pt idx="843">
                  <c:v>0.0010510409968052</c:v>
                </c:pt>
                <c:pt idx="844">
                  <c:v>0.00105870421605991</c:v>
                </c:pt>
                <c:pt idx="845">
                  <c:v>0.00106269620872501</c:v>
                </c:pt>
                <c:pt idx="846">
                  <c:v>0.00107498142231455</c:v>
                </c:pt>
                <c:pt idx="847">
                  <c:v>0.00108004076364798</c:v>
                </c:pt>
                <c:pt idx="848">
                  <c:v>0.00108019670944159</c:v>
                </c:pt>
                <c:pt idx="849">
                  <c:v>0.00108522820859225</c:v>
                </c:pt>
                <c:pt idx="850">
                  <c:v>0.00108678752056024</c:v>
                </c:pt>
                <c:pt idx="851">
                  <c:v>0.0010903862246372</c:v>
                </c:pt>
                <c:pt idx="852">
                  <c:v>0.00109038867172351</c:v>
                </c:pt>
                <c:pt idx="853">
                  <c:v>0.00109161302281735</c:v>
                </c:pt>
                <c:pt idx="854">
                  <c:v>0.00109525193559534</c:v>
                </c:pt>
                <c:pt idx="855">
                  <c:v>0.00109574496083242</c:v>
                </c:pt>
                <c:pt idx="856">
                  <c:v>0.00110042366541374</c:v>
                </c:pt>
                <c:pt idx="857">
                  <c:v>0.00110387400135359</c:v>
                </c:pt>
                <c:pt idx="858">
                  <c:v>0.0011040239821154</c:v>
                </c:pt>
                <c:pt idx="859">
                  <c:v>0.00110423232901824</c:v>
                </c:pt>
                <c:pt idx="860">
                  <c:v>0.0011171381540509</c:v>
                </c:pt>
                <c:pt idx="861">
                  <c:v>0.00112375157863731</c:v>
                </c:pt>
                <c:pt idx="862">
                  <c:v>0.00112417046749846</c:v>
                </c:pt>
                <c:pt idx="863">
                  <c:v>0.00113019618025079</c:v>
                </c:pt>
                <c:pt idx="864">
                  <c:v>0.00113370502641286</c:v>
                </c:pt>
                <c:pt idx="865">
                  <c:v>0.00113670132110921</c:v>
                </c:pt>
                <c:pt idx="866">
                  <c:v>0.00113915877947979</c:v>
                </c:pt>
                <c:pt idx="867">
                  <c:v>0.00115029668969835</c:v>
                </c:pt>
                <c:pt idx="868">
                  <c:v>0.00116362039926599</c:v>
                </c:pt>
                <c:pt idx="869">
                  <c:v>0.00118144598090497</c:v>
                </c:pt>
                <c:pt idx="870">
                  <c:v>0.00118221746139957</c:v>
                </c:pt>
                <c:pt idx="871">
                  <c:v>0.00119048573654901</c:v>
                </c:pt>
                <c:pt idx="872">
                  <c:v>0.00119516082634119</c:v>
                </c:pt>
                <c:pt idx="873">
                  <c:v>0.00119684030289813</c:v>
                </c:pt>
                <c:pt idx="874">
                  <c:v>0.00123969476128472</c:v>
                </c:pt>
                <c:pt idx="875">
                  <c:v>0.00124274202493391</c:v>
                </c:pt>
                <c:pt idx="876">
                  <c:v>0.00124452007760678</c:v>
                </c:pt>
                <c:pt idx="877">
                  <c:v>0.00124461814620247</c:v>
                </c:pt>
                <c:pt idx="878">
                  <c:v>0.00124770176982891</c:v>
                </c:pt>
                <c:pt idx="879">
                  <c:v>0.00126006288062896</c:v>
                </c:pt>
                <c:pt idx="880">
                  <c:v>0.00127222908279334</c:v>
                </c:pt>
                <c:pt idx="881">
                  <c:v>0.001278427507869</c:v>
                </c:pt>
                <c:pt idx="882">
                  <c:v>0.00128726836425108</c:v>
                </c:pt>
                <c:pt idx="883">
                  <c:v>0.00129220394371221</c:v>
                </c:pt>
                <c:pt idx="884">
                  <c:v>0.00131604665929141</c:v>
                </c:pt>
                <c:pt idx="885">
                  <c:v>0.00133374984284229</c:v>
                </c:pt>
                <c:pt idx="886">
                  <c:v>0.00133498068806626</c:v>
                </c:pt>
                <c:pt idx="887">
                  <c:v>0.00134305495766651</c:v>
                </c:pt>
                <c:pt idx="888">
                  <c:v>0.00134640401351049</c:v>
                </c:pt>
                <c:pt idx="889">
                  <c:v>0.00135990396178221</c:v>
                </c:pt>
                <c:pt idx="890">
                  <c:v>0.00136287581228767</c:v>
                </c:pt>
                <c:pt idx="891">
                  <c:v>0.00136922619695712</c:v>
                </c:pt>
                <c:pt idx="892">
                  <c:v>0.00137653963719298</c:v>
                </c:pt>
                <c:pt idx="893">
                  <c:v>0.00138861368530696</c:v>
                </c:pt>
                <c:pt idx="894">
                  <c:v>0.00139136434313292</c:v>
                </c:pt>
                <c:pt idx="895">
                  <c:v>0.00141004577815607</c:v>
                </c:pt>
                <c:pt idx="896">
                  <c:v>0.00141425775639537</c:v>
                </c:pt>
                <c:pt idx="897">
                  <c:v>0.00141458560489127</c:v>
                </c:pt>
                <c:pt idx="898">
                  <c:v>0.00142186464455829</c:v>
                </c:pt>
                <c:pt idx="899">
                  <c:v>0.00142218391638949</c:v>
                </c:pt>
                <c:pt idx="900">
                  <c:v>0.0014245288793413</c:v>
                </c:pt>
                <c:pt idx="901">
                  <c:v>0.00143391194550202</c:v>
                </c:pt>
                <c:pt idx="902">
                  <c:v>0.00146339327204026</c:v>
                </c:pt>
                <c:pt idx="903">
                  <c:v>0.00147177596921932</c:v>
                </c:pt>
                <c:pt idx="904">
                  <c:v>0.00147221786086948</c:v>
                </c:pt>
                <c:pt idx="905">
                  <c:v>0.00147268899233399</c:v>
                </c:pt>
                <c:pt idx="906">
                  <c:v>0.00147895693066413</c:v>
                </c:pt>
                <c:pt idx="907">
                  <c:v>0.00148498607952785</c:v>
                </c:pt>
                <c:pt idx="908">
                  <c:v>0.00151481891002359</c:v>
                </c:pt>
                <c:pt idx="909">
                  <c:v>0.0015292391887618</c:v>
                </c:pt>
                <c:pt idx="910">
                  <c:v>0.00153402354249188</c:v>
                </c:pt>
                <c:pt idx="911">
                  <c:v>0.00153884817296013</c:v>
                </c:pt>
                <c:pt idx="912">
                  <c:v>0.0015497255138357</c:v>
                </c:pt>
                <c:pt idx="913">
                  <c:v>0.00156951762307078</c:v>
                </c:pt>
                <c:pt idx="914">
                  <c:v>0.00159793161026034</c:v>
                </c:pt>
                <c:pt idx="915">
                  <c:v>0.00160553967560806</c:v>
                </c:pt>
                <c:pt idx="916">
                  <c:v>0.00160914664534606</c:v>
                </c:pt>
                <c:pt idx="917">
                  <c:v>0.00161454536912475</c:v>
                </c:pt>
                <c:pt idx="918">
                  <c:v>0.00161985881505289</c:v>
                </c:pt>
                <c:pt idx="919">
                  <c:v>0.00163196611083638</c:v>
                </c:pt>
                <c:pt idx="920">
                  <c:v>0.00163585038392999</c:v>
                </c:pt>
                <c:pt idx="921">
                  <c:v>0.00163617780776937</c:v>
                </c:pt>
                <c:pt idx="922">
                  <c:v>0.00165685127325887</c:v>
                </c:pt>
                <c:pt idx="923">
                  <c:v>0.00166030605603296</c:v>
                </c:pt>
                <c:pt idx="924">
                  <c:v>0.00166130162567457</c:v>
                </c:pt>
                <c:pt idx="925">
                  <c:v>0.00169293007275262</c:v>
                </c:pt>
                <c:pt idx="926">
                  <c:v>0.00170383272463503</c:v>
                </c:pt>
                <c:pt idx="927">
                  <c:v>0.00170510998312534</c:v>
                </c:pt>
                <c:pt idx="928">
                  <c:v>0.00170550980067086</c:v>
                </c:pt>
                <c:pt idx="929">
                  <c:v>0.00170885102237928</c:v>
                </c:pt>
                <c:pt idx="930">
                  <c:v>0.00172883777035859</c:v>
                </c:pt>
                <c:pt idx="931">
                  <c:v>0.00173743183434705</c:v>
                </c:pt>
                <c:pt idx="932">
                  <c:v>0.00173869339187061</c:v>
                </c:pt>
                <c:pt idx="933">
                  <c:v>0.0017415944134096</c:v>
                </c:pt>
                <c:pt idx="934">
                  <c:v>0.00177446162274442</c:v>
                </c:pt>
                <c:pt idx="935">
                  <c:v>0.00178553246571145</c:v>
                </c:pt>
                <c:pt idx="936">
                  <c:v>0.00180923491573948</c:v>
                </c:pt>
                <c:pt idx="937">
                  <c:v>0.00184150230408009</c:v>
                </c:pt>
                <c:pt idx="938">
                  <c:v>0.00184930392200378</c:v>
                </c:pt>
                <c:pt idx="939">
                  <c:v>0.00185077071443307</c:v>
                </c:pt>
                <c:pt idx="940">
                  <c:v>0.00185194358719287</c:v>
                </c:pt>
                <c:pt idx="941">
                  <c:v>0.00185212851340255</c:v>
                </c:pt>
                <c:pt idx="942">
                  <c:v>0.00186166071195815</c:v>
                </c:pt>
                <c:pt idx="943">
                  <c:v>0.00187622008476773</c:v>
                </c:pt>
                <c:pt idx="944">
                  <c:v>0.00190852878270009</c:v>
                </c:pt>
                <c:pt idx="945">
                  <c:v>0.00191720402587015</c:v>
                </c:pt>
                <c:pt idx="946">
                  <c:v>0.00193161940398268</c:v>
                </c:pt>
                <c:pt idx="947">
                  <c:v>0.00200347044342242</c:v>
                </c:pt>
                <c:pt idx="948">
                  <c:v>0.00200350678076444</c:v>
                </c:pt>
                <c:pt idx="949">
                  <c:v>0.00205199902558517</c:v>
                </c:pt>
                <c:pt idx="950">
                  <c:v>0.00209409228655</c:v>
                </c:pt>
                <c:pt idx="951">
                  <c:v>0.00211376213547121</c:v>
                </c:pt>
                <c:pt idx="952">
                  <c:v>0.00212608407917259</c:v>
                </c:pt>
                <c:pt idx="953">
                  <c:v>0.00212799789828777</c:v>
                </c:pt>
                <c:pt idx="954">
                  <c:v>0.00213195889807793</c:v>
                </c:pt>
                <c:pt idx="955">
                  <c:v>0.00216512185429174</c:v>
                </c:pt>
                <c:pt idx="956">
                  <c:v>0.00217417396171515</c:v>
                </c:pt>
                <c:pt idx="957">
                  <c:v>0.00217969741399005</c:v>
                </c:pt>
                <c:pt idx="958">
                  <c:v>0.0022384909703963</c:v>
                </c:pt>
                <c:pt idx="959">
                  <c:v>0.00224131213134959</c:v>
                </c:pt>
                <c:pt idx="960">
                  <c:v>0.00224830521229014</c:v>
                </c:pt>
                <c:pt idx="961">
                  <c:v>0.00225553744450147</c:v>
                </c:pt>
                <c:pt idx="962">
                  <c:v>0.0022582532097617</c:v>
                </c:pt>
                <c:pt idx="963">
                  <c:v>0.00226809560676422</c:v>
                </c:pt>
                <c:pt idx="964">
                  <c:v>0.00230871875995087</c:v>
                </c:pt>
                <c:pt idx="965">
                  <c:v>0.00231689943562885</c:v>
                </c:pt>
                <c:pt idx="966">
                  <c:v>0.00234847118448878</c:v>
                </c:pt>
                <c:pt idx="967">
                  <c:v>0.00242557660008491</c:v>
                </c:pt>
                <c:pt idx="968">
                  <c:v>0.00246030646078377</c:v>
                </c:pt>
                <c:pt idx="969">
                  <c:v>0.00250769620568536</c:v>
                </c:pt>
                <c:pt idx="970">
                  <c:v>0.00252654432424948</c:v>
                </c:pt>
                <c:pt idx="971">
                  <c:v>0.00255326508795783</c:v>
                </c:pt>
                <c:pt idx="972">
                  <c:v>0.00258859876541195</c:v>
                </c:pt>
                <c:pt idx="973">
                  <c:v>0.00271884756758678</c:v>
                </c:pt>
                <c:pt idx="974">
                  <c:v>0.00280781719599332</c:v>
                </c:pt>
                <c:pt idx="975">
                  <c:v>0.00286275364694744</c:v>
                </c:pt>
                <c:pt idx="976">
                  <c:v>0.00287787983811461</c:v>
                </c:pt>
                <c:pt idx="977">
                  <c:v>0.00289821041852689</c:v>
                </c:pt>
                <c:pt idx="978">
                  <c:v>0.00290624844726128</c:v>
                </c:pt>
                <c:pt idx="979">
                  <c:v>0.00298215898703158</c:v>
                </c:pt>
                <c:pt idx="980">
                  <c:v>0.00301034195661987</c:v>
                </c:pt>
                <c:pt idx="981">
                  <c:v>0.00306561139105832</c:v>
                </c:pt>
                <c:pt idx="982">
                  <c:v>0.0031303826274427</c:v>
                </c:pt>
                <c:pt idx="983">
                  <c:v>0.00313093837879275</c:v>
                </c:pt>
                <c:pt idx="984">
                  <c:v>0.00313511999862182</c:v>
                </c:pt>
                <c:pt idx="985">
                  <c:v>0.00318891703873314</c:v>
                </c:pt>
                <c:pt idx="986">
                  <c:v>0.00325954522933181</c:v>
                </c:pt>
                <c:pt idx="987">
                  <c:v>0.00340320111067238</c:v>
                </c:pt>
                <c:pt idx="988">
                  <c:v>0.00344598049761502</c:v>
                </c:pt>
                <c:pt idx="989">
                  <c:v>0.00355024649493885</c:v>
                </c:pt>
                <c:pt idx="990">
                  <c:v>0.00369662773169144</c:v>
                </c:pt>
                <c:pt idx="991">
                  <c:v>0.00376492897852443</c:v>
                </c:pt>
                <c:pt idx="992">
                  <c:v>0.00385277082222735</c:v>
                </c:pt>
                <c:pt idx="993">
                  <c:v>0.00389049690860777</c:v>
                </c:pt>
                <c:pt idx="994">
                  <c:v>0.00409251425002566</c:v>
                </c:pt>
                <c:pt idx="995">
                  <c:v>0.00423239462557645</c:v>
                </c:pt>
                <c:pt idx="996">
                  <c:v>0.00461485221116309</c:v>
                </c:pt>
                <c:pt idx="997">
                  <c:v>0.00479776680225519</c:v>
                </c:pt>
                <c:pt idx="998">
                  <c:v>0.00538755026016213</c:v>
                </c:pt>
                <c:pt idx="999">
                  <c:v>0.00569271403817084</c:v>
                </c:pt>
              </c:numCache>
            </c:numRef>
          </c:xVal>
          <c:yVal>
            <c:numRef>
              <c:f>BTC_Fit!$G$37:$G$1036</c:f>
              <c:numCache>
                <c:formatCode>0.0000</c:formatCode>
                <c:ptCount val="1000"/>
                <c:pt idx="0">
                  <c:v>0.00046065742457018</c:v>
                </c:pt>
                <c:pt idx="1">
                  <c:v>0.000674639020576599</c:v>
                </c:pt>
                <c:pt idx="2">
                  <c:v>0.00102889866040153</c:v>
                </c:pt>
                <c:pt idx="3">
                  <c:v>0.00208439401235533</c:v>
                </c:pt>
                <c:pt idx="4">
                  <c:v>0.00241751914941461</c:v>
                </c:pt>
                <c:pt idx="5">
                  <c:v>0.00258450094166859</c:v>
                </c:pt>
                <c:pt idx="6">
                  <c:v>0.00307365374022254</c:v>
                </c:pt>
                <c:pt idx="7">
                  <c:v>0.00449707335671401</c:v>
                </c:pt>
                <c:pt idx="8">
                  <c:v>0.0045345798480881</c:v>
                </c:pt>
                <c:pt idx="9">
                  <c:v>0.00607504615277991</c:v>
                </c:pt>
                <c:pt idx="10">
                  <c:v>0.00732718232811255</c:v>
                </c:pt>
                <c:pt idx="11">
                  <c:v>0.00872184084302252</c:v>
                </c:pt>
                <c:pt idx="12">
                  <c:v>0.00887258234799956</c:v>
                </c:pt>
                <c:pt idx="13">
                  <c:v>0.0102181449644695</c:v>
                </c:pt>
                <c:pt idx="14">
                  <c:v>0.010917283553967</c:v>
                </c:pt>
                <c:pt idx="15">
                  <c:v>0.012734187963391</c:v>
                </c:pt>
                <c:pt idx="16">
                  <c:v>0.0138014932880289</c:v>
                </c:pt>
                <c:pt idx="17">
                  <c:v>0.0139675968298541</c:v>
                </c:pt>
                <c:pt idx="18">
                  <c:v>0.0142886860410438</c:v>
                </c:pt>
                <c:pt idx="19">
                  <c:v>0.0151626109330072</c:v>
                </c:pt>
                <c:pt idx="20">
                  <c:v>0.0173162270515481</c:v>
                </c:pt>
                <c:pt idx="21">
                  <c:v>0.0177962206887796</c:v>
                </c:pt>
                <c:pt idx="22">
                  <c:v>0.0189439555732275</c:v>
                </c:pt>
                <c:pt idx="23">
                  <c:v>0.0190402524261078</c:v>
                </c:pt>
                <c:pt idx="24">
                  <c:v>0.0193939533139693</c:v>
                </c:pt>
                <c:pt idx="25">
                  <c:v>0.0211816674653842</c:v>
                </c:pt>
                <c:pt idx="26">
                  <c:v>0.0212205941797067</c:v>
                </c:pt>
                <c:pt idx="27">
                  <c:v>0.0257348659872156</c:v>
                </c:pt>
                <c:pt idx="28">
                  <c:v>0.0264103553381587</c:v>
                </c:pt>
                <c:pt idx="29">
                  <c:v>0.0266638398379718</c:v>
                </c:pt>
                <c:pt idx="30">
                  <c:v>0.0269089907262943</c:v>
                </c:pt>
                <c:pt idx="31">
                  <c:v>0.0277639843419242</c:v>
                </c:pt>
                <c:pt idx="32">
                  <c:v>0.0282877867709093</c:v>
                </c:pt>
                <c:pt idx="33">
                  <c:v>0.0334978301986158</c:v>
                </c:pt>
                <c:pt idx="34">
                  <c:v>0.0337488920197639</c:v>
                </c:pt>
                <c:pt idx="35">
                  <c:v>0.0338683257547227</c:v>
                </c:pt>
                <c:pt idx="36">
                  <c:v>0.0348076498534377</c:v>
                </c:pt>
                <c:pt idx="37">
                  <c:v>0.0353231591206501</c:v>
                </c:pt>
                <c:pt idx="38">
                  <c:v>0.0385434154559581</c:v>
                </c:pt>
                <c:pt idx="39">
                  <c:v>0.0394864214142622</c:v>
                </c:pt>
                <c:pt idx="40">
                  <c:v>0.0396433265631365</c:v>
                </c:pt>
                <c:pt idx="41">
                  <c:v>0.0402798124103162</c:v>
                </c:pt>
                <c:pt idx="42">
                  <c:v>0.041158370714777</c:v>
                </c:pt>
                <c:pt idx="43">
                  <c:v>0.0425049188841464</c:v>
                </c:pt>
                <c:pt idx="44">
                  <c:v>0.0428995224922051</c:v>
                </c:pt>
                <c:pt idx="45">
                  <c:v>0.0439170163591931</c:v>
                </c:pt>
                <c:pt idx="46">
                  <c:v>0.0442328178560179</c:v>
                </c:pt>
                <c:pt idx="47">
                  <c:v>0.0445496525250405</c:v>
                </c:pt>
                <c:pt idx="48">
                  <c:v>0.0472187051198362</c:v>
                </c:pt>
                <c:pt idx="49">
                  <c:v>0.0486769183719458</c:v>
                </c:pt>
                <c:pt idx="50">
                  <c:v>0.0488348867442449</c:v>
                </c:pt>
                <c:pt idx="51">
                  <c:v>0.0491594430596938</c:v>
                </c:pt>
                <c:pt idx="52">
                  <c:v>0.049515092762774</c:v>
                </c:pt>
                <c:pt idx="53">
                  <c:v>0.0505616017225643</c:v>
                </c:pt>
                <c:pt idx="54">
                  <c:v>0.0510681883781503</c:v>
                </c:pt>
                <c:pt idx="55">
                  <c:v>0.0516117012919531</c:v>
                </c:pt>
                <c:pt idx="56">
                  <c:v>0.0524708472341041</c:v>
                </c:pt>
                <c:pt idx="57">
                  <c:v>0.0528465815583355</c:v>
                </c:pt>
                <c:pt idx="58">
                  <c:v>0.0546037852459636</c:v>
                </c:pt>
                <c:pt idx="59">
                  <c:v>0.0559915972856766</c:v>
                </c:pt>
                <c:pt idx="60">
                  <c:v>0.0571067457724739</c:v>
                </c:pt>
                <c:pt idx="61">
                  <c:v>0.0573211323046487</c:v>
                </c:pt>
                <c:pt idx="62">
                  <c:v>0.0593998119365687</c:v>
                </c:pt>
                <c:pt idx="63">
                  <c:v>0.060498058569275</c:v>
                </c:pt>
                <c:pt idx="64">
                  <c:v>0.0607423179860328</c:v>
                </c:pt>
                <c:pt idx="65">
                  <c:v>0.0635407226830456</c:v>
                </c:pt>
                <c:pt idx="66">
                  <c:v>0.067698589866099</c:v>
                </c:pt>
                <c:pt idx="67">
                  <c:v>0.0698736610102723</c:v>
                </c:pt>
                <c:pt idx="68">
                  <c:v>0.0711821880571197</c:v>
                </c:pt>
                <c:pt idx="69">
                  <c:v>0.0719579647442038</c:v>
                </c:pt>
                <c:pt idx="70">
                  <c:v>0.0779103855793896</c:v>
                </c:pt>
                <c:pt idx="71">
                  <c:v>0.0782138503474388</c:v>
                </c:pt>
                <c:pt idx="72">
                  <c:v>0.0859973257963497</c:v>
                </c:pt>
                <c:pt idx="73">
                  <c:v>0.08850385790517</c:v>
                </c:pt>
                <c:pt idx="74">
                  <c:v>0.0919703923389434</c:v>
                </c:pt>
                <c:pt idx="75">
                  <c:v>0.0937639748522761</c:v>
                </c:pt>
                <c:pt idx="76">
                  <c:v>0.0941904169337003</c:v>
                </c:pt>
                <c:pt idx="77">
                  <c:v>0.0942538628966309</c:v>
                </c:pt>
                <c:pt idx="78">
                  <c:v>0.0946661549994504</c:v>
                </c:pt>
                <c:pt idx="79">
                  <c:v>0.0946761856415655</c:v>
                </c:pt>
                <c:pt idx="80">
                  <c:v>0.0983445524518143</c:v>
                </c:pt>
                <c:pt idx="81">
                  <c:v>0.0984219810609861</c:v>
                </c:pt>
                <c:pt idx="82">
                  <c:v>0.101455827402321</c:v>
                </c:pt>
                <c:pt idx="83">
                  <c:v>0.10196691110764</c:v>
                </c:pt>
                <c:pt idx="84">
                  <c:v>0.103629290463262</c:v>
                </c:pt>
                <c:pt idx="85">
                  <c:v>0.106683044660947</c:v>
                </c:pt>
                <c:pt idx="86">
                  <c:v>0.106818942530841</c:v>
                </c:pt>
                <c:pt idx="87">
                  <c:v>0.107194614051323</c:v>
                </c:pt>
                <c:pt idx="88">
                  <c:v>0.107952057924695</c:v>
                </c:pt>
                <c:pt idx="89">
                  <c:v>0.108012001357747</c:v>
                </c:pt>
                <c:pt idx="90">
                  <c:v>0.109694062833119</c:v>
                </c:pt>
                <c:pt idx="91">
                  <c:v>0.110457669799798</c:v>
                </c:pt>
                <c:pt idx="92">
                  <c:v>0.112985407712597</c:v>
                </c:pt>
                <c:pt idx="93">
                  <c:v>0.113229964409984</c:v>
                </c:pt>
                <c:pt idx="94">
                  <c:v>0.114202941349536</c:v>
                </c:pt>
                <c:pt idx="95">
                  <c:v>0.114894614107797</c:v>
                </c:pt>
                <c:pt idx="96">
                  <c:v>0.116552507586895</c:v>
                </c:pt>
                <c:pt idx="97">
                  <c:v>0.116841867537314</c:v>
                </c:pt>
                <c:pt idx="98">
                  <c:v>0.118280607611589</c:v>
                </c:pt>
                <c:pt idx="99">
                  <c:v>0.118800785084359</c:v>
                </c:pt>
                <c:pt idx="100">
                  <c:v>0.120373056880393</c:v>
                </c:pt>
                <c:pt idx="101">
                  <c:v>0.120846634827779</c:v>
                </c:pt>
                <c:pt idx="102">
                  <c:v>0.121234006048421</c:v>
                </c:pt>
                <c:pt idx="103">
                  <c:v>0.122038135845014</c:v>
                </c:pt>
                <c:pt idx="104">
                  <c:v>0.122713997278497</c:v>
                </c:pt>
                <c:pt idx="105">
                  <c:v>0.124426946787653</c:v>
                </c:pt>
                <c:pt idx="106">
                  <c:v>0.125509318403807</c:v>
                </c:pt>
                <c:pt idx="107">
                  <c:v>0.126246244557205</c:v>
                </c:pt>
                <c:pt idx="108">
                  <c:v>0.126426025965087</c:v>
                </c:pt>
                <c:pt idx="109">
                  <c:v>0.128117641586379</c:v>
                </c:pt>
                <c:pt idx="110">
                  <c:v>0.12816940128501</c:v>
                </c:pt>
                <c:pt idx="111">
                  <c:v>0.12825139979982</c:v>
                </c:pt>
                <c:pt idx="112">
                  <c:v>0.129427129108863</c:v>
                </c:pt>
                <c:pt idx="113">
                  <c:v>0.130035473396317</c:v>
                </c:pt>
                <c:pt idx="114">
                  <c:v>0.132667566214158</c:v>
                </c:pt>
                <c:pt idx="115">
                  <c:v>0.133217136103279</c:v>
                </c:pt>
                <c:pt idx="116">
                  <c:v>0.134458432406118</c:v>
                </c:pt>
                <c:pt idx="117">
                  <c:v>0.134931895298954</c:v>
                </c:pt>
                <c:pt idx="118">
                  <c:v>0.136542128314217</c:v>
                </c:pt>
                <c:pt idx="119">
                  <c:v>0.137706080327642</c:v>
                </c:pt>
                <c:pt idx="120">
                  <c:v>0.13831561577322</c:v>
                </c:pt>
                <c:pt idx="121">
                  <c:v>0.138928116097085</c:v>
                </c:pt>
                <c:pt idx="122">
                  <c:v>0.139268120415824</c:v>
                </c:pt>
                <c:pt idx="123">
                  <c:v>0.139855418454087</c:v>
                </c:pt>
                <c:pt idx="124">
                  <c:v>0.139934067616296</c:v>
                </c:pt>
                <c:pt idx="125">
                  <c:v>0.141122106078825</c:v>
                </c:pt>
                <c:pt idx="126">
                  <c:v>0.142636822658738</c:v>
                </c:pt>
                <c:pt idx="127">
                  <c:v>0.142750950240362</c:v>
                </c:pt>
                <c:pt idx="128">
                  <c:v>0.143827610674121</c:v>
                </c:pt>
                <c:pt idx="129">
                  <c:v>0.145107220158219</c:v>
                </c:pt>
                <c:pt idx="130">
                  <c:v>0.145258072506226</c:v>
                </c:pt>
                <c:pt idx="131">
                  <c:v>0.146609854292556</c:v>
                </c:pt>
                <c:pt idx="132">
                  <c:v>0.147561604765471</c:v>
                </c:pt>
                <c:pt idx="133">
                  <c:v>0.148025561586874</c:v>
                </c:pt>
                <c:pt idx="134">
                  <c:v>0.149160355399178</c:v>
                </c:pt>
                <c:pt idx="135">
                  <c:v>0.150701400278713</c:v>
                </c:pt>
                <c:pt idx="136">
                  <c:v>0.153014678601546</c:v>
                </c:pt>
                <c:pt idx="137">
                  <c:v>0.154469140710055</c:v>
                </c:pt>
                <c:pt idx="138">
                  <c:v>0.154532853062325</c:v>
                </c:pt>
                <c:pt idx="139">
                  <c:v>0.155358266458947</c:v>
                </c:pt>
                <c:pt idx="140">
                  <c:v>0.15544369374763</c:v>
                </c:pt>
                <c:pt idx="141">
                  <c:v>0.155802355727015</c:v>
                </c:pt>
                <c:pt idx="142">
                  <c:v>0.158343414280195</c:v>
                </c:pt>
                <c:pt idx="143">
                  <c:v>0.158689977375107</c:v>
                </c:pt>
                <c:pt idx="144">
                  <c:v>0.158925204720815</c:v>
                </c:pt>
                <c:pt idx="145">
                  <c:v>0.161812914995055</c:v>
                </c:pt>
                <c:pt idx="146">
                  <c:v>0.162557807623993</c:v>
                </c:pt>
                <c:pt idx="147">
                  <c:v>0.16304667285263</c:v>
                </c:pt>
                <c:pt idx="148">
                  <c:v>0.163572221507401</c:v>
                </c:pt>
                <c:pt idx="149">
                  <c:v>0.165532887687976</c:v>
                </c:pt>
                <c:pt idx="150">
                  <c:v>0.16555311504128</c:v>
                </c:pt>
                <c:pt idx="151">
                  <c:v>0.165589614689861</c:v>
                </c:pt>
                <c:pt idx="152">
                  <c:v>0.166162193349431</c:v>
                </c:pt>
                <c:pt idx="153">
                  <c:v>0.166276470197061</c:v>
                </c:pt>
                <c:pt idx="154">
                  <c:v>0.167867019946122</c:v>
                </c:pt>
                <c:pt idx="155">
                  <c:v>0.169669198431014</c:v>
                </c:pt>
                <c:pt idx="156">
                  <c:v>0.170549801650995</c:v>
                </c:pt>
                <c:pt idx="157">
                  <c:v>0.17074348628678</c:v>
                </c:pt>
                <c:pt idx="158">
                  <c:v>0.170772671173925</c:v>
                </c:pt>
                <c:pt idx="159">
                  <c:v>0.171565907023357</c:v>
                </c:pt>
                <c:pt idx="160">
                  <c:v>0.172328073302049</c:v>
                </c:pt>
                <c:pt idx="161">
                  <c:v>0.173643085652429</c:v>
                </c:pt>
                <c:pt idx="162">
                  <c:v>0.175667753364697</c:v>
                </c:pt>
                <c:pt idx="163">
                  <c:v>0.176489686751874</c:v>
                </c:pt>
                <c:pt idx="164">
                  <c:v>0.177662341951573</c:v>
                </c:pt>
                <c:pt idx="165">
                  <c:v>0.179016668975948</c:v>
                </c:pt>
                <c:pt idx="166">
                  <c:v>0.1792911535515</c:v>
                </c:pt>
                <c:pt idx="167">
                  <c:v>0.181341104508189</c:v>
                </c:pt>
                <c:pt idx="168">
                  <c:v>0.182045425834979</c:v>
                </c:pt>
                <c:pt idx="169">
                  <c:v>0.182555597966081</c:v>
                </c:pt>
                <c:pt idx="170">
                  <c:v>0.182965042673182</c:v>
                </c:pt>
                <c:pt idx="171">
                  <c:v>0.182965163318735</c:v>
                </c:pt>
                <c:pt idx="172">
                  <c:v>0.183809457543219</c:v>
                </c:pt>
                <c:pt idx="173">
                  <c:v>0.184960471571619</c:v>
                </c:pt>
                <c:pt idx="174">
                  <c:v>0.185245635382738</c:v>
                </c:pt>
                <c:pt idx="175">
                  <c:v>0.187941201191629</c:v>
                </c:pt>
                <c:pt idx="176">
                  <c:v>0.191288626943009</c:v>
                </c:pt>
                <c:pt idx="177">
                  <c:v>0.192452847048441</c:v>
                </c:pt>
                <c:pt idx="178">
                  <c:v>0.192475978739631</c:v>
                </c:pt>
                <c:pt idx="179">
                  <c:v>0.19429197001238</c:v>
                </c:pt>
                <c:pt idx="180">
                  <c:v>0.194449486896945</c:v>
                </c:pt>
                <c:pt idx="181">
                  <c:v>0.195319532967182</c:v>
                </c:pt>
                <c:pt idx="182">
                  <c:v>0.195533829036944</c:v>
                </c:pt>
                <c:pt idx="183">
                  <c:v>0.196587077617755</c:v>
                </c:pt>
                <c:pt idx="184">
                  <c:v>0.197453606126515</c:v>
                </c:pt>
                <c:pt idx="185">
                  <c:v>0.197669793583097</c:v>
                </c:pt>
                <c:pt idx="186">
                  <c:v>0.197722804429501</c:v>
                </c:pt>
                <c:pt idx="187">
                  <c:v>0.198185463134999</c:v>
                </c:pt>
                <c:pt idx="188">
                  <c:v>0.199492203297901</c:v>
                </c:pt>
                <c:pt idx="189">
                  <c:v>0.203921900843245</c:v>
                </c:pt>
                <c:pt idx="190">
                  <c:v>0.204772869289739</c:v>
                </c:pt>
                <c:pt idx="191">
                  <c:v>0.206784097747272</c:v>
                </c:pt>
                <c:pt idx="192">
                  <c:v>0.206844759067708</c:v>
                </c:pt>
                <c:pt idx="193">
                  <c:v>0.207007340393322</c:v>
                </c:pt>
                <c:pt idx="194">
                  <c:v>0.208845538811364</c:v>
                </c:pt>
                <c:pt idx="195">
                  <c:v>0.21142610084075</c:v>
                </c:pt>
                <c:pt idx="196">
                  <c:v>0.212314678556402</c:v>
                </c:pt>
                <c:pt idx="197">
                  <c:v>0.213443226950153</c:v>
                </c:pt>
                <c:pt idx="198">
                  <c:v>0.214440303688869</c:v>
                </c:pt>
                <c:pt idx="199">
                  <c:v>0.214709458616043</c:v>
                </c:pt>
                <c:pt idx="200">
                  <c:v>0.216433313225256</c:v>
                </c:pt>
                <c:pt idx="201">
                  <c:v>0.217121838607061</c:v>
                </c:pt>
                <c:pt idx="202">
                  <c:v>0.219560248463072</c:v>
                </c:pt>
                <c:pt idx="203">
                  <c:v>0.221529584390083</c:v>
                </c:pt>
                <c:pt idx="204">
                  <c:v>0.222228873172271</c:v>
                </c:pt>
                <c:pt idx="205">
                  <c:v>0.223985669981932</c:v>
                </c:pt>
                <c:pt idx="206">
                  <c:v>0.224405553396384</c:v>
                </c:pt>
                <c:pt idx="207">
                  <c:v>0.225273043812905</c:v>
                </c:pt>
                <c:pt idx="208">
                  <c:v>0.226638424355326</c:v>
                </c:pt>
                <c:pt idx="209">
                  <c:v>0.229160196859474</c:v>
                </c:pt>
                <c:pt idx="210">
                  <c:v>0.23085768412644</c:v>
                </c:pt>
                <c:pt idx="211">
                  <c:v>0.232739388919977</c:v>
                </c:pt>
                <c:pt idx="212">
                  <c:v>0.234849002934688</c:v>
                </c:pt>
                <c:pt idx="213">
                  <c:v>0.23521110445617</c:v>
                </c:pt>
                <c:pt idx="214">
                  <c:v>0.236921375775756</c:v>
                </c:pt>
                <c:pt idx="215">
                  <c:v>0.238484606998994</c:v>
                </c:pt>
                <c:pt idx="216">
                  <c:v>0.238756409976144</c:v>
                </c:pt>
                <c:pt idx="217">
                  <c:v>0.238913328776416</c:v>
                </c:pt>
                <c:pt idx="218">
                  <c:v>0.2410944002037</c:v>
                </c:pt>
                <c:pt idx="219">
                  <c:v>0.241321543873472</c:v>
                </c:pt>
                <c:pt idx="220">
                  <c:v>0.241450120477414</c:v>
                </c:pt>
                <c:pt idx="221">
                  <c:v>0.241768863459739</c:v>
                </c:pt>
                <c:pt idx="222">
                  <c:v>0.241819617242744</c:v>
                </c:pt>
                <c:pt idx="223">
                  <c:v>0.244127516474357</c:v>
                </c:pt>
                <c:pt idx="224">
                  <c:v>0.246916757962035</c:v>
                </c:pt>
                <c:pt idx="225">
                  <c:v>0.247158113033443</c:v>
                </c:pt>
                <c:pt idx="226">
                  <c:v>0.247959465660822</c:v>
                </c:pt>
                <c:pt idx="227">
                  <c:v>0.249500035199559</c:v>
                </c:pt>
                <c:pt idx="228">
                  <c:v>0.252816819232559</c:v>
                </c:pt>
                <c:pt idx="229">
                  <c:v>0.253040287919569</c:v>
                </c:pt>
                <c:pt idx="230">
                  <c:v>0.25581866914685</c:v>
                </c:pt>
                <c:pt idx="231">
                  <c:v>0.257827657825385</c:v>
                </c:pt>
                <c:pt idx="232">
                  <c:v>0.259270686066877</c:v>
                </c:pt>
                <c:pt idx="233">
                  <c:v>0.268217558930607</c:v>
                </c:pt>
                <c:pt idx="234">
                  <c:v>0.269683771931093</c:v>
                </c:pt>
                <c:pt idx="235">
                  <c:v>0.270049493992463</c:v>
                </c:pt>
                <c:pt idx="236">
                  <c:v>0.27117823126077</c:v>
                </c:pt>
                <c:pt idx="237">
                  <c:v>0.272733790024335</c:v>
                </c:pt>
                <c:pt idx="238">
                  <c:v>0.273353152569197</c:v>
                </c:pt>
                <c:pt idx="239">
                  <c:v>0.274529789398377</c:v>
                </c:pt>
                <c:pt idx="240">
                  <c:v>0.27595249939657</c:v>
                </c:pt>
                <c:pt idx="241">
                  <c:v>0.276029003903114</c:v>
                </c:pt>
                <c:pt idx="242">
                  <c:v>0.276263749750496</c:v>
                </c:pt>
                <c:pt idx="243">
                  <c:v>0.277457385340258</c:v>
                </c:pt>
                <c:pt idx="244">
                  <c:v>0.278112289590269</c:v>
                </c:pt>
                <c:pt idx="245">
                  <c:v>0.278727996748701</c:v>
                </c:pt>
                <c:pt idx="246">
                  <c:v>0.280444013835985</c:v>
                </c:pt>
                <c:pt idx="247">
                  <c:v>0.280533119871258</c:v>
                </c:pt>
                <c:pt idx="248">
                  <c:v>0.281528232534998</c:v>
                </c:pt>
                <c:pt idx="249">
                  <c:v>0.282504234463855</c:v>
                </c:pt>
                <c:pt idx="250">
                  <c:v>0.284980525441746</c:v>
                </c:pt>
                <c:pt idx="251">
                  <c:v>0.285133983179083</c:v>
                </c:pt>
                <c:pt idx="252">
                  <c:v>0.285566601880816</c:v>
                </c:pt>
                <c:pt idx="253">
                  <c:v>0.28585888053759</c:v>
                </c:pt>
                <c:pt idx="254">
                  <c:v>0.286771658669173</c:v>
                </c:pt>
                <c:pt idx="255">
                  <c:v>0.28797592305464</c:v>
                </c:pt>
                <c:pt idx="256">
                  <c:v>0.288051638315975</c:v>
                </c:pt>
                <c:pt idx="257">
                  <c:v>0.289266454760467</c:v>
                </c:pt>
                <c:pt idx="258">
                  <c:v>0.28976448681389</c:v>
                </c:pt>
                <c:pt idx="259">
                  <c:v>0.290635267433817</c:v>
                </c:pt>
                <c:pt idx="260">
                  <c:v>0.292534290676893</c:v>
                </c:pt>
                <c:pt idx="261">
                  <c:v>0.293143100435739</c:v>
                </c:pt>
                <c:pt idx="262">
                  <c:v>0.294189236915703</c:v>
                </c:pt>
                <c:pt idx="263">
                  <c:v>0.297434908921068</c:v>
                </c:pt>
                <c:pt idx="264">
                  <c:v>0.298229209947759</c:v>
                </c:pt>
                <c:pt idx="265">
                  <c:v>0.298303786953183</c:v>
                </c:pt>
                <c:pt idx="266">
                  <c:v>0.298442272581278</c:v>
                </c:pt>
                <c:pt idx="267">
                  <c:v>0.298737136803214</c:v>
                </c:pt>
                <c:pt idx="268">
                  <c:v>0.299372829872925</c:v>
                </c:pt>
                <c:pt idx="269">
                  <c:v>0.301167195933866</c:v>
                </c:pt>
                <c:pt idx="270">
                  <c:v>0.304817009751753</c:v>
                </c:pt>
                <c:pt idx="271">
                  <c:v>0.305768168957661</c:v>
                </c:pt>
                <c:pt idx="272">
                  <c:v>0.307972058826581</c:v>
                </c:pt>
                <c:pt idx="273">
                  <c:v>0.310132900888049</c:v>
                </c:pt>
                <c:pt idx="274">
                  <c:v>0.311510978301819</c:v>
                </c:pt>
                <c:pt idx="275">
                  <c:v>0.312122975285954</c:v>
                </c:pt>
                <c:pt idx="276">
                  <c:v>0.312653083257509</c:v>
                </c:pt>
                <c:pt idx="277">
                  <c:v>0.316312806642117</c:v>
                </c:pt>
                <c:pt idx="278">
                  <c:v>0.316542921904331</c:v>
                </c:pt>
                <c:pt idx="279">
                  <c:v>0.31806091707607</c:v>
                </c:pt>
                <c:pt idx="280">
                  <c:v>0.319025842577267</c:v>
                </c:pt>
                <c:pt idx="281">
                  <c:v>0.320692755925146</c:v>
                </c:pt>
                <c:pt idx="282">
                  <c:v>0.323931356618523</c:v>
                </c:pt>
                <c:pt idx="283">
                  <c:v>0.323984785715048</c:v>
                </c:pt>
                <c:pt idx="284">
                  <c:v>0.324023741646735</c:v>
                </c:pt>
                <c:pt idx="285">
                  <c:v>0.326536804616974</c:v>
                </c:pt>
                <c:pt idx="286">
                  <c:v>0.326825780719254</c:v>
                </c:pt>
                <c:pt idx="287">
                  <c:v>0.327161445975881</c:v>
                </c:pt>
                <c:pt idx="288">
                  <c:v>0.327314245472415</c:v>
                </c:pt>
                <c:pt idx="289">
                  <c:v>0.329181003666957</c:v>
                </c:pt>
                <c:pt idx="290">
                  <c:v>0.329838450771697</c:v>
                </c:pt>
                <c:pt idx="291">
                  <c:v>0.330471738742392</c:v>
                </c:pt>
                <c:pt idx="292">
                  <c:v>0.330653414176152</c:v>
                </c:pt>
                <c:pt idx="293">
                  <c:v>0.332370125742143</c:v>
                </c:pt>
                <c:pt idx="294">
                  <c:v>0.334062699149</c:v>
                </c:pt>
                <c:pt idx="295">
                  <c:v>0.334134416144261</c:v>
                </c:pt>
                <c:pt idx="296">
                  <c:v>0.334233445381575</c:v>
                </c:pt>
                <c:pt idx="297">
                  <c:v>0.336790811343141</c:v>
                </c:pt>
                <c:pt idx="298">
                  <c:v>0.337910294007489</c:v>
                </c:pt>
                <c:pt idx="299">
                  <c:v>0.33941747802311</c:v>
                </c:pt>
                <c:pt idx="300">
                  <c:v>0.340552693796962</c:v>
                </c:pt>
                <c:pt idx="301">
                  <c:v>0.340573194515371</c:v>
                </c:pt>
                <c:pt idx="302">
                  <c:v>0.341140593789651</c:v>
                </c:pt>
                <c:pt idx="303">
                  <c:v>0.341798839710976</c:v>
                </c:pt>
                <c:pt idx="304">
                  <c:v>0.342121732419176</c:v>
                </c:pt>
                <c:pt idx="305">
                  <c:v>0.342621517048042</c:v>
                </c:pt>
                <c:pt idx="306">
                  <c:v>0.344626547684299</c:v>
                </c:pt>
                <c:pt idx="307">
                  <c:v>0.345054092036732</c:v>
                </c:pt>
                <c:pt idx="308">
                  <c:v>0.346563090628127</c:v>
                </c:pt>
                <c:pt idx="309">
                  <c:v>0.346944996894526</c:v>
                </c:pt>
                <c:pt idx="310">
                  <c:v>0.34711083388447</c:v>
                </c:pt>
                <c:pt idx="311">
                  <c:v>0.347509436616812</c:v>
                </c:pt>
                <c:pt idx="312">
                  <c:v>0.347646855918129</c:v>
                </c:pt>
                <c:pt idx="313">
                  <c:v>0.349451283114771</c:v>
                </c:pt>
                <c:pt idx="314">
                  <c:v>0.349946100905232</c:v>
                </c:pt>
                <c:pt idx="315">
                  <c:v>0.350174961242244</c:v>
                </c:pt>
                <c:pt idx="316">
                  <c:v>0.351370653394567</c:v>
                </c:pt>
                <c:pt idx="317">
                  <c:v>0.352875266150965</c:v>
                </c:pt>
                <c:pt idx="318">
                  <c:v>0.355522627813744</c:v>
                </c:pt>
                <c:pt idx="319">
                  <c:v>0.355533376749044</c:v>
                </c:pt>
                <c:pt idx="320">
                  <c:v>0.356126836006557</c:v>
                </c:pt>
                <c:pt idx="321">
                  <c:v>0.35745475345216</c:v>
                </c:pt>
                <c:pt idx="322">
                  <c:v>0.357646170179295</c:v>
                </c:pt>
                <c:pt idx="323">
                  <c:v>0.358891741944935</c:v>
                </c:pt>
                <c:pt idx="324">
                  <c:v>0.359402933194668</c:v>
                </c:pt>
                <c:pt idx="325">
                  <c:v>0.35941475896806</c:v>
                </c:pt>
                <c:pt idx="326">
                  <c:v>0.360801630305797</c:v>
                </c:pt>
                <c:pt idx="327">
                  <c:v>0.361065335550101</c:v>
                </c:pt>
                <c:pt idx="328">
                  <c:v>0.361841317101274</c:v>
                </c:pt>
                <c:pt idx="329">
                  <c:v>0.361933820697985</c:v>
                </c:pt>
                <c:pt idx="330">
                  <c:v>0.361945052444271</c:v>
                </c:pt>
                <c:pt idx="331">
                  <c:v>0.362394981642875</c:v>
                </c:pt>
                <c:pt idx="332">
                  <c:v>0.362726016802181</c:v>
                </c:pt>
                <c:pt idx="333">
                  <c:v>0.363105964220451</c:v>
                </c:pt>
                <c:pt idx="334">
                  <c:v>0.363789472898487</c:v>
                </c:pt>
                <c:pt idx="335">
                  <c:v>0.36601554335153</c:v>
                </c:pt>
                <c:pt idx="336">
                  <c:v>0.36690150000353</c:v>
                </c:pt>
                <c:pt idx="337">
                  <c:v>0.366902524841905</c:v>
                </c:pt>
                <c:pt idx="338">
                  <c:v>0.369526185883989</c:v>
                </c:pt>
                <c:pt idx="339">
                  <c:v>0.369969230126284</c:v>
                </c:pt>
                <c:pt idx="340">
                  <c:v>0.371498142293452</c:v>
                </c:pt>
                <c:pt idx="341">
                  <c:v>0.372287576153859</c:v>
                </c:pt>
                <c:pt idx="342">
                  <c:v>0.37365526898949</c:v>
                </c:pt>
                <c:pt idx="343">
                  <c:v>0.374451981094809</c:v>
                </c:pt>
                <c:pt idx="344">
                  <c:v>0.375206536903663</c:v>
                </c:pt>
                <c:pt idx="345">
                  <c:v>0.376586365313501</c:v>
                </c:pt>
                <c:pt idx="346">
                  <c:v>0.3770766333274</c:v>
                </c:pt>
                <c:pt idx="347">
                  <c:v>0.37752512077999</c:v>
                </c:pt>
                <c:pt idx="348">
                  <c:v>0.381404612734472</c:v>
                </c:pt>
                <c:pt idx="349">
                  <c:v>0.381764342342107</c:v>
                </c:pt>
                <c:pt idx="350">
                  <c:v>0.382178723060594</c:v>
                </c:pt>
                <c:pt idx="351">
                  <c:v>0.382317951329051</c:v>
                </c:pt>
                <c:pt idx="352">
                  <c:v>0.383307973165132</c:v>
                </c:pt>
                <c:pt idx="353">
                  <c:v>0.384015025815262</c:v>
                </c:pt>
                <c:pt idx="354">
                  <c:v>0.384497793150342</c:v>
                </c:pt>
                <c:pt idx="355">
                  <c:v>0.384918167814395</c:v>
                </c:pt>
                <c:pt idx="356">
                  <c:v>0.385706639563004</c:v>
                </c:pt>
                <c:pt idx="357">
                  <c:v>0.388516956702703</c:v>
                </c:pt>
                <c:pt idx="358">
                  <c:v>0.388527098570386</c:v>
                </c:pt>
                <c:pt idx="359">
                  <c:v>0.388859838108126</c:v>
                </c:pt>
                <c:pt idx="360">
                  <c:v>0.389878227628618</c:v>
                </c:pt>
                <c:pt idx="361">
                  <c:v>0.395531602576087</c:v>
                </c:pt>
                <c:pt idx="362">
                  <c:v>0.400799127358998</c:v>
                </c:pt>
                <c:pt idx="363">
                  <c:v>0.401548142960636</c:v>
                </c:pt>
                <c:pt idx="364">
                  <c:v>0.401786744188502</c:v>
                </c:pt>
                <c:pt idx="365">
                  <c:v>0.40380871228221</c:v>
                </c:pt>
                <c:pt idx="366">
                  <c:v>0.404421704011085</c:v>
                </c:pt>
                <c:pt idx="367">
                  <c:v>0.404811219085833</c:v>
                </c:pt>
                <c:pt idx="368">
                  <c:v>0.405668568950933</c:v>
                </c:pt>
                <c:pt idx="369">
                  <c:v>0.405850468905933</c:v>
                </c:pt>
                <c:pt idx="370">
                  <c:v>0.406611368484006</c:v>
                </c:pt>
                <c:pt idx="371">
                  <c:v>0.40908612784821</c:v>
                </c:pt>
                <c:pt idx="372">
                  <c:v>0.409368075721835</c:v>
                </c:pt>
                <c:pt idx="373">
                  <c:v>0.409470205190209</c:v>
                </c:pt>
                <c:pt idx="374">
                  <c:v>0.409745839916413</c:v>
                </c:pt>
                <c:pt idx="375">
                  <c:v>0.41059103908154</c:v>
                </c:pt>
                <c:pt idx="376">
                  <c:v>0.410959259823524</c:v>
                </c:pt>
                <c:pt idx="377">
                  <c:v>0.411716667830888</c:v>
                </c:pt>
                <c:pt idx="378">
                  <c:v>0.411751047164719</c:v>
                </c:pt>
                <c:pt idx="379">
                  <c:v>0.412187188418942</c:v>
                </c:pt>
                <c:pt idx="380">
                  <c:v>0.413989202502683</c:v>
                </c:pt>
                <c:pt idx="381">
                  <c:v>0.414639342059829</c:v>
                </c:pt>
                <c:pt idx="382">
                  <c:v>0.414688989135837</c:v>
                </c:pt>
                <c:pt idx="383">
                  <c:v>0.41620838682869</c:v>
                </c:pt>
                <c:pt idx="384">
                  <c:v>0.416547702185489</c:v>
                </c:pt>
                <c:pt idx="385">
                  <c:v>0.417825071513319</c:v>
                </c:pt>
                <c:pt idx="386">
                  <c:v>0.419700950707637</c:v>
                </c:pt>
                <c:pt idx="387">
                  <c:v>0.420664202019033</c:v>
                </c:pt>
                <c:pt idx="388">
                  <c:v>0.42114052112831</c:v>
                </c:pt>
                <c:pt idx="389">
                  <c:v>0.423073607609953</c:v>
                </c:pt>
                <c:pt idx="390">
                  <c:v>0.423367623343628</c:v>
                </c:pt>
                <c:pt idx="391">
                  <c:v>0.427007242217842</c:v>
                </c:pt>
                <c:pt idx="392">
                  <c:v>0.427167622809762</c:v>
                </c:pt>
                <c:pt idx="393">
                  <c:v>0.428013995051137</c:v>
                </c:pt>
                <c:pt idx="394">
                  <c:v>0.428393374107105</c:v>
                </c:pt>
                <c:pt idx="395">
                  <c:v>0.428405997774708</c:v>
                </c:pt>
                <c:pt idx="396">
                  <c:v>0.428809640772634</c:v>
                </c:pt>
                <c:pt idx="397">
                  <c:v>0.429106237700965</c:v>
                </c:pt>
                <c:pt idx="398">
                  <c:v>0.430026811240565</c:v>
                </c:pt>
                <c:pt idx="399">
                  <c:v>0.430639955425585</c:v>
                </c:pt>
                <c:pt idx="400">
                  <c:v>0.431148009270767</c:v>
                </c:pt>
                <c:pt idx="401">
                  <c:v>0.431916683920334</c:v>
                </c:pt>
                <c:pt idx="402">
                  <c:v>0.433412726731659</c:v>
                </c:pt>
                <c:pt idx="403">
                  <c:v>0.434121604868289</c:v>
                </c:pt>
                <c:pt idx="404">
                  <c:v>0.436218321046012</c:v>
                </c:pt>
                <c:pt idx="405">
                  <c:v>0.436858655233801</c:v>
                </c:pt>
                <c:pt idx="406">
                  <c:v>0.438049675676774</c:v>
                </c:pt>
                <c:pt idx="407">
                  <c:v>0.439255668020073</c:v>
                </c:pt>
                <c:pt idx="408">
                  <c:v>0.439270879887892</c:v>
                </c:pt>
                <c:pt idx="409">
                  <c:v>0.43970811212787</c:v>
                </c:pt>
                <c:pt idx="410">
                  <c:v>0.439907469872493</c:v>
                </c:pt>
                <c:pt idx="411">
                  <c:v>0.440182315321192</c:v>
                </c:pt>
                <c:pt idx="412">
                  <c:v>0.442061507782204</c:v>
                </c:pt>
                <c:pt idx="413">
                  <c:v>0.442239007469172</c:v>
                </c:pt>
                <c:pt idx="414">
                  <c:v>0.442826060058889</c:v>
                </c:pt>
                <c:pt idx="415">
                  <c:v>0.44358501790949</c:v>
                </c:pt>
                <c:pt idx="416">
                  <c:v>0.443937879708995</c:v>
                </c:pt>
                <c:pt idx="417">
                  <c:v>0.445294045596542</c:v>
                </c:pt>
                <c:pt idx="418">
                  <c:v>0.44564407749297</c:v>
                </c:pt>
                <c:pt idx="419">
                  <c:v>0.445906209821874</c:v>
                </c:pt>
                <c:pt idx="420">
                  <c:v>0.446119121532712</c:v>
                </c:pt>
                <c:pt idx="421">
                  <c:v>0.447267046971508</c:v>
                </c:pt>
                <c:pt idx="422">
                  <c:v>0.447424676661476</c:v>
                </c:pt>
                <c:pt idx="423">
                  <c:v>0.44780520016616</c:v>
                </c:pt>
                <c:pt idx="424">
                  <c:v>0.447926516870069</c:v>
                </c:pt>
                <c:pt idx="425">
                  <c:v>0.4487645307811</c:v>
                </c:pt>
                <c:pt idx="426">
                  <c:v>0.452890273849717</c:v>
                </c:pt>
                <c:pt idx="427">
                  <c:v>0.45439233817205</c:v>
                </c:pt>
                <c:pt idx="428">
                  <c:v>0.456929404982333</c:v>
                </c:pt>
                <c:pt idx="429">
                  <c:v>0.456998018153837</c:v>
                </c:pt>
                <c:pt idx="430">
                  <c:v>0.45749044698599</c:v>
                </c:pt>
                <c:pt idx="431">
                  <c:v>0.458139088512478</c:v>
                </c:pt>
                <c:pt idx="432">
                  <c:v>0.458735089988811</c:v>
                </c:pt>
                <c:pt idx="433">
                  <c:v>0.459308117919253</c:v>
                </c:pt>
                <c:pt idx="434">
                  <c:v>0.459697676165457</c:v>
                </c:pt>
                <c:pt idx="435">
                  <c:v>0.460881941525008</c:v>
                </c:pt>
                <c:pt idx="436">
                  <c:v>0.461200070055243</c:v>
                </c:pt>
                <c:pt idx="437">
                  <c:v>0.46174720936782</c:v>
                </c:pt>
                <c:pt idx="438">
                  <c:v>0.461809725619076</c:v>
                </c:pt>
                <c:pt idx="439">
                  <c:v>0.462099663139924</c:v>
                </c:pt>
                <c:pt idx="440">
                  <c:v>0.46245545727149</c:v>
                </c:pt>
                <c:pt idx="441">
                  <c:v>0.462479388450868</c:v>
                </c:pt>
                <c:pt idx="442">
                  <c:v>0.463333803658217</c:v>
                </c:pt>
                <c:pt idx="443">
                  <c:v>0.464941395244243</c:v>
                </c:pt>
                <c:pt idx="444">
                  <c:v>0.465735724207368</c:v>
                </c:pt>
                <c:pt idx="445">
                  <c:v>0.46769847616737</c:v>
                </c:pt>
                <c:pt idx="446">
                  <c:v>0.469165872752795</c:v>
                </c:pt>
                <c:pt idx="447">
                  <c:v>0.469192606717433</c:v>
                </c:pt>
                <c:pt idx="448">
                  <c:v>0.469984831532236</c:v>
                </c:pt>
                <c:pt idx="449">
                  <c:v>0.470341758661701</c:v>
                </c:pt>
                <c:pt idx="450">
                  <c:v>0.470714482714299</c:v>
                </c:pt>
                <c:pt idx="451">
                  <c:v>0.472759271359756</c:v>
                </c:pt>
                <c:pt idx="452">
                  <c:v>0.473193786026384</c:v>
                </c:pt>
                <c:pt idx="453">
                  <c:v>0.473489063954228</c:v>
                </c:pt>
                <c:pt idx="454">
                  <c:v>0.473587212902264</c:v>
                </c:pt>
                <c:pt idx="455">
                  <c:v>0.474053503762768</c:v>
                </c:pt>
                <c:pt idx="456">
                  <c:v>0.474519036507893</c:v>
                </c:pt>
                <c:pt idx="457">
                  <c:v>0.47645353270642</c:v>
                </c:pt>
                <c:pt idx="458">
                  <c:v>0.476462291753316</c:v>
                </c:pt>
                <c:pt idx="459">
                  <c:v>0.47671172307568</c:v>
                </c:pt>
                <c:pt idx="460">
                  <c:v>0.478001875356658</c:v>
                </c:pt>
                <c:pt idx="461">
                  <c:v>0.478768978437579</c:v>
                </c:pt>
                <c:pt idx="462">
                  <c:v>0.479405789570277</c:v>
                </c:pt>
                <c:pt idx="463">
                  <c:v>0.480904669402946</c:v>
                </c:pt>
                <c:pt idx="464">
                  <c:v>0.480933268215493</c:v>
                </c:pt>
                <c:pt idx="465">
                  <c:v>0.48160141929878</c:v>
                </c:pt>
                <c:pt idx="466">
                  <c:v>0.482107446035493</c:v>
                </c:pt>
                <c:pt idx="467">
                  <c:v>0.482556730226829</c:v>
                </c:pt>
                <c:pt idx="468">
                  <c:v>0.482735127170928</c:v>
                </c:pt>
                <c:pt idx="469">
                  <c:v>0.483269164446973</c:v>
                </c:pt>
                <c:pt idx="470">
                  <c:v>0.483502843263041</c:v>
                </c:pt>
                <c:pt idx="471">
                  <c:v>0.483888196646648</c:v>
                </c:pt>
                <c:pt idx="472">
                  <c:v>0.48404340981171</c:v>
                </c:pt>
                <c:pt idx="473">
                  <c:v>0.484211024100721</c:v>
                </c:pt>
                <c:pt idx="474">
                  <c:v>0.485094103003235</c:v>
                </c:pt>
                <c:pt idx="475">
                  <c:v>0.486718884440433</c:v>
                </c:pt>
                <c:pt idx="476">
                  <c:v>0.487153389721225</c:v>
                </c:pt>
                <c:pt idx="477">
                  <c:v>0.487179158422482</c:v>
                </c:pt>
                <c:pt idx="478">
                  <c:v>0.488215068763634</c:v>
                </c:pt>
                <c:pt idx="479">
                  <c:v>0.488582546567358</c:v>
                </c:pt>
                <c:pt idx="480">
                  <c:v>0.48942092756154</c:v>
                </c:pt>
                <c:pt idx="481">
                  <c:v>0.489673063676745</c:v>
                </c:pt>
                <c:pt idx="482">
                  <c:v>0.49067147648753</c:v>
                </c:pt>
                <c:pt idx="483">
                  <c:v>0.491001048108091</c:v>
                </c:pt>
                <c:pt idx="484">
                  <c:v>0.491701664536301</c:v>
                </c:pt>
                <c:pt idx="485">
                  <c:v>0.492087326211494</c:v>
                </c:pt>
                <c:pt idx="486">
                  <c:v>0.492443551619252</c:v>
                </c:pt>
                <c:pt idx="487">
                  <c:v>0.492624526586837</c:v>
                </c:pt>
                <c:pt idx="488">
                  <c:v>0.492805515307767</c:v>
                </c:pt>
                <c:pt idx="489">
                  <c:v>0.495506063377743</c:v>
                </c:pt>
                <c:pt idx="490">
                  <c:v>0.496773212904121</c:v>
                </c:pt>
                <c:pt idx="491">
                  <c:v>0.497373211897322</c:v>
                </c:pt>
                <c:pt idx="492">
                  <c:v>0.497503262465138</c:v>
                </c:pt>
                <c:pt idx="493">
                  <c:v>0.497831385366245</c:v>
                </c:pt>
                <c:pt idx="494">
                  <c:v>0.498098598708289</c:v>
                </c:pt>
                <c:pt idx="495">
                  <c:v>0.498160756417294</c:v>
                </c:pt>
                <c:pt idx="496">
                  <c:v>0.499103978738297</c:v>
                </c:pt>
                <c:pt idx="497">
                  <c:v>0.49984371696107</c:v>
                </c:pt>
                <c:pt idx="498">
                  <c:v>0.500300393324836</c:v>
                </c:pt>
                <c:pt idx="499">
                  <c:v>0.500399431350101</c:v>
                </c:pt>
                <c:pt idx="500">
                  <c:v>0.501283183991085</c:v>
                </c:pt>
                <c:pt idx="501">
                  <c:v>0.502191096392271</c:v>
                </c:pt>
                <c:pt idx="502">
                  <c:v>0.50341907060404</c:v>
                </c:pt>
                <c:pt idx="503">
                  <c:v>0.504654283891892</c:v>
                </c:pt>
                <c:pt idx="504">
                  <c:v>0.504845708609898</c:v>
                </c:pt>
                <c:pt idx="505">
                  <c:v>0.506512849269327</c:v>
                </c:pt>
                <c:pt idx="506">
                  <c:v>0.507089885032149</c:v>
                </c:pt>
                <c:pt idx="507">
                  <c:v>0.507094668054236</c:v>
                </c:pt>
                <c:pt idx="508">
                  <c:v>0.507263915412986</c:v>
                </c:pt>
                <c:pt idx="509">
                  <c:v>0.508260786803367</c:v>
                </c:pt>
                <c:pt idx="510">
                  <c:v>0.508883076492092</c:v>
                </c:pt>
                <c:pt idx="511">
                  <c:v>0.509454689917069</c:v>
                </c:pt>
                <c:pt idx="512">
                  <c:v>0.509573308246584</c:v>
                </c:pt>
                <c:pt idx="513">
                  <c:v>0.512439349980884</c:v>
                </c:pt>
                <c:pt idx="514">
                  <c:v>0.512448123789318</c:v>
                </c:pt>
                <c:pt idx="515">
                  <c:v>0.513422551011221</c:v>
                </c:pt>
                <c:pt idx="516">
                  <c:v>0.513660704832828</c:v>
                </c:pt>
                <c:pt idx="517">
                  <c:v>0.513690947280668</c:v>
                </c:pt>
                <c:pt idx="518">
                  <c:v>0.513972635319396</c:v>
                </c:pt>
                <c:pt idx="519">
                  <c:v>0.514653928383472</c:v>
                </c:pt>
                <c:pt idx="520">
                  <c:v>0.515274609196257</c:v>
                </c:pt>
                <c:pt idx="521">
                  <c:v>0.515694210838142</c:v>
                </c:pt>
                <c:pt idx="522">
                  <c:v>0.516492239922958</c:v>
                </c:pt>
                <c:pt idx="523">
                  <c:v>0.517405831653776</c:v>
                </c:pt>
                <c:pt idx="524">
                  <c:v>0.517436205453808</c:v>
                </c:pt>
                <c:pt idx="525">
                  <c:v>0.517703284155689</c:v>
                </c:pt>
                <c:pt idx="526">
                  <c:v>0.518598563899793</c:v>
                </c:pt>
                <c:pt idx="527">
                  <c:v>0.519012139474142</c:v>
                </c:pt>
                <c:pt idx="528">
                  <c:v>0.519766415272532</c:v>
                </c:pt>
                <c:pt idx="529">
                  <c:v>0.520664802381341</c:v>
                </c:pt>
                <c:pt idx="530">
                  <c:v>0.523678185979093</c:v>
                </c:pt>
                <c:pt idx="531">
                  <c:v>0.523819264596948</c:v>
                </c:pt>
                <c:pt idx="532">
                  <c:v>0.524513708155095</c:v>
                </c:pt>
                <c:pt idx="533">
                  <c:v>0.524567986366948</c:v>
                </c:pt>
                <c:pt idx="534">
                  <c:v>0.524950639665591</c:v>
                </c:pt>
                <c:pt idx="535">
                  <c:v>0.525276307283964</c:v>
                </c:pt>
                <c:pt idx="536">
                  <c:v>0.525845786254807</c:v>
                </c:pt>
                <c:pt idx="537">
                  <c:v>0.527709836777916</c:v>
                </c:pt>
                <c:pt idx="538">
                  <c:v>0.528144359230547</c:v>
                </c:pt>
                <c:pt idx="539">
                  <c:v>0.528232282550788</c:v>
                </c:pt>
                <c:pt idx="540">
                  <c:v>0.528485854445466</c:v>
                </c:pt>
                <c:pt idx="541">
                  <c:v>0.530534268283096</c:v>
                </c:pt>
                <c:pt idx="542">
                  <c:v>0.53145611179501</c:v>
                </c:pt>
                <c:pt idx="543">
                  <c:v>0.532507413116819</c:v>
                </c:pt>
                <c:pt idx="544">
                  <c:v>0.537268171988164</c:v>
                </c:pt>
                <c:pt idx="545">
                  <c:v>0.539932250825826</c:v>
                </c:pt>
                <c:pt idx="546">
                  <c:v>0.539998686754939</c:v>
                </c:pt>
                <c:pt idx="547">
                  <c:v>0.540079779085689</c:v>
                </c:pt>
                <c:pt idx="548">
                  <c:v>0.540391682049361</c:v>
                </c:pt>
                <c:pt idx="549">
                  <c:v>0.540418512044278</c:v>
                </c:pt>
                <c:pt idx="550">
                  <c:v>0.540744377942892</c:v>
                </c:pt>
                <c:pt idx="551">
                  <c:v>0.541014612488257</c:v>
                </c:pt>
                <c:pt idx="552">
                  <c:v>0.541134629137744</c:v>
                </c:pt>
                <c:pt idx="553">
                  <c:v>0.541328207626804</c:v>
                </c:pt>
                <c:pt idx="554">
                  <c:v>0.541576866023471</c:v>
                </c:pt>
                <c:pt idx="555">
                  <c:v>0.541761084619839</c:v>
                </c:pt>
                <c:pt idx="556">
                  <c:v>0.54212828315332</c:v>
                </c:pt>
                <c:pt idx="557">
                  <c:v>0.542888344688755</c:v>
                </c:pt>
                <c:pt idx="558">
                  <c:v>0.544453792019839</c:v>
                </c:pt>
                <c:pt idx="559">
                  <c:v>0.546104502019856</c:v>
                </c:pt>
                <c:pt idx="560">
                  <c:v>0.546598679679756</c:v>
                </c:pt>
                <c:pt idx="561">
                  <c:v>0.548621214231824</c:v>
                </c:pt>
                <c:pt idx="562">
                  <c:v>0.548831290715368</c:v>
                </c:pt>
                <c:pt idx="563">
                  <c:v>0.54922181180034</c:v>
                </c:pt>
                <c:pt idx="564">
                  <c:v>0.550075491722897</c:v>
                </c:pt>
                <c:pt idx="565">
                  <c:v>0.551397309947068</c:v>
                </c:pt>
                <c:pt idx="566">
                  <c:v>0.551744019732117</c:v>
                </c:pt>
                <c:pt idx="567">
                  <c:v>0.552277789292973</c:v>
                </c:pt>
                <c:pt idx="568">
                  <c:v>0.553235593159277</c:v>
                </c:pt>
                <c:pt idx="569">
                  <c:v>0.55359909895859</c:v>
                </c:pt>
                <c:pt idx="570">
                  <c:v>0.554111132445924</c:v>
                </c:pt>
                <c:pt idx="571">
                  <c:v>0.554124759641578</c:v>
                </c:pt>
                <c:pt idx="572">
                  <c:v>0.554140935407476</c:v>
                </c:pt>
                <c:pt idx="573">
                  <c:v>0.555934533450496</c:v>
                </c:pt>
                <c:pt idx="574">
                  <c:v>0.558283817939526</c:v>
                </c:pt>
                <c:pt idx="575">
                  <c:v>0.559187238208052</c:v>
                </c:pt>
                <c:pt idx="576">
                  <c:v>0.560517912797411</c:v>
                </c:pt>
                <c:pt idx="577">
                  <c:v>0.560571162367333</c:v>
                </c:pt>
                <c:pt idx="578">
                  <c:v>0.560614205914473</c:v>
                </c:pt>
                <c:pt idx="579">
                  <c:v>0.562870084517179</c:v>
                </c:pt>
                <c:pt idx="580">
                  <c:v>0.562967274462757</c:v>
                </c:pt>
                <c:pt idx="581">
                  <c:v>0.563278148270077</c:v>
                </c:pt>
                <c:pt idx="582">
                  <c:v>0.564652895536794</c:v>
                </c:pt>
                <c:pt idx="583">
                  <c:v>0.565169254476272</c:v>
                </c:pt>
                <c:pt idx="584">
                  <c:v>0.565565205864133</c:v>
                </c:pt>
                <c:pt idx="585">
                  <c:v>0.566039144297695</c:v>
                </c:pt>
                <c:pt idx="586">
                  <c:v>0.566073445146243</c:v>
                </c:pt>
                <c:pt idx="587">
                  <c:v>0.56742747960637</c:v>
                </c:pt>
                <c:pt idx="588">
                  <c:v>0.567522565574406</c:v>
                </c:pt>
                <c:pt idx="589">
                  <c:v>0.567618895426154</c:v>
                </c:pt>
                <c:pt idx="590">
                  <c:v>0.56794679362066</c:v>
                </c:pt>
                <c:pt idx="591">
                  <c:v>0.568074999658234</c:v>
                </c:pt>
                <c:pt idx="592">
                  <c:v>0.568247955605324</c:v>
                </c:pt>
                <c:pt idx="593">
                  <c:v>0.57020685998445</c:v>
                </c:pt>
                <c:pt idx="594">
                  <c:v>0.570321380200162</c:v>
                </c:pt>
                <c:pt idx="595">
                  <c:v>0.570790688025199</c:v>
                </c:pt>
                <c:pt idx="596">
                  <c:v>0.570893776905231</c:v>
                </c:pt>
                <c:pt idx="597">
                  <c:v>0.571393797518039</c:v>
                </c:pt>
                <c:pt idx="598">
                  <c:v>0.571784538199512</c:v>
                </c:pt>
                <c:pt idx="599">
                  <c:v>0.57203867169522</c:v>
                </c:pt>
                <c:pt idx="600">
                  <c:v>0.57393498531583</c:v>
                </c:pt>
                <c:pt idx="601">
                  <c:v>0.574641287264711</c:v>
                </c:pt>
                <c:pt idx="602">
                  <c:v>0.574809297724552</c:v>
                </c:pt>
                <c:pt idx="603">
                  <c:v>0.575701329355655</c:v>
                </c:pt>
                <c:pt idx="604">
                  <c:v>0.575783699904967</c:v>
                </c:pt>
                <c:pt idx="605">
                  <c:v>0.576517094663552</c:v>
                </c:pt>
                <c:pt idx="606">
                  <c:v>0.577566428310372</c:v>
                </c:pt>
                <c:pt idx="607">
                  <c:v>0.577818560729381</c:v>
                </c:pt>
                <c:pt idx="608">
                  <c:v>0.579794215606643</c:v>
                </c:pt>
                <c:pt idx="609">
                  <c:v>0.579867070622027</c:v>
                </c:pt>
                <c:pt idx="610">
                  <c:v>0.581546093336005</c:v>
                </c:pt>
                <c:pt idx="611">
                  <c:v>0.582030330014835</c:v>
                </c:pt>
                <c:pt idx="612">
                  <c:v>0.583652755983684</c:v>
                </c:pt>
                <c:pt idx="613">
                  <c:v>0.583828794641532</c:v>
                </c:pt>
                <c:pt idx="614">
                  <c:v>0.584275143765318</c:v>
                </c:pt>
                <c:pt idx="615">
                  <c:v>0.586553596989149</c:v>
                </c:pt>
                <c:pt idx="616">
                  <c:v>0.587993318709425</c:v>
                </c:pt>
                <c:pt idx="617">
                  <c:v>0.588111342760543</c:v>
                </c:pt>
                <c:pt idx="618">
                  <c:v>0.588470750661134</c:v>
                </c:pt>
                <c:pt idx="619">
                  <c:v>0.590390835585094</c:v>
                </c:pt>
                <c:pt idx="620">
                  <c:v>0.5912323017734</c:v>
                </c:pt>
                <c:pt idx="621">
                  <c:v>0.591402923624002</c:v>
                </c:pt>
                <c:pt idx="622">
                  <c:v>0.592575491352901</c:v>
                </c:pt>
                <c:pt idx="623">
                  <c:v>0.592661183977768</c:v>
                </c:pt>
                <c:pt idx="624">
                  <c:v>0.593323708473979</c:v>
                </c:pt>
                <c:pt idx="625">
                  <c:v>0.596041791183974</c:v>
                </c:pt>
                <c:pt idx="626">
                  <c:v>0.597115544912039</c:v>
                </c:pt>
                <c:pt idx="627">
                  <c:v>0.59935589881404</c:v>
                </c:pt>
                <c:pt idx="628">
                  <c:v>0.599580942989989</c:v>
                </c:pt>
                <c:pt idx="629">
                  <c:v>0.600039485881251</c:v>
                </c:pt>
                <c:pt idx="630">
                  <c:v>0.600732295835438</c:v>
                </c:pt>
                <c:pt idx="631">
                  <c:v>0.601784294718973</c:v>
                </c:pt>
                <c:pt idx="632">
                  <c:v>0.602496912787814</c:v>
                </c:pt>
                <c:pt idx="633">
                  <c:v>0.602666598837197</c:v>
                </c:pt>
                <c:pt idx="634">
                  <c:v>0.603142384795568</c:v>
                </c:pt>
                <c:pt idx="635">
                  <c:v>0.603215888044535</c:v>
                </c:pt>
                <c:pt idx="636">
                  <c:v>0.603292709956802</c:v>
                </c:pt>
                <c:pt idx="637">
                  <c:v>0.604713239053846</c:v>
                </c:pt>
                <c:pt idx="638">
                  <c:v>0.605275426347911</c:v>
                </c:pt>
                <c:pt idx="639">
                  <c:v>0.605712703140401</c:v>
                </c:pt>
                <c:pt idx="640">
                  <c:v>0.606914500143838</c:v>
                </c:pt>
                <c:pt idx="641">
                  <c:v>0.607381353424341</c:v>
                </c:pt>
                <c:pt idx="642">
                  <c:v>0.608508025882266</c:v>
                </c:pt>
                <c:pt idx="643">
                  <c:v>0.609864240100809</c:v>
                </c:pt>
                <c:pt idx="644">
                  <c:v>0.611047731523165</c:v>
                </c:pt>
                <c:pt idx="645">
                  <c:v>0.61455654368665</c:v>
                </c:pt>
                <c:pt idx="646">
                  <c:v>0.615589364025648</c:v>
                </c:pt>
                <c:pt idx="647">
                  <c:v>0.615664882027244</c:v>
                </c:pt>
                <c:pt idx="648">
                  <c:v>0.616193899087059</c:v>
                </c:pt>
                <c:pt idx="649">
                  <c:v>0.616435794646948</c:v>
                </c:pt>
                <c:pt idx="650">
                  <c:v>0.618005443330059</c:v>
                </c:pt>
                <c:pt idx="651">
                  <c:v>0.618441532235654</c:v>
                </c:pt>
                <c:pt idx="652">
                  <c:v>0.61851683229406</c:v>
                </c:pt>
                <c:pt idx="653">
                  <c:v>0.618573135935507</c:v>
                </c:pt>
                <c:pt idx="654">
                  <c:v>0.618865860115776</c:v>
                </c:pt>
                <c:pt idx="655">
                  <c:v>0.619315944034364</c:v>
                </c:pt>
                <c:pt idx="656">
                  <c:v>0.619895752468581</c:v>
                </c:pt>
                <c:pt idx="657">
                  <c:v>0.621793904051962</c:v>
                </c:pt>
                <c:pt idx="658">
                  <c:v>0.623191307229169</c:v>
                </c:pt>
                <c:pt idx="659">
                  <c:v>0.624569115241156</c:v>
                </c:pt>
                <c:pt idx="660">
                  <c:v>0.626549416254444</c:v>
                </c:pt>
                <c:pt idx="661">
                  <c:v>0.626772749085672</c:v>
                </c:pt>
                <c:pt idx="662">
                  <c:v>0.627618391462899</c:v>
                </c:pt>
                <c:pt idx="663">
                  <c:v>0.628290215071417</c:v>
                </c:pt>
                <c:pt idx="664">
                  <c:v>0.62890629643963</c:v>
                </c:pt>
                <c:pt idx="665">
                  <c:v>0.629386102551166</c:v>
                </c:pt>
                <c:pt idx="666">
                  <c:v>0.630131437077886</c:v>
                </c:pt>
                <c:pt idx="667">
                  <c:v>0.632566902193361</c:v>
                </c:pt>
                <c:pt idx="668">
                  <c:v>0.633834308787537</c:v>
                </c:pt>
                <c:pt idx="669">
                  <c:v>0.634189991848631</c:v>
                </c:pt>
                <c:pt idx="670">
                  <c:v>0.63511654948203</c:v>
                </c:pt>
                <c:pt idx="671">
                  <c:v>0.635460378429719</c:v>
                </c:pt>
                <c:pt idx="672">
                  <c:v>0.63602970265527</c:v>
                </c:pt>
                <c:pt idx="673">
                  <c:v>0.638165987314585</c:v>
                </c:pt>
                <c:pt idx="674">
                  <c:v>0.638810530817084</c:v>
                </c:pt>
                <c:pt idx="675">
                  <c:v>0.640619408624043</c:v>
                </c:pt>
                <c:pt idx="676">
                  <c:v>0.640929526737236</c:v>
                </c:pt>
                <c:pt idx="677">
                  <c:v>0.640961076104156</c:v>
                </c:pt>
                <c:pt idx="678">
                  <c:v>0.64376645161841</c:v>
                </c:pt>
                <c:pt idx="679">
                  <c:v>0.645409289853555</c:v>
                </c:pt>
                <c:pt idx="680">
                  <c:v>0.645490883633957</c:v>
                </c:pt>
                <c:pt idx="681">
                  <c:v>0.6459226785574</c:v>
                </c:pt>
                <c:pt idx="682">
                  <c:v>0.646112652582396</c:v>
                </c:pt>
                <c:pt idx="683">
                  <c:v>0.647322164781794</c:v>
                </c:pt>
                <c:pt idx="684">
                  <c:v>0.648419963302567</c:v>
                </c:pt>
                <c:pt idx="685">
                  <c:v>0.64874748715384</c:v>
                </c:pt>
                <c:pt idx="686">
                  <c:v>0.650211073268579</c:v>
                </c:pt>
                <c:pt idx="687">
                  <c:v>0.655308327482132</c:v>
                </c:pt>
                <c:pt idx="688">
                  <c:v>0.656409989380434</c:v>
                </c:pt>
                <c:pt idx="689">
                  <c:v>0.656917603693287</c:v>
                </c:pt>
                <c:pt idx="690">
                  <c:v>0.658360736105066</c:v>
                </c:pt>
                <c:pt idx="691">
                  <c:v>0.659355223166011</c:v>
                </c:pt>
                <c:pt idx="692">
                  <c:v>0.660074279204859</c:v>
                </c:pt>
                <c:pt idx="693">
                  <c:v>0.660140678367773</c:v>
                </c:pt>
                <c:pt idx="694">
                  <c:v>0.661588544492239</c:v>
                </c:pt>
                <c:pt idx="695">
                  <c:v>0.66165282727702</c:v>
                </c:pt>
                <c:pt idx="696">
                  <c:v>0.662120441372207</c:v>
                </c:pt>
                <c:pt idx="697">
                  <c:v>0.662711114544244</c:v>
                </c:pt>
                <c:pt idx="698">
                  <c:v>0.663786661135568</c:v>
                </c:pt>
                <c:pt idx="699">
                  <c:v>0.664779139174281</c:v>
                </c:pt>
                <c:pt idx="700">
                  <c:v>0.666833403564699</c:v>
                </c:pt>
                <c:pt idx="701">
                  <c:v>0.667065502619718</c:v>
                </c:pt>
                <c:pt idx="702">
                  <c:v>0.66966661648824</c:v>
                </c:pt>
                <c:pt idx="703">
                  <c:v>0.671116357117683</c:v>
                </c:pt>
                <c:pt idx="704">
                  <c:v>0.671433803539151</c:v>
                </c:pt>
                <c:pt idx="705">
                  <c:v>0.671765994617297</c:v>
                </c:pt>
                <c:pt idx="706">
                  <c:v>0.673047300150765</c:v>
                </c:pt>
                <c:pt idx="707">
                  <c:v>0.674714270366519</c:v>
                </c:pt>
                <c:pt idx="708">
                  <c:v>0.676824734721695</c:v>
                </c:pt>
                <c:pt idx="709">
                  <c:v>0.67829197310842</c:v>
                </c:pt>
                <c:pt idx="710">
                  <c:v>0.6790279296974</c:v>
                </c:pt>
                <c:pt idx="711">
                  <c:v>0.679148287405499</c:v>
                </c:pt>
                <c:pt idx="712">
                  <c:v>0.680688633466742</c:v>
                </c:pt>
                <c:pt idx="713">
                  <c:v>0.680838336156716</c:v>
                </c:pt>
                <c:pt idx="714">
                  <c:v>0.682066067778274</c:v>
                </c:pt>
                <c:pt idx="715">
                  <c:v>0.683724263926644</c:v>
                </c:pt>
                <c:pt idx="716">
                  <c:v>0.686549171069558</c:v>
                </c:pt>
                <c:pt idx="717">
                  <c:v>0.687084410351385</c:v>
                </c:pt>
                <c:pt idx="718">
                  <c:v>0.687136741965934</c:v>
                </c:pt>
                <c:pt idx="719">
                  <c:v>0.688370704759788</c:v>
                </c:pt>
                <c:pt idx="720">
                  <c:v>0.691091456438086</c:v>
                </c:pt>
                <c:pt idx="721">
                  <c:v>0.692559280040862</c:v>
                </c:pt>
                <c:pt idx="722">
                  <c:v>0.69385762931709</c:v>
                </c:pt>
                <c:pt idx="723">
                  <c:v>0.694962996460143</c:v>
                </c:pt>
                <c:pt idx="724">
                  <c:v>0.69522278038473</c:v>
                </c:pt>
                <c:pt idx="725">
                  <c:v>0.696110649426658</c:v>
                </c:pt>
                <c:pt idx="726">
                  <c:v>0.696386615496642</c:v>
                </c:pt>
                <c:pt idx="727">
                  <c:v>0.696631814197158</c:v>
                </c:pt>
                <c:pt idx="728">
                  <c:v>0.698244839222749</c:v>
                </c:pt>
                <c:pt idx="729">
                  <c:v>0.700173511037051</c:v>
                </c:pt>
                <c:pt idx="730">
                  <c:v>0.700588384738861</c:v>
                </c:pt>
                <c:pt idx="731">
                  <c:v>0.701049601882346</c:v>
                </c:pt>
                <c:pt idx="732">
                  <c:v>0.703305744491138</c:v>
                </c:pt>
                <c:pt idx="733">
                  <c:v>0.703409592931131</c:v>
                </c:pt>
                <c:pt idx="734">
                  <c:v>0.704031330725472</c:v>
                </c:pt>
                <c:pt idx="735">
                  <c:v>0.704422566866829</c:v>
                </c:pt>
                <c:pt idx="736">
                  <c:v>0.705364678068683</c:v>
                </c:pt>
                <c:pt idx="737">
                  <c:v>0.706570354450297</c:v>
                </c:pt>
                <c:pt idx="738">
                  <c:v>0.707015741216099</c:v>
                </c:pt>
                <c:pt idx="739">
                  <c:v>0.70787801960767</c:v>
                </c:pt>
                <c:pt idx="740">
                  <c:v>0.708688198461026</c:v>
                </c:pt>
                <c:pt idx="741">
                  <c:v>0.710591348894641</c:v>
                </c:pt>
                <c:pt idx="742">
                  <c:v>0.712038152105512</c:v>
                </c:pt>
                <c:pt idx="743">
                  <c:v>0.712939057450339</c:v>
                </c:pt>
                <c:pt idx="744">
                  <c:v>0.714123018234983</c:v>
                </c:pt>
                <c:pt idx="745">
                  <c:v>0.715750513721977</c:v>
                </c:pt>
                <c:pt idx="746">
                  <c:v>0.717685239405364</c:v>
                </c:pt>
                <c:pt idx="747">
                  <c:v>0.720622030027223</c:v>
                </c:pt>
                <c:pt idx="748">
                  <c:v>0.720978121889572</c:v>
                </c:pt>
                <c:pt idx="749">
                  <c:v>0.721082124290574</c:v>
                </c:pt>
                <c:pt idx="750">
                  <c:v>0.722682696153305</c:v>
                </c:pt>
                <c:pt idx="751">
                  <c:v>0.723886924217043</c:v>
                </c:pt>
                <c:pt idx="752">
                  <c:v>0.724200747805182</c:v>
                </c:pt>
                <c:pt idx="753">
                  <c:v>0.72538327701606</c:v>
                </c:pt>
                <c:pt idx="754">
                  <c:v>0.725781208507948</c:v>
                </c:pt>
                <c:pt idx="755">
                  <c:v>0.726880129445483</c:v>
                </c:pt>
                <c:pt idx="756">
                  <c:v>0.727829322038116</c:v>
                </c:pt>
                <c:pt idx="757">
                  <c:v>0.728040034800833</c:v>
                </c:pt>
                <c:pt idx="758">
                  <c:v>0.731975037724729</c:v>
                </c:pt>
                <c:pt idx="759">
                  <c:v>0.731996489382083</c:v>
                </c:pt>
                <c:pt idx="760">
                  <c:v>0.73566405678339</c:v>
                </c:pt>
                <c:pt idx="761">
                  <c:v>0.73576752210798</c:v>
                </c:pt>
                <c:pt idx="762">
                  <c:v>0.735769697195063</c:v>
                </c:pt>
                <c:pt idx="763">
                  <c:v>0.73603671734175</c:v>
                </c:pt>
                <c:pt idx="764">
                  <c:v>0.736678304180619</c:v>
                </c:pt>
                <c:pt idx="765">
                  <c:v>0.737535020591083</c:v>
                </c:pt>
                <c:pt idx="766">
                  <c:v>0.737792724780935</c:v>
                </c:pt>
                <c:pt idx="767">
                  <c:v>0.738193804403709</c:v>
                </c:pt>
                <c:pt idx="768">
                  <c:v>0.740885526517092</c:v>
                </c:pt>
                <c:pt idx="769">
                  <c:v>0.741518206821469</c:v>
                </c:pt>
                <c:pt idx="770">
                  <c:v>0.741539415026088</c:v>
                </c:pt>
                <c:pt idx="771">
                  <c:v>0.741589419812561</c:v>
                </c:pt>
                <c:pt idx="772">
                  <c:v>0.74267149713988</c:v>
                </c:pt>
                <c:pt idx="773">
                  <c:v>0.743073676024748</c:v>
                </c:pt>
                <c:pt idx="774">
                  <c:v>0.743349627639201</c:v>
                </c:pt>
                <c:pt idx="775">
                  <c:v>0.74388132119647</c:v>
                </c:pt>
                <c:pt idx="776">
                  <c:v>0.744792492634201</c:v>
                </c:pt>
                <c:pt idx="777">
                  <c:v>0.745104410010211</c:v>
                </c:pt>
                <c:pt idx="778">
                  <c:v>0.745266642165685</c:v>
                </c:pt>
                <c:pt idx="779">
                  <c:v>0.745895066145647</c:v>
                </c:pt>
                <c:pt idx="780">
                  <c:v>0.746685433946461</c:v>
                </c:pt>
                <c:pt idx="781">
                  <c:v>0.747376113805514</c:v>
                </c:pt>
                <c:pt idx="782">
                  <c:v>0.74749997647129</c:v>
                </c:pt>
                <c:pt idx="783">
                  <c:v>0.747749698974687</c:v>
                </c:pt>
                <c:pt idx="784">
                  <c:v>0.748710921420829</c:v>
                </c:pt>
                <c:pt idx="785">
                  <c:v>0.748796179325816</c:v>
                </c:pt>
                <c:pt idx="786">
                  <c:v>0.749000082631284</c:v>
                </c:pt>
                <c:pt idx="787">
                  <c:v>0.749762220565812</c:v>
                </c:pt>
                <c:pt idx="788">
                  <c:v>0.751217330549466</c:v>
                </c:pt>
                <c:pt idx="789">
                  <c:v>0.752182205544525</c:v>
                </c:pt>
                <c:pt idx="790">
                  <c:v>0.752750825595321</c:v>
                </c:pt>
                <c:pt idx="791">
                  <c:v>0.752926786704337</c:v>
                </c:pt>
                <c:pt idx="792">
                  <c:v>0.757868375646639</c:v>
                </c:pt>
                <c:pt idx="793">
                  <c:v>0.759749676548313</c:v>
                </c:pt>
                <c:pt idx="794">
                  <c:v>0.759802080965861</c:v>
                </c:pt>
                <c:pt idx="795">
                  <c:v>0.760682362550213</c:v>
                </c:pt>
                <c:pt idx="796">
                  <c:v>0.761429099871934</c:v>
                </c:pt>
                <c:pt idx="797">
                  <c:v>0.762469544113961</c:v>
                </c:pt>
                <c:pt idx="798">
                  <c:v>0.763368687294456</c:v>
                </c:pt>
                <c:pt idx="799">
                  <c:v>0.764829333116958</c:v>
                </c:pt>
                <c:pt idx="800">
                  <c:v>0.766103884315885</c:v>
                </c:pt>
                <c:pt idx="801">
                  <c:v>0.766140712570933</c:v>
                </c:pt>
                <c:pt idx="802">
                  <c:v>0.766855712974293</c:v>
                </c:pt>
                <c:pt idx="803">
                  <c:v>0.768003104509434</c:v>
                </c:pt>
                <c:pt idx="804">
                  <c:v>0.768019708100713</c:v>
                </c:pt>
                <c:pt idx="805">
                  <c:v>0.768108096610815</c:v>
                </c:pt>
                <c:pt idx="806">
                  <c:v>0.768705383622695</c:v>
                </c:pt>
                <c:pt idx="807">
                  <c:v>0.769328038834661</c:v>
                </c:pt>
                <c:pt idx="808">
                  <c:v>0.769368019615296</c:v>
                </c:pt>
                <c:pt idx="809">
                  <c:v>0.771745213186492</c:v>
                </c:pt>
                <c:pt idx="810">
                  <c:v>0.772019658882157</c:v>
                </c:pt>
                <c:pt idx="811">
                  <c:v>0.772053927839112</c:v>
                </c:pt>
                <c:pt idx="812">
                  <c:v>0.772484328595621</c:v>
                </c:pt>
                <c:pt idx="813">
                  <c:v>0.775569447752493</c:v>
                </c:pt>
                <c:pt idx="814">
                  <c:v>0.776516960889743</c:v>
                </c:pt>
                <c:pt idx="815">
                  <c:v>0.782234020876265</c:v>
                </c:pt>
                <c:pt idx="816">
                  <c:v>0.783242086237227</c:v>
                </c:pt>
                <c:pt idx="817">
                  <c:v>0.783966143296662</c:v>
                </c:pt>
                <c:pt idx="818">
                  <c:v>0.786228902313185</c:v>
                </c:pt>
                <c:pt idx="819">
                  <c:v>0.788273873864091</c:v>
                </c:pt>
                <c:pt idx="820">
                  <c:v>0.793326407478869</c:v>
                </c:pt>
                <c:pt idx="821">
                  <c:v>0.793536348326809</c:v>
                </c:pt>
                <c:pt idx="822">
                  <c:v>0.795794039990763</c:v>
                </c:pt>
                <c:pt idx="823">
                  <c:v>0.796669326166542</c:v>
                </c:pt>
                <c:pt idx="824">
                  <c:v>0.797732174264337</c:v>
                </c:pt>
                <c:pt idx="825">
                  <c:v>0.798780972829876</c:v>
                </c:pt>
                <c:pt idx="826">
                  <c:v>0.799328965005913</c:v>
                </c:pt>
                <c:pt idx="827">
                  <c:v>0.8014739589662</c:v>
                </c:pt>
                <c:pt idx="828">
                  <c:v>0.801907117226015</c:v>
                </c:pt>
                <c:pt idx="829">
                  <c:v>0.803489772851941</c:v>
                </c:pt>
                <c:pt idx="830">
                  <c:v>0.804865663539804</c:v>
                </c:pt>
                <c:pt idx="831">
                  <c:v>0.805370230745062</c:v>
                </c:pt>
                <c:pt idx="832">
                  <c:v>0.806305665873932</c:v>
                </c:pt>
                <c:pt idx="833">
                  <c:v>0.809663799780161</c:v>
                </c:pt>
                <c:pt idx="834">
                  <c:v>0.809735285844268</c:v>
                </c:pt>
                <c:pt idx="835">
                  <c:v>0.810450173811113</c:v>
                </c:pt>
                <c:pt idx="836">
                  <c:v>0.811035966726508</c:v>
                </c:pt>
                <c:pt idx="837">
                  <c:v>0.811757514143633</c:v>
                </c:pt>
                <c:pt idx="838">
                  <c:v>0.813076035640773</c:v>
                </c:pt>
                <c:pt idx="839">
                  <c:v>0.815664050492599</c:v>
                </c:pt>
                <c:pt idx="840">
                  <c:v>0.816623687931486</c:v>
                </c:pt>
                <c:pt idx="841">
                  <c:v>0.818547494667722</c:v>
                </c:pt>
                <c:pt idx="842">
                  <c:v>0.818561923814772</c:v>
                </c:pt>
                <c:pt idx="843">
                  <c:v>0.819647341904715</c:v>
                </c:pt>
                <c:pt idx="844">
                  <c:v>0.821255468518918</c:v>
                </c:pt>
                <c:pt idx="845">
                  <c:v>0.822088734081401</c:v>
                </c:pt>
                <c:pt idx="846">
                  <c:v>0.824633976705394</c:v>
                </c:pt>
                <c:pt idx="847">
                  <c:v>0.825673801963855</c:v>
                </c:pt>
                <c:pt idx="848">
                  <c:v>0.82570577544537</c:v>
                </c:pt>
                <c:pt idx="849">
                  <c:v>0.826734899423249</c:v>
                </c:pt>
                <c:pt idx="850">
                  <c:v>0.827052858797171</c:v>
                </c:pt>
                <c:pt idx="851">
                  <c:v>0.827784908915654</c:v>
                </c:pt>
                <c:pt idx="852">
                  <c:v>0.827785405867173</c:v>
                </c:pt>
                <c:pt idx="853">
                  <c:v>0.828033903287815</c:v>
                </c:pt>
                <c:pt idx="854">
                  <c:v>0.828770789236327</c:v>
                </c:pt>
                <c:pt idx="855">
                  <c:v>0.8288704347325</c:v>
                </c:pt>
                <c:pt idx="856">
                  <c:v>0.829813759713006</c:v>
                </c:pt>
                <c:pt idx="857">
                  <c:v>0.830506768348845</c:v>
                </c:pt>
                <c:pt idx="858">
                  <c:v>0.830536841362046</c:v>
                </c:pt>
                <c:pt idx="859">
                  <c:v>0.830578610466334</c:v>
                </c:pt>
                <c:pt idx="860">
                  <c:v>0.833149998438398</c:v>
                </c:pt>
                <c:pt idx="861">
                  <c:v>0.834455532401423</c:v>
                </c:pt>
                <c:pt idx="862">
                  <c:v>0.834537947450771</c:v>
                </c:pt>
                <c:pt idx="863">
                  <c:v>0.835719849355985</c:v>
                </c:pt>
                <c:pt idx="864">
                  <c:v>0.836404955050526</c:v>
                </c:pt>
                <c:pt idx="865">
                  <c:v>0.836988163726082</c:v>
                </c:pt>
                <c:pt idx="866">
                  <c:v>0.837465240926326</c:v>
                </c:pt>
                <c:pt idx="867">
                  <c:v>0.839613393080869</c:v>
                </c:pt>
                <c:pt idx="868">
                  <c:v>0.84215287852604</c:v>
                </c:pt>
                <c:pt idx="869">
                  <c:v>0.845499200057433</c:v>
                </c:pt>
                <c:pt idx="870">
                  <c:v>0.845642709503424</c:v>
                </c:pt>
                <c:pt idx="871">
                  <c:v>0.84717392389103</c:v>
                </c:pt>
                <c:pt idx="872">
                  <c:v>0.848034188247786</c:v>
                </c:pt>
                <c:pt idx="873">
                  <c:v>0.848342257278849</c:v>
                </c:pt>
                <c:pt idx="874">
                  <c:v>0.856030683501126</c:v>
                </c:pt>
                <c:pt idx="875">
                  <c:v>0.856564847302951</c:v>
                </c:pt>
                <c:pt idx="876">
                  <c:v>0.856875764470889</c:v>
                </c:pt>
                <c:pt idx="877">
                  <c:v>0.856892896778539</c:v>
                </c:pt>
                <c:pt idx="878">
                  <c:v>0.857430726243896</c:v>
                </c:pt>
                <c:pt idx="879">
                  <c:v>0.859569786264325</c:v>
                </c:pt>
                <c:pt idx="880">
                  <c:v>0.861648833704721</c:v>
                </c:pt>
                <c:pt idx="881">
                  <c:v>0.862698094760457</c:v>
                </c:pt>
                <c:pt idx="882">
                  <c:v>0.864183076969724</c:v>
                </c:pt>
                <c:pt idx="883">
                  <c:v>0.865006194621358</c:v>
                </c:pt>
                <c:pt idx="884">
                  <c:v>0.868923369998695</c:v>
                </c:pt>
                <c:pt idx="885">
                  <c:v>0.871769075094228</c:v>
                </c:pt>
                <c:pt idx="886">
                  <c:v>0.871964955539365</c:v>
                </c:pt>
                <c:pt idx="887">
                  <c:v>0.873243596944794</c:v>
                </c:pt>
                <c:pt idx="888">
                  <c:v>0.873770742736107</c:v>
                </c:pt>
                <c:pt idx="889">
                  <c:v>0.875876664715587</c:v>
                </c:pt>
                <c:pt idx="890">
                  <c:v>0.876336189232466</c:v>
                </c:pt>
                <c:pt idx="891">
                  <c:v>0.87731322605807</c:v>
                </c:pt>
                <c:pt idx="892">
                  <c:v>0.87843019962234</c:v>
                </c:pt>
                <c:pt idx="893">
                  <c:v>0.880255078644752</c:v>
                </c:pt>
                <c:pt idx="894">
                  <c:v>0.880667490895664</c:v>
                </c:pt>
                <c:pt idx="895">
                  <c:v>0.883436055215384</c:v>
                </c:pt>
                <c:pt idx="896">
                  <c:v>0.88405251205143</c:v>
                </c:pt>
                <c:pt idx="897">
                  <c:v>0.884100376297732</c:v>
                </c:pt>
                <c:pt idx="898">
                  <c:v>0.885158664690755</c:v>
                </c:pt>
                <c:pt idx="899">
                  <c:v>0.885204890061579</c:v>
                </c:pt>
                <c:pt idx="900">
                  <c:v>0.88554390654453</c:v>
                </c:pt>
                <c:pt idx="901">
                  <c:v>0.886891725413434</c:v>
                </c:pt>
                <c:pt idx="902">
                  <c:v>0.891036737518357</c:v>
                </c:pt>
                <c:pt idx="903">
                  <c:v>0.892190742325104</c:v>
                </c:pt>
                <c:pt idx="904">
                  <c:v>0.892251276254265</c:v>
                </c:pt>
                <c:pt idx="905">
                  <c:v>0.892315782773832</c:v>
                </c:pt>
                <c:pt idx="906">
                  <c:v>0.893170751692037</c:v>
                </c:pt>
                <c:pt idx="907">
                  <c:v>0.8939875041492</c:v>
                </c:pt>
                <c:pt idx="908">
                  <c:v>0.897948311183733</c:v>
                </c:pt>
                <c:pt idx="909">
                  <c:v>0.899815424718176</c:v>
                </c:pt>
                <c:pt idx="910">
                  <c:v>0.900428156768736</c:v>
                </c:pt>
                <c:pt idx="911">
                  <c:v>0.901042669524893</c:v>
                </c:pt>
                <c:pt idx="912">
                  <c:v>0.902415742067115</c:v>
                </c:pt>
                <c:pt idx="913">
                  <c:v>0.904870602529353</c:v>
                </c:pt>
                <c:pt idx="914">
                  <c:v>0.908298217888892</c:v>
                </c:pt>
                <c:pt idx="915">
                  <c:v>0.909196960186202</c:v>
                </c:pt>
                <c:pt idx="916">
                  <c:v>0.909620275764538</c:v>
                </c:pt>
                <c:pt idx="917">
                  <c:v>0.910250551576962</c:v>
                </c:pt>
                <c:pt idx="918">
                  <c:v>0.910867000273198</c:v>
                </c:pt>
                <c:pt idx="919">
                  <c:v>0.912257400240068</c:v>
                </c:pt>
                <c:pt idx="920">
                  <c:v>0.912699299730436</c:v>
                </c:pt>
                <c:pt idx="921">
                  <c:v>0.912736457416665</c:v>
                </c:pt>
                <c:pt idx="922">
                  <c:v>0.915053798251117</c:v>
                </c:pt>
                <c:pt idx="923">
                  <c:v>0.915435567340656</c:v>
                </c:pt>
                <c:pt idx="924">
                  <c:v>0.915545292901795</c:v>
                </c:pt>
                <c:pt idx="925">
                  <c:v>0.918964535462623</c:v>
                </c:pt>
                <c:pt idx="926">
                  <c:v>0.920113633381031</c:v>
                </c:pt>
                <c:pt idx="927">
                  <c:v>0.920247273694484</c:v>
                </c:pt>
                <c:pt idx="928">
                  <c:v>0.92028906486136</c:v>
                </c:pt>
                <c:pt idx="929">
                  <c:v>0.920637526714746</c:v>
                </c:pt>
                <c:pt idx="930">
                  <c:v>0.922693053525533</c:v>
                </c:pt>
                <c:pt idx="931">
                  <c:v>0.92356182159779</c:v>
                </c:pt>
                <c:pt idx="932">
                  <c:v>0.923688595337689</c:v>
                </c:pt>
                <c:pt idx="933">
                  <c:v>0.923979387115649</c:v>
                </c:pt>
                <c:pt idx="934">
                  <c:v>0.927203561017143</c:v>
                </c:pt>
                <c:pt idx="935">
                  <c:v>0.928260907428748</c:v>
                </c:pt>
                <c:pt idx="936">
                  <c:v>0.930477163619765</c:v>
                </c:pt>
                <c:pt idx="937">
                  <c:v>0.933392501442626</c:v>
                </c:pt>
                <c:pt idx="938">
                  <c:v>0.934080135487766</c:v>
                </c:pt>
                <c:pt idx="939">
                  <c:v>0.934208679464614</c:v>
                </c:pt>
                <c:pt idx="940">
                  <c:v>0.934311297775869</c:v>
                </c:pt>
                <c:pt idx="941">
                  <c:v>0.934327463962309</c:v>
                </c:pt>
                <c:pt idx="942">
                  <c:v>0.935155772293868</c:v>
                </c:pt>
                <c:pt idx="943">
                  <c:v>0.93640217092748</c:v>
                </c:pt>
                <c:pt idx="944">
                  <c:v>0.939088683982651</c:v>
                </c:pt>
                <c:pt idx="945">
                  <c:v>0.93979176762476</c:v>
                </c:pt>
                <c:pt idx="946">
                  <c:v>0.940943284522926</c:v>
                </c:pt>
                <c:pt idx="947">
                  <c:v>0.94638089711323</c:v>
                </c:pt>
                <c:pt idx="948">
                  <c:v>0.946383523781039</c:v>
                </c:pt>
                <c:pt idx="949">
                  <c:v>0.949782571114797</c:v>
                </c:pt>
                <c:pt idx="950">
                  <c:v>0.952566659603806</c:v>
                </c:pt>
                <c:pt idx="951">
                  <c:v>0.953816791480885</c:v>
                </c:pt>
                <c:pt idx="952">
                  <c:v>0.954583884256606</c:v>
                </c:pt>
                <c:pt idx="953">
                  <c:v>0.954701933530529</c:v>
                </c:pt>
                <c:pt idx="954">
                  <c:v>0.954945330300173</c:v>
                </c:pt>
                <c:pt idx="955">
                  <c:v>0.956934783789799</c:v>
                </c:pt>
                <c:pt idx="956">
                  <c:v>0.957463080313451</c:v>
                </c:pt>
                <c:pt idx="957">
                  <c:v>0.957782390319849</c:v>
                </c:pt>
                <c:pt idx="958">
                  <c:v>0.9610421251056</c:v>
                </c:pt>
                <c:pt idx="959">
                  <c:v>0.961192313902506</c:v>
                </c:pt>
                <c:pt idx="960">
                  <c:v>0.961562209186121</c:v>
                </c:pt>
                <c:pt idx="961">
                  <c:v>0.961941192905756</c:v>
                </c:pt>
                <c:pt idx="962">
                  <c:v>0.962082575666223</c:v>
                </c:pt>
                <c:pt idx="963">
                  <c:v>0.962590754839057</c:v>
                </c:pt>
                <c:pt idx="964">
                  <c:v>0.964619743535292</c:v>
                </c:pt>
                <c:pt idx="965">
                  <c:v>0.965015322108998</c:v>
                </c:pt>
                <c:pt idx="966">
                  <c:v>0.966502374541955</c:v>
                </c:pt>
                <c:pt idx="967">
                  <c:v>0.969881941825811</c:v>
                </c:pt>
                <c:pt idx="968">
                  <c:v>0.971294018669392</c:v>
                </c:pt>
                <c:pt idx="969">
                  <c:v>0.973117585613597</c:v>
                </c:pt>
                <c:pt idx="970">
                  <c:v>0.973811123463207</c:v>
                </c:pt>
                <c:pt idx="971">
                  <c:v>0.974764583545297</c:v>
                </c:pt>
                <c:pt idx="972">
                  <c:v>0.97597359318145</c:v>
                </c:pt>
                <c:pt idx="973">
                  <c:v>0.979960902772918</c:v>
                </c:pt>
                <c:pt idx="974">
                  <c:v>0.982304114425446</c:v>
                </c:pt>
                <c:pt idx="975">
                  <c:v>0.983614355668608</c:v>
                </c:pt>
                <c:pt idx="976">
                  <c:v>0.983958052506562</c:v>
                </c:pt>
                <c:pt idx="977">
                  <c:v>0.984408853736942</c:v>
                </c:pt>
                <c:pt idx="978">
                  <c:v>0.984583626056118</c:v>
                </c:pt>
                <c:pt idx="979">
                  <c:v>0.986141850204658</c:v>
                </c:pt>
                <c:pt idx="980">
                  <c:v>0.986679941512498</c:v>
                </c:pt>
                <c:pt idx="981">
                  <c:v>0.987676029071796</c:v>
                </c:pt>
                <c:pt idx="982">
                  <c:v>0.988750052735558</c:v>
                </c:pt>
                <c:pt idx="983">
                  <c:v>0.988758855640613</c:v>
                </c:pt>
                <c:pt idx="984">
                  <c:v>0.988824872991087</c:v>
                </c:pt>
                <c:pt idx="985">
                  <c:v>0.989640759668943</c:v>
                </c:pt>
                <c:pt idx="986">
                  <c:v>0.990623019154488</c:v>
                </c:pt>
                <c:pt idx="987">
                  <c:v>0.992345067223925</c:v>
                </c:pt>
                <c:pt idx="988">
                  <c:v>0.992794376881813</c:v>
                </c:pt>
                <c:pt idx="989">
                  <c:v>0.993782766372521</c:v>
                </c:pt>
                <c:pt idx="990">
                  <c:v>0.994947065696663</c:v>
                </c:pt>
                <c:pt idx="991">
                  <c:v>0.995413398032555</c:v>
                </c:pt>
                <c:pt idx="992">
                  <c:v>0.995950698856437</c:v>
                </c:pt>
                <c:pt idx="993">
                  <c:v>0.996161761044387</c:v>
                </c:pt>
                <c:pt idx="994">
                  <c:v>0.997118845900666</c:v>
                </c:pt>
                <c:pt idx="995">
                  <c:v>0.997638149170338</c:v>
                </c:pt>
                <c:pt idx="996">
                  <c:v>0.99862890499866</c:v>
                </c:pt>
                <c:pt idx="997">
                  <c:v>0.998943085326373</c:v>
                </c:pt>
                <c:pt idx="998">
                  <c:v>0.999543523874087</c:v>
                </c:pt>
                <c:pt idx="999">
                  <c:v>0.999704408786898</c:v>
                </c:pt>
              </c:numCache>
            </c:numRef>
          </c:yVal>
          <c:smooth val="0"/>
        </c:ser>
        <c:axId val="20717290"/>
        <c:axId val="73296938"/>
      </c:scatterChart>
      <c:valAx>
        <c:axId val="20717290"/>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Return</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96938"/>
        <c:crosses val="autoZero"/>
        <c:crossBetween val="midCat"/>
      </c:valAx>
      <c:valAx>
        <c:axId val="7329693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CDF</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71729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KS statistic D (lower = better)</a:t>
            </a:r>
          </a:p>
        </c:rich>
      </c:tx>
      <c:overlay val="0"/>
      <c:spPr>
        <a:noFill/>
        <a:ln w="0">
          <a:noFill/>
        </a:ln>
      </c:spPr>
    </c:title>
    <c:autoTitleDeleted val="0"/>
    <c:plotArea>
      <c:barChart>
        <c:barDir val="col"/>
        <c:grouping val="clustered"/>
        <c:varyColors val="0"/>
        <c:ser>
          <c:idx val="0"/>
          <c:order val="0"/>
          <c:tx>
            <c:strRef>
              <c:f>BTC_Fit!F5</c:f>
              <c:strCache>
                <c:ptCount val="1"/>
                <c:pt idx="0">
                  <c:v>KS statistic D</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BTC_Fit!$E$6:$E$9</c:f>
              <c:strCache>
                <c:ptCount val="4"/>
                <c:pt idx="0">
                  <c:v>Normal</c:v>
                </c:pt>
                <c:pt idx="1">
                  <c:v>Student-t</c:v>
                </c:pt>
                <c:pt idx="2">
                  <c:v>Laplace</c:v>
                </c:pt>
                <c:pt idx="3">
                  <c:v>Logistic</c:v>
                </c:pt>
              </c:strCache>
            </c:strRef>
          </c:cat>
          <c:val>
            <c:numRef>
              <c:f>BTC_Fit!$F$6:$F$9</c:f>
              <c:numCache>
                <c:formatCode>0.0000</c:formatCode>
                <c:ptCount val="4"/>
                <c:pt idx="0">
                  <c:v>0.0631746149487305</c:v>
                </c:pt>
                <c:pt idx="1">
                  <c:v>0.0409422891630875</c:v>
                </c:pt>
                <c:pt idx="2">
                  <c:v>0.018102330197009</c:v>
                </c:pt>
                <c:pt idx="3">
                  <c:v>0.0419313566185233</c:v>
                </c:pt>
              </c:numCache>
            </c:numRef>
          </c:val>
        </c:ser>
        <c:gapWidth val="150"/>
        <c:overlap val="0"/>
        <c:axId val="20816190"/>
        <c:axId val="69876062"/>
      </c:barChart>
      <c:catAx>
        <c:axId val="208161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876062"/>
        <c:crosses val="autoZero"/>
        <c:auto val="1"/>
        <c:lblAlgn val="ctr"/>
        <c:lblOffset val="100"/>
        <c:noMultiLvlLbl val="0"/>
      </c:catAx>
      <c:valAx>
        <c:axId val="69876062"/>
        <c:scaling>
          <c:orientation val="minMax"/>
        </c:scaling>
        <c:delete val="0"/>
        <c:axPos val="l"/>
        <c:majorGridlines>
          <c:spPr>
            <a:ln w="9360">
              <a:solidFill>
                <a:srgbClr val="878787"/>
              </a:solidFill>
              <a:round/>
            </a:ln>
          </c:spPr>
        </c:majorGridlines>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8161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0</xdr:rowOff>
    </xdr:from>
    <xdr:to>
      <xdr:col>18</xdr:col>
      <xdr:colOff>492120</xdr:colOff>
      <xdr:row>18</xdr:row>
      <xdr:rowOff>11520</xdr:rowOff>
    </xdr:to>
    <xdr:graphicFrame>
      <xdr:nvGraphicFramePr>
        <xdr:cNvPr id="0" name="Chart 1"/>
        <xdr:cNvGraphicFramePr/>
      </xdr:nvGraphicFramePr>
      <xdr:xfrm>
        <a:off x="12828240" y="49536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20</xdr:row>
      <xdr:rowOff>0</xdr:rowOff>
    </xdr:from>
    <xdr:to>
      <xdr:col>16</xdr:col>
      <xdr:colOff>275400</xdr:colOff>
      <xdr:row>33</xdr:row>
      <xdr:rowOff>43200</xdr:rowOff>
    </xdr:to>
    <xdr:graphicFrame>
      <xdr:nvGraphicFramePr>
        <xdr:cNvPr id="1" name="Chart 2"/>
        <xdr:cNvGraphicFramePr/>
      </xdr:nvGraphicFramePr>
      <xdr:xfrm>
        <a:off x="12828240" y="3924360"/>
        <a:ext cx="431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24" hidden="false" customHeight="true" outlineLevel="0" collapsed="false">
      <c r="A1" s="1" t="s">
        <v>0</v>
      </c>
      <c r="B1" s="2"/>
      <c r="C1" s="2"/>
    </row>
    <row r="3" customFormat="false" ht="45" hidden="false" customHeight="true" outlineLevel="0" collapsed="false">
      <c r="A3" s="3" t="s">
        <v>1</v>
      </c>
      <c r="B3" s="4" t="s">
        <v>2</v>
      </c>
    </row>
    <row r="4" customFormat="false" ht="30" hidden="false" customHeight="true" outlineLevel="0" collapsed="false">
      <c r="A4" s="3" t="s">
        <v>3</v>
      </c>
      <c r="B4" s="4" t="s">
        <v>4</v>
      </c>
    </row>
    <row r="5" customFormat="false" ht="30" hidden="false" customHeight="true" outlineLevel="0" collapsed="false">
      <c r="A5" s="3" t="s">
        <v>5</v>
      </c>
      <c r="B5" s="4" t="s">
        <v>6</v>
      </c>
    </row>
    <row r="6" customFormat="false" ht="45" hidden="false" customHeight="true" outlineLevel="0" collapsed="false">
      <c r="A6" s="3" t="s">
        <v>7</v>
      </c>
      <c r="B6" s="4" t="s">
        <v>8</v>
      </c>
    </row>
    <row r="7" customFormat="false" ht="45" hidden="false" customHeight="true" outlineLevel="0" collapsed="false">
      <c r="A7" s="3" t="s">
        <v>9</v>
      </c>
      <c r="B7" s="4" t="s">
        <v>10</v>
      </c>
    </row>
    <row r="8" customFormat="false" ht="30" hidden="false" customHeight="true" outlineLevel="0" collapsed="false">
      <c r="A8" s="3" t="s">
        <v>11</v>
      </c>
      <c r="B8" s="4" t="s">
        <v>12</v>
      </c>
    </row>
    <row r="9" customFormat="false" ht="45" hidden="false" customHeight="true" outlineLevel="0" collapsed="false">
      <c r="A9" s="3" t="s">
        <v>13</v>
      </c>
      <c r="B9" s="4" t="s">
        <v>14</v>
      </c>
    </row>
    <row r="10" customFormat="false" ht="60" hidden="false" customHeight="true" outlineLevel="0" collapsed="false">
      <c r="A10" s="3" t="s">
        <v>15</v>
      </c>
      <c r="B10" s="4" t="s">
        <v>16</v>
      </c>
    </row>
    <row r="11" customFormat="false" ht="45" hidden="false" customHeight="true" outlineLevel="0" collapsed="false">
      <c r="A11" s="3" t="s">
        <v>17</v>
      </c>
      <c r="B11" s="4" t="s">
        <v>18</v>
      </c>
    </row>
    <row r="12" customFormat="false" ht="30" hidden="false" customHeight="true" outlineLevel="0" collapsed="false">
      <c r="A12" s="3" t="s">
        <v>19</v>
      </c>
      <c r="B12"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18"/>
  </cols>
  <sheetData>
    <row r="1" customFormat="false" ht="15" hidden="false" customHeight="false" outlineLevel="0" collapsed="false">
      <c r="A1" s="5" t="s">
        <v>21</v>
      </c>
      <c r="B1" s="5" t="s">
        <v>22</v>
      </c>
      <c r="C1" s="5" t="s">
        <v>23</v>
      </c>
      <c r="D1" s="5" t="s">
        <v>24</v>
      </c>
      <c r="F1" s="6" t="s">
        <v>25</v>
      </c>
    </row>
    <row r="2" customFormat="false" ht="15" hidden="false" customHeight="false" outlineLevel="0" collapsed="false">
      <c r="A2" s="7" t="s">
        <v>26</v>
      </c>
      <c r="B2" s="8" t="n">
        <v>100</v>
      </c>
    </row>
    <row r="3" customFormat="false" ht="15" hidden="false" customHeight="false" outlineLevel="0" collapsed="false">
      <c r="A3" s="7" t="s">
        <v>27</v>
      </c>
      <c r="B3" s="8" t="n">
        <v>100.071449</v>
      </c>
      <c r="C3" s="9" t="n">
        <f aca="false">IF(AND(ISNUMBER(B3),ISNUMBER(B2),B2&lt;&gt;0),B3/B2-1,"")</f>
        <v>0.000714490000000012</v>
      </c>
      <c r="D3" s="9" t="n">
        <f aca="false">IF(ISNUMBER(C3),ABS(C3-BTC_Fit!$B$9),"")</f>
        <v>0.000723853260284124</v>
      </c>
    </row>
    <row r="4" customFormat="false" ht="15" hidden="false" customHeight="false" outlineLevel="0" collapsed="false">
      <c r="A4" s="7" t="s">
        <v>28</v>
      </c>
      <c r="B4" s="8" t="n">
        <v>100.059706</v>
      </c>
      <c r="C4" s="9" t="n">
        <f aca="false">IF(AND(ISNUMBER(B4),ISNUMBER(B3),B3&lt;&gt;0),B4/B3-1,"")</f>
        <v>-0.000117346157344045</v>
      </c>
      <c r="D4" s="9" t="n">
        <f aca="false">IF(ISNUMBER(C4),ABS(C4-BTC_Fit!$B$9),"")</f>
        <v>0.000107982897059933</v>
      </c>
    </row>
    <row r="5" customFormat="false" ht="15" hidden="false" customHeight="false" outlineLevel="0" collapsed="false">
      <c r="A5" s="7" t="s">
        <v>29</v>
      </c>
      <c r="B5" s="8" t="n">
        <v>100.173444</v>
      </c>
      <c r="C5" s="9" t="n">
        <f aca="false">IF(AND(ISNUMBER(B5),ISNUMBER(B4),B4&lt;&gt;0),B5/B4-1,"")</f>
        <v>0.00113670132110921</v>
      </c>
      <c r="D5" s="9" t="n">
        <f aca="false">IF(ISNUMBER(C5),ABS(C5-BTC_Fit!$B$9),"")</f>
        <v>0.00114606458139332</v>
      </c>
    </row>
    <row r="6" customFormat="false" ht="15" hidden="false" customHeight="false" outlineLevel="0" collapsed="false">
      <c r="A6" s="7" t="s">
        <v>30</v>
      </c>
      <c r="B6" s="8" t="n">
        <v>100.21871</v>
      </c>
      <c r="C6" s="9" t="n">
        <f aca="false">IF(AND(ISNUMBER(B6),ISNUMBER(B5),B5&lt;&gt;0),B6/B5-1,"")</f>
        <v>0.000451876247760774</v>
      </c>
      <c r="D6" s="9" t="n">
        <f aca="false">IF(ISNUMBER(C6),ABS(C6-BTC_Fit!$B$9),"")</f>
        <v>0.000461239508044886</v>
      </c>
    </row>
    <row r="7" customFormat="false" ht="15" hidden="false" customHeight="false" outlineLevel="0" collapsed="false">
      <c r="A7" s="7" t="s">
        <v>31</v>
      </c>
      <c r="B7" s="8" t="n">
        <v>100.068133</v>
      </c>
      <c r="C7" s="9" t="n">
        <f aca="false">IF(AND(ISNUMBER(B7),ISNUMBER(B6),B6&lt;&gt;0),B7/B6-1,"")</f>
        <v>-0.00150248391742414</v>
      </c>
      <c r="D7" s="9" t="n">
        <f aca="false">IF(ISNUMBER(C7),ABS(C7-BTC_Fit!$B$9),"")</f>
        <v>0.00149312065714002</v>
      </c>
    </row>
    <row r="8" customFormat="false" ht="15" hidden="false" customHeight="false" outlineLevel="0" collapsed="false">
      <c r="A8" s="7" t="s">
        <v>32</v>
      </c>
      <c r="B8" s="8" t="n">
        <v>100.340203</v>
      </c>
      <c r="C8" s="9" t="n">
        <f aca="false">IF(AND(ISNUMBER(B8),ISNUMBER(B7),B7&lt;&gt;0),B8/B7-1,"")</f>
        <v>0.00271884756758678</v>
      </c>
      <c r="D8" s="9" t="n">
        <f aca="false">IF(ISNUMBER(C8),ABS(C8-BTC_Fit!$B$9),"")</f>
        <v>0.00272821082787089</v>
      </c>
    </row>
    <row r="9" customFormat="false" ht="15" hidden="false" customHeight="false" outlineLevel="0" collapsed="false">
      <c r="A9" s="7" t="s">
        <v>33</v>
      </c>
      <c r="B9" s="8" t="n">
        <v>100.406915</v>
      </c>
      <c r="C9" s="9" t="n">
        <f aca="false">IF(AND(ISNUMBER(B9),ISNUMBER(B8),B8&lt;&gt;0),B9/B8-1,"")</f>
        <v>0.000664858132686907</v>
      </c>
      <c r="D9" s="9" t="n">
        <f aca="false">IF(ISNUMBER(C9),ABS(C9-BTC_Fit!$B$9),"")</f>
        <v>0.00067422139297102</v>
      </c>
    </row>
    <row r="10" customFormat="false" ht="15" hidden="false" customHeight="false" outlineLevel="0" collapsed="false">
      <c r="A10" s="7" t="s">
        <v>34</v>
      </c>
      <c r="B10" s="8" t="n">
        <v>100.48363</v>
      </c>
      <c r="C10" s="9" t="n">
        <f aca="false">IF(AND(ISNUMBER(B10),ISNUMBER(B9),B9&lt;&gt;0),B10/B9-1,"")</f>
        <v>0.00076404100255445</v>
      </c>
      <c r="D10" s="9" t="n">
        <f aca="false">IF(ISNUMBER(C10),ABS(C10-BTC_Fit!$B$9),"")</f>
        <v>0.000773404262838562</v>
      </c>
    </row>
    <row r="11" customFormat="false" ht="15" hidden="false" customHeight="false" outlineLevel="0" collapsed="false">
      <c r="A11" s="7" t="s">
        <v>35</v>
      </c>
      <c r="B11" s="8" t="n">
        <v>100.360485</v>
      </c>
      <c r="C11" s="9" t="n">
        <f aca="false">IF(AND(ISNUMBER(B11),ISNUMBER(B10),B10&lt;&gt;0),B11/B10-1,"")</f>
        <v>-0.00122552300310019</v>
      </c>
      <c r="D11" s="9" t="n">
        <f aca="false">IF(ISNUMBER(C11),ABS(C11-BTC_Fit!$B$9),"")</f>
        <v>0.00121615974281608</v>
      </c>
    </row>
    <row r="12" customFormat="false" ht="15" hidden="false" customHeight="false" outlineLevel="0" collapsed="false">
      <c r="A12" s="7" t="s">
        <v>36</v>
      </c>
      <c r="B12" s="8" t="n">
        <v>100.351046</v>
      </c>
      <c r="C12" s="9" t="n">
        <f aca="false">IF(AND(ISNUMBER(B12),ISNUMBER(B11),B11&lt;&gt;0),B12/B11-1,"")</f>
        <v>-9.40509603953865E-005</v>
      </c>
      <c r="D12" s="9" t="n">
        <f aca="false">IF(ISNUMBER(C12),ABS(C12-BTC_Fit!$B$9),"")</f>
        <v>8.46877001112745E-005</v>
      </c>
    </row>
    <row r="13" customFormat="false" ht="15" hidden="false" customHeight="false" outlineLevel="0" collapsed="false">
      <c r="A13" s="7" t="s">
        <v>37</v>
      </c>
      <c r="B13" s="8" t="n">
        <v>100.324046</v>
      </c>
      <c r="C13" s="9" t="n">
        <f aca="false">IF(AND(ISNUMBER(B13),ISNUMBER(B12),B12&lt;&gt;0),B13/B12-1,"")</f>
        <v>-0.000269055491459502</v>
      </c>
      <c r="D13" s="9" t="n">
        <f aca="false">IF(ISNUMBER(C13),ABS(C13-BTC_Fit!$B$9),"")</f>
        <v>0.00025969223117539</v>
      </c>
    </row>
    <row r="14" customFormat="false" ht="15" hidden="false" customHeight="false" outlineLevel="0" collapsed="false">
      <c r="A14" s="7" t="s">
        <v>38</v>
      </c>
      <c r="B14" s="8" t="n">
        <v>100.49749</v>
      </c>
      <c r="C14" s="9" t="n">
        <f aca="false">IF(AND(ISNUMBER(B14),ISNUMBER(B13),B13&lt;&gt;0),B14/B13-1,"")</f>
        <v>0.00172883777035859</v>
      </c>
      <c r="D14" s="9" t="n">
        <f aca="false">IF(ISNUMBER(C14),ABS(C14-BTC_Fit!$B$9),"")</f>
        <v>0.00173820103064271</v>
      </c>
    </row>
    <row r="15" customFormat="false" ht="15" hidden="false" customHeight="false" outlineLevel="0" collapsed="false">
      <c r="A15" s="7" t="s">
        <v>39</v>
      </c>
      <c r="B15" s="8" t="n">
        <v>100.528179</v>
      </c>
      <c r="C15" s="9" t="n">
        <f aca="false">IF(AND(ISNUMBER(B15),ISNUMBER(B14),B14&lt;&gt;0),B15/B14-1,"")</f>
        <v>0.000305370810753436</v>
      </c>
      <c r="D15" s="9" t="n">
        <f aca="false">IF(ISNUMBER(C15),ABS(C15-BTC_Fit!$B$9),"")</f>
        <v>0.000314734071037548</v>
      </c>
    </row>
    <row r="16" customFormat="false" ht="15" hidden="false" customHeight="false" outlineLevel="0" collapsed="false">
      <c r="A16" s="7" t="s">
        <v>40</v>
      </c>
      <c r="B16" s="8" t="n">
        <v>100.622012</v>
      </c>
      <c r="C16" s="9" t="n">
        <f aca="false">IF(AND(ISNUMBER(B16),ISNUMBER(B15),B15&lt;&gt;0),B16/B15-1,"")</f>
        <v>0.000933399977333771</v>
      </c>
      <c r="D16" s="9" t="n">
        <f aca="false">IF(ISNUMBER(C16),ABS(C16-BTC_Fit!$B$9),"")</f>
        <v>0.000942763237617883</v>
      </c>
    </row>
    <row r="17" customFormat="false" ht="15" hidden="false" customHeight="false" outlineLevel="0" collapsed="false">
      <c r="A17" s="7" t="s">
        <v>41</v>
      </c>
      <c r="B17" s="8" t="n">
        <v>100.611136</v>
      </c>
      <c r="C17" s="9" t="n">
        <f aca="false">IF(AND(ISNUMBER(B17),ISNUMBER(B16),B16&lt;&gt;0),B17/B16-1,"")</f>
        <v>-0.000108087681649605</v>
      </c>
      <c r="D17" s="9" t="n">
        <f aca="false">IF(ISNUMBER(C17),ABS(C17-BTC_Fit!$B$9),"")</f>
        <v>9.87244213654925E-005</v>
      </c>
    </row>
    <row r="18" customFormat="false" ht="15" hidden="false" customHeight="false" outlineLevel="0" collapsed="false">
      <c r="A18" s="7" t="s">
        <v>42</v>
      </c>
      <c r="B18" s="8" t="n">
        <v>100.539727</v>
      </c>
      <c r="C18" s="9" t="n">
        <f aca="false">IF(AND(ISNUMBER(B18),ISNUMBER(B17),B17&lt;&gt;0),B18/B17-1,"")</f>
        <v>-0.000709752447283774</v>
      </c>
      <c r="D18" s="9" t="n">
        <f aca="false">IF(ISNUMBER(C18),ABS(C18-BTC_Fit!$B$9),"")</f>
        <v>0.000700389186999662</v>
      </c>
    </row>
    <row r="19" customFormat="false" ht="15" hidden="false" customHeight="false" outlineLevel="0" collapsed="false">
      <c r="A19" s="7" t="s">
        <v>43</v>
      </c>
      <c r="B19" s="8" t="n">
        <v>100.550187</v>
      </c>
      <c r="C19" s="9" t="n">
        <f aca="false">IF(AND(ISNUMBER(B19),ISNUMBER(B18),B18&lt;&gt;0),B19/B18-1,"")</f>
        <v>0.000104038476253177</v>
      </c>
      <c r="D19" s="9" t="n">
        <f aca="false">IF(ISNUMBER(C19),ABS(C19-BTC_Fit!$B$9),"")</f>
        <v>0.000113401736537289</v>
      </c>
    </row>
    <row r="20" customFormat="false" ht="15" hidden="false" customHeight="false" outlineLevel="0" collapsed="false">
      <c r="A20" s="7" t="s">
        <v>44</v>
      </c>
      <c r="B20" s="8" t="n">
        <v>100.363895</v>
      </c>
      <c r="C20" s="9" t="n">
        <f aca="false">IF(AND(ISNUMBER(B20),ISNUMBER(B19),B19&lt;&gt;0),B20/B19-1,"")</f>
        <v>-0.00185272653943447</v>
      </c>
      <c r="D20" s="9" t="n">
        <f aca="false">IF(ISNUMBER(C20),ABS(C20-BTC_Fit!$B$9),"")</f>
        <v>0.00184336327915036</v>
      </c>
    </row>
    <row r="21" customFormat="false" ht="15" hidden="false" customHeight="false" outlineLevel="0" collapsed="false">
      <c r="A21" s="7" t="s">
        <v>45</v>
      </c>
      <c r="B21" s="8" t="n">
        <v>100.460092</v>
      </c>
      <c r="C21" s="9" t="n">
        <f aca="false">IF(AND(ISNUMBER(B21),ISNUMBER(B20),B20&lt;&gt;0),B21/B20-1,"")</f>
        <v>0.000958482131447891</v>
      </c>
      <c r="D21" s="9" t="n">
        <f aca="false">IF(ISNUMBER(C21),ABS(C21-BTC_Fit!$B$9),"")</f>
        <v>0.000967845391732003</v>
      </c>
    </row>
    <row r="22" customFormat="false" ht="15" hidden="false" customHeight="false" outlineLevel="0" collapsed="false">
      <c r="A22" s="7" t="s">
        <v>46</v>
      </c>
      <c r="B22" s="8" t="n">
        <v>100.487723</v>
      </c>
      <c r="C22" s="9" t="n">
        <f aca="false">IF(AND(ISNUMBER(B22),ISNUMBER(B21),B21&lt;&gt;0),B22/B21-1,"")</f>
        <v>0.000275044542065617</v>
      </c>
      <c r="D22" s="9" t="n">
        <f aca="false">IF(ISNUMBER(C22),ABS(C22-BTC_Fit!$B$9),"")</f>
        <v>0.000284407802349729</v>
      </c>
    </row>
    <row r="23" customFormat="false" ht="15" hidden="false" customHeight="false" outlineLevel="0" collapsed="false">
      <c r="A23" s="7" t="s">
        <v>47</v>
      </c>
      <c r="B23" s="8" t="n">
        <v>100.553385</v>
      </c>
      <c r="C23" s="9" t="n">
        <f aca="false">IF(AND(ISNUMBER(B23),ISNUMBER(B22),B22&lt;&gt;0),B23/B22-1,"")</f>
        <v>0.000653433056692965</v>
      </c>
      <c r="D23" s="9" t="n">
        <f aca="false">IF(ISNUMBER(C23),ABS(C23-BTC_Fit!$B$9),"")</f>
        <v>0.000662796316977077</v>
      </c>
    </row>
    <row r="24" customFormat="false" ht="15" hidden="false" customHeight="false" outlineLevel="0" collapsed="false">
      <c r="A24" s="7" t="s">
        <v>48</v>
      </c>
      <c r="B24" s="8" t="n">
        <v>100.522269</v>
      </c>
      <c r="C24" s="9" t="n">
        <f aca="false">IF(AND(ISNUMBER(B24),ISNUMBER(B23),B23&lt;&gt;0),B24/B23-1,"")</f>
        <v>-0.000309447563600296</v>
      </c>
      <c r="D24" s="9" t="n">
        <f aca="false">IF(ISNUMBER(C24),ABS(C24-BTC_Fit!$B$9),"")</f>
        <v>0.000300084303316184</v>
      </c>
    </row>
    <row r="25" customFormat="false" ht="15" hidden="false" customHeight="false" outlineLevel="0" collapsed="false">
      <c r="A25" s="7" t="s">
        <v>49</v>
      </c>
      <c r="B25" s="8" t="n">
        <v>100.778929</v>
      </c>
      <c r="C25" s="9" t="n">
        <f aca="false">IF(AND(ISNUMBER(B25),ISNUMBER(B24),B24&lt;&gt;0),B25/B24-1,"")</f>
        <v>0.00255326508795783</v>
      </c>
      <c r="D25" s="9" t="n">
        <f aca="false">IF(ISNUMBER(C25),ABS(C25-BTC_Fit!$B$9),"")</f>
        <v>0.00256262834824195</v>
      </c>
    </row>
    <row r="26" customFormat="false" ht="15" hidden="false" customHeight="false" outlineLevel="0" collapsed="false">
      <c r="A26" s="7" t="s">
        <v>50</v>
      </c>
      <c r="B26" s="8" t="n">
        <v>100.918872</v>
      </c>
      <c r="C26" s="9" t="n">
        <f aca="false">IF(AND(ISNUMBER(B26),ISNUMBER(B25),B25&lt;&gt;0),B26/B25-1,"")</f>
        <v>0.00138861368530696</v>
      </c>
      <c r="D26" s="9" t="n">
        <f aca="false">IF(ISNUMBER(C26),ABS(C26-BTC_Fit!$B$9),"")</f>
        <v>0.00139797694559107</v>
      </c>
    </row>
    <row r="27" customFormat="false" ht="15" hidden="false" customHeight="false" outlineLevel="0" collapsed="false">
      <c r="A27" s="7" t="s">
        <v>51</v>
      </c>
      <c r="B27" s="8" t="n">
        <v>100.992775</v>
      </c>
      <c r="C27" s="9" t="n">
        <f aca="false">IF(AND(ISNUMBER(B27),ISNUMBER(B26),B26&lt;&gt;0),B27/B26-1,"")</f>
        <v>0.000732301090325294</v>
      </c>
      <c r="D27" s="9" t="n">
        <f aca="false">IF(ISNUMBER(C27),ABS(C27-BTC_Fit!$B$9),"")</f>
        <v>0.000741664350609406</v>
      </c>
    </row>
    <row r="28" customFormat="false" ht="15" hidden="false" customHeight="false" outlineLevel="0" collapsed="false">
      <c r="A28" s="7" t="s">
        <v>52</v>
      </c>
      <c r="B28" s="8" t="n">
        <v>100.90702</v>
      </c>
      <c r="C28" s="9" t="n">
        <f aca="false">IF(AND(ISNUMBER(B28),ISNUMBER(B27),B27&lt;&gt;0),B28/B27-1,"")</f>
        <v>-0.000849120147455973</v>
      </c>
      <c r="D28" s="9" t="n">
        <f aca="false">IF(ISNUMBER(C28),ABS(C28-BTC_Fit!$B$9),"")</f>
        <v>0.000839756887171861</v>
      </c>
    </row>
    <row r="29" customFormat="false" ht="15" hidden="false" customHeight="false" outlineLevel="0" collapsed="false">
      <c r="A29" s="7" t="s">
        <v>53</v>
      </c>
      <c r="B29" s="8" t="n">
        <v>100.900765</v>
      </c>
      <c r="C29" s="9" t="n">
        <f aca="false">IF(AND(ISNUMBER(B29),ISNUMBER(B28),B28&lt;&gt;0),B29/B28-1,"")</f>
        <v>-6.19877586316431E-005</v>
      </c>
      <c r="D29" s="9" t="n">
        <f aca="false">IF(ISNUMBER(C29),ABS(C29-BTC_Fit!$B$9),"")</f>
        <v>5.2624498347531E-005</v>
      </c>
    </row>
    <row r="30" customFormat="false" ht="15" hidden="false" customHeight="false" outlineLevel="0" collapsed="false">
      <c r="A30" s="7" t="s">
        <v>54</v>
      </c>
      <c r="B30" s="8" t="n">
        <v>100.679651</v>
      </c>
      <c r="C30" s="9" t="n">
        <f aca="false">IF(AND(ISNUMBER(B30),ISNUMBER(B29),B29&lt;&gt;0),B30/B29-1,"")</f>
        <v>-0.00219140063011414</v>
      </c>
      <c r="D30" s="9" t="n">
        <f aca="false">IF(ISNUMBER(C30),ABS(C30-BTC_Fit!$B$9),"")</f>
        <v>0.00218203736983003</v>
      </c>
    </row>
    <row r="31" customFormat="false" ht="15" hidden="false" customHeight="false" outlineLevel="0" collapsed="false">
      <c r="A31" s="7" t="s">
        <v>55</v>
      </c>
      <c r="B31" s="8" t="n">
        <v>100.573112</v>
      </c>
      <c r="C31" s="9" t="n">
        <f aca="false">IF(AND(ISNUMBER(B31),ISNUMBER(B30),B30&lt;&gt;0),B31/B30-1,"")</f>
        <v>-0.00105819794707085</v>
      </c>
      <c r="D31" s="9" t="n">
        <f aca="false">IF(ISNUMBER(C31),ABS(C31-BTC_Fit!$B$9),"")</f>
        <v>0.00104883468678674</v>
      </c>
    </row>
    <row r="32" customFormat="false" ht="15" hidden="false" customHeight="false" outlineLevel="0" collapsed="false">
      <c r="A32" s="7" t="s">
        <v>56</v>
      </c>
      <c r="B32" s="8" t="n">
        <v>100.614375</v>
      </c>
      <c r="C32" s="9" t="n">
        <f aca="false">IF(AND(ISNUMBER(B32),ISNUMBER(B31),B31&lt;&gt;0),B32/B31-1,"")</f>
        <v>0.000410278643858675</v>
      </c>
      <c r="D32" s="9" t="n">
        <f aca="false">IF(ISNUMBER(C32),ABS(C32-BTC_Fit!$B$9),"")</f>
        <v>0.000419641904142787</v>
      </c>
    </row>
    <row r="33" customFormat="false" ht="15" hidden="false" customHeight="false" outlineLevel="0" collapsed="false">
      <c r="A33" s="7" t="s">
        <v>57</v>
      </c>
      <c r="B33" s="8" t="n">
        <v>100.675263</v>
      </c>
      <c r="C33" s="9" t="n">
        <f aca="false">IF(AND(ISNUMBER(B33),ISNUMBER(B32),B32&lt;&gt;0),B33/B32-1,"")</f>
        <v>0.000605162035743012</v>
      </c>
      <c r="D33" s="9" t="n">
        <f aca="false">IF(ISNUMBER(C33),ABS(C33-BTC_Fit!$B$9),"")</f>
        <v>0.000614525296027124</v>
      </c>
    </row>
    <row r="34" customFormat="false" ht="15" hidden="false" customHeight="false" outlineLevel="0" collapsed="false">
      <c r="A34" s="7" t="s">
        <v>58</v>
      </c>
      <c r="B34" s="8" t="n">
        <v>100.922955</v>
      </c>
      <c r="C34" s="9" t="n">
        <f aca="false">IF(AND(ISNUMBER(B34),ISNUMBER(B33),B33&lt;&gt;0),B34/B33-1,"")</f>
        <v>0.00246030646078377</v>
      </c>
      <c r="D34" s="9" t="n">
        <f aca="false">IF(ISNUMBER(C34),ABS(C34-BTC_Fit!$B$9),"")</f>
        <v>0.00246966972106788</v>
      </c>
    </row>
    <row r="35" customFormat="false" ht="15" hidden="false" customHeight="false" outlineLevel="0" collapsed="false">
      <c r="A35" s="7" t="s">
        <v>59</v>
      </c>
      <c r="B35" s="8" t="n">
        <v>100.884057</v>
      </c>
      <c r="C35" s="9" t="n">
        <f aca="false">IF(AND(ISNUMBER(B35),ISNUMBER(B34),B34&lt;&gt;0),B35/B34-1,"")</f>
        <v>-0.00038542272171882</v>
      </c>
      <c r="D35" s="9" t="n">
        <f aca="false">IF(ISNUMBER(C35),ABS(C35-BTC_Fit!$B$9),"")</f>
        <v>0.000376059461434708</v>
      </c>
    </row>
    <row r="36" customFormat="false" ht="15" hidden="false" customHeight="false" outlineLevel="0" collapsed="false">
      <c r="A36" s="7" t="s">
        <v>60</v>
      </c>
      <c r="B36" s="8" t="n">
        <v>100.856831</v>
      </c>
      <c r="C36" s="9" t="n">
        <f aca="false">IF(AND(ISNUMBER(B36),ISNUMBER(B35),B35&lt;&gt;0),B36/B35-1,"")</f>
        <v>-0.000269874158609573</v>
      </c>
      <c r="D36" s="9" t="n">
        <f aca="false">IF(ISNUMBER(C36),ABS(C36-BTC_Fit!$B$9),"")</f>
        <v>0.000260510898325461</v>
      </c>
    </row>
    <row r="37" customFormat="false" ht="15" hidden="false" customHeight="false" outlineLevel="0" collapsed="false">
      <c r="A37" s="7" t="s">
        <v>61</v>
      </c>
      <c r="B37" s="8" t="n">
        <v>100.851128</v>
      </c>
      <c r="C37" s="9" t="n">
        <f aca="false">IF(AND(ISNUMBER(B37),ISNUMBER(B36),B36&lt;&gt;0),B37/B36-1,"")</f>
        <v>-5.65455006215077E-005</v>
      </c>
      <c r="D37" s="9" t="n">
        <f aca="false">IF(ISNUMBER(C37),ABS(C37-BTC_Fit!$B$9),"")</f>
        <v>4.71822403373956E-005</v>
      </c>
    </row>
    <row r="38" customFormat="false" ht="15" hidden="false" customHeight="false" outlineLevel="0" collapsed="false">
      <c r="A38" s="7" t="s">
        <v>62</v>
      </c>
      <c r="B38" s="8" t="n">
        <v>100.763052</v>
      </c>
      <c r="C38" s="9" t="n">
        <f aca="false">IF(AND(ISNUMBER(B38),ISNUMBER(B37),B37&lt;&gt;0),B38/B37-1,"")</f>
        <v>-0.000873326870473923</v>
      </c>
      <c r="D38" s="9" t="n">
        <f aca="false">IF(ISNUMBER(C38),ABS(C38-BTC_Fit!$B$9),"")</f>
        <v>0.000863963610189811</v>
      </c>
    </row>
    <row r="39" customFormat="false" ht="15" hidden="false" customHeight="false" outlineLevel="0" collapsed="false">
      <c r="A39" s="7" t="s">
        <v>63</v>
      </c>
      <c r="B39" s="8" t="n">
        <v>100.640835</v>
      </c>
      <c r="C39" s="9" t="n">
        <f aca="false">IF(AND(ISNUMBER(B39),ISNUMBER(B38),B38&lt;&gt;0),B39/B38-1,"")</f>
        <v>-0.00121291482913799</v>
      </c>
      <c r="D39" s="9" t="n">
        <f aca="false">IF(ISNUMBER(C39),ABS(C39-BTC_Fit!$B$9),"")</f>
        <v>0.00120355156885388</v>
      </c>
    </row>
    <row r="40" customFormat="false" ht="15" hidden="false" customHeight="false" outlineLevel="0" collapsed="false">
      <c r="A40" s="7" t="s">
        <v>64</v>
      </c>
      <c r="B40" s="8" t="n">
        <v>100.636324</v>
      </c>
      <c r="C40" s="9" t="n">
        <f aca="false">IF(AND(ISNUMBER(B40),ISNUMBER(B39),B39&lt;&gt;0),B40/B39-1,"")</f>
        <v>-4.48227600654549E-005</v>
      </c>
      <c r="D40" s="9" t="n">
        <f aca="false">IF(ISNUMBER(C40),ABS(C40-BTC_Fit!$B$9),"")</f>
        <v>3.54594997813429E-005</v>
      </c>
    </row>
    <row r="41" customFormat="false" ht="15" hidden="false" customHeight="false" outlineLevel="0" collapsed="false">
      <c r="A41" s="7" t="s">
        <v>65</v>
      </c>
      <c r="B41" s="8" t="n">
        <v>100.564766</v>
      </c>
      <c r="C41" s="9" t="n">
        <f aca="false">IF(AND(ISNUMBER(B41),ISNUMBER(B40),B40&lt;&gt;0),B41/B40-1,"")</f>
        <v>-0.000711055383938675</v>
      </c>
      <c r="D41" s="9" t="n">
        <f aca="false">IF(ISNUMBER(C41),ABS(C41-BTC_Fit!$B$9),"")</f>
        <v>0.000701692123654563</v>
      </c>
    </row>
    <row r="42" customFormat="false" ht="15" hidden="false" customHeight="false" outlineLevel="0" collapsed="false">
      <c r="A42" s="7" t="s">
        <v>66</v>
      </c>
      <c r="B42" s="8" t="n">
        <v>100.602322</v>
      </c>
      <c r="C42" s="9" t="n">
        <f aca="false">IF(AND(ISNUMBER(B42),ISNUMBER(B41),B41&lt;&gt;0),B42/B41-1,"")</f>
        <v>0.000373450876423265</v>
      </c>
      <c r="D42" s="9" t="n">
        <f aca="false">IF(ISNUMBER(C42),ABS(C42-BTC_Fit!$B$9),"")</f>
        <v>0.000382814136707377</v>
      </c>
    </row>
    <row r="43" customFormat="false" ht="15" hidden="false" customHeight="false" outlineLevel="0" collapsed="false">
      <c r="A43" s="7" t="s">
        <v>67</v>
      </c>
      <c r="B43" s="8" t="n">
        <v>100.59016</v>
      </c>
      <c r="C43" s="9" t="n">
        <f aca="false">IF(AND(ISNUMBER(B43),ISNUMBER(B42),B42&lt;&gt;0),B43/B42-1,"")</f>
        <v>-0.000120891841840387</v>
      </c>
      <c r="D43" s="9" t="n">
        <f aca="false">IF(ISNUMBER(C43),ABS(C43-BTC_Fit!$B$9),"")</f>
        <v>0.000111528581556275</v>
      </c>
    </row>
    <row r="44" customFormat="false" ht="15" hidden="false" customHeight="false" outlineLevel="0" collapsed="false">
      <c r="A44" s="7" t="s">
        <v>68</v>
      </c>
      <c r="B44" s="8" t="n">
        <v>100.689264</v>
      </c>
      <c r="C44" s="9" t="n">
        <f aca="false">IF(AND(ISNUMBER(B44),ISNUMBER(B43),B43&lt;&gt;0),B44/B43-1,"")</f>
        <v>0.000985225592642358</v>
      </c>
      <c r="D44" s="9" t="n">
        <f aca="false">IF(ISNUMBER(C44),ABS(C44-BTC_Fit!$B$9),"")</f>
        <v>0.00099458885292647</v>
      </c>
    </row>
    <row r="45" customFormat="false" ht="15" hidden="false" customHeight="false" outlineLevel="0" collapsed="false">
      <c r="A45" s="7" t="s">
        <v>69</v>
      </c>
      <c r="B45" s="8" t="n">
        <v>100.735635</v>
      </c>
      <c r="C45" s="9" t="n">
        <f aca="false">IF(AND(ISNUMBER(B45),ISNUMBER(B44),B44&lt;&gt;0),B45/B44-1,"")</f>
        <v>0.000460535693259212</v>
      </c>
      <c r="D45" s="9" t="n">
        <f aca="false">IF(ISNUMBER(C45),ABS(C45-BTC_Fit!$B$9),"")</f>
        <v>0.000469898953543324</v>
      </c>
    </row>
    <row r="46" customFormat="false" ht="15" hidden="false" customHeight="false" outlineLevel="0" collapsed="false">
      <c r="A46" s="7" t="s">
        <v>70</v>
      </c>
      <c r="B46" s="8" t="n">
        <v>100.692985</v>
      </c>
      <c r="C46" s="9" t="n">
        <f aca="false">IF(AND(ISNUMBER(B46),ISNUMBER(B45),B45&lt;&gt;0),B46/B45-1,"")</f>
        <v>-0.00042338542860243</v>
      </c>
      <c r="D46" s="9" t="n">
        <f aca="false">IF(ISNUMBER(C46),ABS(C46-BTC_Fit!$B$9),"")</f>
        <v>0.000414022168318318</v>
      </c>
    </row>
    <row r="47" customFormat="false" ht="15" hidden="false" customHeight="false" outlineLevel="0" collapsed="false">
      <c r="A47" s="7" t="s">
        <v>71</v>
      </c>
      <c r="B47" s="8" t="n">
        <v>100.791963</v>
      </c>
      <c r="C47" s="9" t="n">
        <f aca="false">IF(AND(ISNUMBER(B47),ISNUMBER(B46),B46&lt;&gt;0),B47/B46-1,"")</f>
        <v>0.000982968177971832</v>
      </c>
      <c r="D47" s="9" t="n">
        <f aca="false">IF(ISNUMBER(C47),ABS(C47-BTC_Fit!$B$9),"")</f>
        <v>0.000992331438255945</v>
      </c>
    </row>
    <row r="48" customFormat="false" ht="15" hidden="false" customHeight="false" outlineLevel="0" collapsed="false">
      <c r="A48" s="7" t="s">
        <v>72</v>
      </c>
      <c r="B48" s="8" t="n">
        <v>100.87727</v>
      </c>
      <c r="C48" s="9" t="n">
        <f aca="false">IF(AND(ISNUMBER(B48),ISNUMBER(B47),B47&lt;&gt;0),B48/B47-1,"")</f>
        <v>0.000846367085836075</v>
      </c>
      <c r="D48" s="9" t="n">
        <f aca="false">IF(ISNUMBER(C48),ABS(C48-BTC_Fit!$B$9),"")</f>
        <v>0.000855730346120187</v>
      </c>
    </row>
    <row r="49" customFormat="false" ht="15" hidden="false" customHeight="false" outlineLevel="0" collapsed="false">
      <c r="A49" s="7" t="s">
        <v>73</v>
      </c>
      <c r="B49" s="8" t="n">
        <v>100.854123</v>
      </c>
      <c r="C49" s="9" t="n">
        <f aca="false">IF(AND(ISNUMBER(B49),ISNUMBER(B48),B48&lt;&gt;0),B49/B48-1,"")</f>
        <v>-0.000229457042205783</v>
      </c>
      <c r="D49" s="9" t="n">
        <f aca="false">IF(ISNUMBER(C49),ABS(C49-BTC_Fit!$B$9),"")</f>
        <v>0.000220093781921671</v>
      </c>
    </row>
    <row r="50" customFormat="false" ht="15" hidden="false" customHeight="false" outlineLevel="0" collapsed="false">
      <c r="A50" s="7" t="s">
        <v>74</v>
      </c>
      <c r="B50" s="8" t="n">
        <v>100.804154</v>
      </c>
      <c r="C50" s="9" t="n">
        <f aca="false">IF(AND(ISNUMBER(B50),ISNUMBER(B49),B49&lt;&gt;0),B50/B49-1,"")</f>
        <v>-0.000495458177748542</v>
      </c>
      <c r="D50" s="9" t="n">
        <f aca="false">IF(ISNUMBER(C50),ABS(C50-BTC_Fit!$B$9),"")</f>
        <v>0.00048609491746443</v>
      </c>
    </row>
    <row r="51" customFormat="false" ht="15" hidden="false" customHeight="false" outlineLevel="0" collapsed="false">
      <c r="A51" s="7" t="s">
        <v>75</v>
      </c>
      <c r="B51" s="8" t="n">
        <v>100.845353</v>
      </c>
      <c r="C51" s="9" t="n">
        <f aca="false">IF(AND(ISNUMBER(B51),ISNUMBER(B50),B50&lt;&gt;0),B51/B50-1,"")</f>
        <v>0.000408703395298637</v>
      </c>
      <c r="D51" s="9" t="n">
        <f aca="false">IF(ISNUMBER(C51),ABS(C51-BTC_Fit!$B$9),"")</f>
        <v>0.000418066655582749</v>
      </c>
    </row>
    <row r="52" customFormat="false" ht="15" hidden="false" customHeight="false" outlineLevel="0" collapsed="false">
      <c r="A52" s="7" t="s">
        <v>76</v>
      </c>
      <c r="B52" s="8" t="n">
        <v>100.729657</v>
      </c>
      <c r="C52" s="9" t="n">
        <f aca="false">IF(AND(ISNUMBER(B52),ISNUMBER(B51),B51&lt;&gt;0),B52/B51-1,"")</f>
        <v>-0.00114726158973333</v>
      </c>
      <c r="D52" s="9" t="n">
        <f aca="false">IF(ISNUMBER(C52),ABS(C52-BTC_Fit!$B$9),"")</f>
        <v>0.00113789832944922</v>
      </c>
    </row>
    <row r="53" customFormat="false" ht="15" hidden="false" customHeight="false" outlineLevel="0" collapsed="false">
      <c r="A53" s="7" t="s">
        <v>77</v>
      </c>
      <c r="B53" s="8" t="n">
        <v>100.646548</v>
      </c>
      <c r="C53" s="9" t="n">
        <f aca="false">IF(AND(ISNUMBER(B53),ISNUMBER(B52),B52&lt;&gt;0),B53/B52-1,"")</f>
        <v>-0.000825069820301394</v>
      </c>
      <c r="D53" s="9" t="n">
        <f aca="false">IF(ISNUMBER(C53),ABS(C53-BTC_Fit!$B$9),"")</f>
        <v>0.000815706560017282</v>
      </c>
    </row>
    <row r="54" customFormat="false" ht="15" hidden="false" customHeight="false" outlineLevel="0" collapsed="false">
      <c r="A54" s="7" t="s">
        <v>78</v>
      </c>
      <c r="B54" s="8" t="n">
        <v>100.264451</v>
      </c>
      <c r="C54" s="9" t="n">
        <f aca="false">IF(AND(ISNUMBER(B54),ISNUMBER(B53),B53&lt;&gt;0),B54/B53-1,"")</f>
        <v>-0.00379642429465144</v>
      </c>
      <c r="D54" s="9" t="n">
        <f aca="false">IF(ISNUMBER(C54),ABS(C54-BTC_Fit!$B$9),"")</f>
        <v>0.00378706103436732</v>
      </c>
    </row>
    <row r="55" customFormat="false" ht="15" hidden="false" customHeight="false" outlineLevel="0" collapsed="false">
      <c r="A55" s="7" t="s">
        <v>79</v>
      </c>
      <c r="B55" s="8" t="n">
        <v>100.341421</v>
      </c>
      <c r="C55" s="9" t="n">
        <f aca="false">IF(AND(ISNUMBER(B55),ISNUMBER(B54),B54&lt;&gt;0),B55/B54-1,"")</f>
        <v>0.000767669889301104</v>
      </c>
      <c r="D55" s="9" t="n">
        <f aca="false">IF(ISNUMBER(C55),ABS(C55-BTC_Fit!$B$9),"")</f>
        <v>0.000777033149585216</v>
      </c>
    </row>
    <row r="56" customFormat="false" ht="15" hidden="false" customHeight="false" outlineLevel="0" collapsed="false">
      <c r="A56" s="7" t="s">
        <v>80</v>
      </c>
      <c r="B56" s="8" t="n">
        <v>100.377547</v>
      </c>
      <c r="C56" s="9" t="n">
        <f aca="false">IF(AND(ISNUMBER(B56),ISNUMBER(B55),B55&lt;&gt;0),B56/B55-1,"")</f>
        <v>0.000360030779313014</v>
      </c>
      <c r="D56" s="9" t="n">
        <f aca="false">IF(ISNUMBER(C56),ABS(C56-BTC_Fit!$B$9),"")</f>
        <v>0.000369394039597126</v>
      </c>
    </row>
    <row r="57" customFormat="false" ht="15" hidden="false" customHeight="false" outlineLevel="0" collapsed="false">
      <c r="A57" s="7" t="s">
        <v>81</v>
      </c>
      <c r="B57" s="8" t="n">
        <v>100.425264</v>
      </c>
      <c r="C57" s="9" t="n">
        <f aca="false">IF(AND(ISNUMBER(B57),ISNUMBER(B56),B56&lt;&gt;0),B57/B56-1,"")</f>
        <v>0.000475375235061248</v>
      </c>
      <c r="D57" s="9" t="n">
        <f aca="false">IF(ISNUMBER(C57),ABS(C57-BTC_Fit!$B$9),"")</f>
        <v>0.00048473849534536</v>
      </c>
    </row>
    <row r="58" customFormat="false" ht="15" hidden="false" customHeight="false" outlineLevel="0" collapsed="false">
      <c r="A58" s="7" t="s">
        <v>82</v>
      </c>
      <c r="B58" s="8" t="n">
        <v>100.499766</v>
      </c>
      <c r="C58" s="9" t="n">
        <f aca="false">IF(AND(ISNUMBER(B58),ISNUMBER(B57),B57&lt;&gt;0),B58/B57-1,"")</f>
        <v>0.000741865114738394</v>
      </c>
      <c r="D58" s="9" t="n">
        <f aca="false">IF(ISNUMBER(C58),ABS(C58-BTC_Fit!$B$9),"")</f>
        <v>0.000751228375022506</v>
      </c>
    </row>
    <row r="59" customFormat="false" ht="15" hidden="false" customHeight="false" outlineLevel="0" collapsed="false">
      <c r="A59" s="7" t="s">
        <v>83</v>
      </c>
      <c r="B59" s="8" t="n">
        <v>100.492011</v>
      </c>
      <c r="C59" s="9" t="n">
        <f aca="false">IF(AND(ISNUMBER(B59),ISNUMBER(B58),B58&lt;&gt;0),B59/B58-1,"")</f>
        <v>-7.71643587705873E-005</v>
      </c>
      <c r="D59" s="9" t="n">
        <f aca="false">IF(ISNUMBER(C59),ABS(C59-BTC_Fit!$B$9),"")</f>
        <v>6.78010984864752E-005</v>
      </c>
    </row>
    <row r="60" customFormat="false" ht="15" hidden="false" customHeight="false" outlineLevel="0" collapsed="false">
      <c r="A60" s="7" t="s">
        <v>84</v>
      </c>
      <c r="B60" s="8" t="n">
        <v>100.505387</v>
      </c>
      <c r="C60" s="9" t="n">
        <f aca="false">IF(AND(ISNUMBER(B60),ISNUMBER(B59),B59&lt;&gt;0),B60/B59-1,"")</f>
        <v>0.000133105108225839</v>
      </c>
      <c r="D60" s="9" t="n">
        <f aca="false">IF(ISNUMBER(C60),ABS(C60-BTC_Fit!$B$9),"")</f>
        <v>0.000142468368509951</v>
      </c>
    </row>
    <row r="61" customFormat="false" ht="15" hidden="false" customHeight="false" outlineLevel="0" collapsed="false">
      <c r="A61" s="7" t="s">
        <v>85</v>
      </c>
      <c r="B61" s="8" t="n">
        <v>100.39011</v>
      </c>
      <c r="C61" s="9" t="n">
        <f aca="false">IF(AND(ISNUMBER(B61),ISNUMBER(B60),B60&lt;&gt;0),B61/B60-1,"")</f>
        <v>-0.0011469733458167</v>
      </c>
      <c r="D61" s="9" t="n">
        <f aca="false">IF(ISNUMBER(C61),ABS(C61-BTC_Fit!$B$9),"")</f>
        <v>0.00113761008553259</v>
      </c>
    </row>
    <row r="62" customFormat="false" ht="15" hidden="false" customHeight="false" outlineLevel="0" collapsed="false">
      <c r="A62" s="7" t="s">
        <v>86</v>
      </c>
      <c r="B62" s="8" t="n">
        <v>100.256953</v>
      </c>
      <c r="C62" s="9" t="n">
        <f aca="false">IF(AND(ISNUMBER(B62),ISNUMBER(B61),B61&lt;&gt;0),B62/B61-1,"")</f>
        <v>-0.00132639559813219</v>
      </c>
      <c r="D62" s="9" t="n">
        <f aca="false">IF(ISNUMBER(C62),ABS(C62-BTC_Fit!$B$9),"")</f>
        <v>0.00131703233784808</v>
      </c>
    </row>
    <row r="63" customFormat="false" ht="15" hidden="false" customHeight="false" outlineLevel="0" collapsed="false">
      <c r="A63" s="7" t="s">
        <v>87</v>
      </c>
      <c r="B63" s="8" t="n">
        <v>100.29401</v>
      </c>
      <c r="C63" s="9" t="n">
        <f aca="false">IF(AND(ISNUMBER(B63),ISNUMBER(B62),B62&lt;&gt;0),B63/B62-1,"")</f>
        <v>0.000369620249679903</v>
      </c>
      <c r="D63" s="9" t="n">
        <f aca="false">IF(ISNUMBER(C63),ABS(C63-BTC_Fit!$B$9),"")</f>
        <v>0.000378983509964015</v>
      </c>
    </row>
    <row r="64" customFormat="false" ht="15" hidden="false" customHeight="false" outlineLevel="0" collapsed="false">
      <c r="A64" s="7" t="s">
        <v>88</v>
      </c>
      <c r="B64" s="8" t="n">
        <v>100.288635</v>
      </c>
      <c r="C64" s="9" t="n">
        <f aca="false">IF(AND(ISNUMBER(B64),ISNUMBER(B63),B63&lt;&gt;0),B64/B63-1,"")</f>
        <v>-5.35924328880499E-005</v>
      </c>
      <c r="D64" s="9" t="n">
        <f aca="false">IF(ISNUMBER(C64),ABS(C64-BTC_Fit!$B$9),"")</f>
        <v>4.42291726039379E-005</v>
      </c>
    </row>
    <row r="65" customFormat="false" ht="15" hidden="false" customHeight="false" outlineLevel="0" collapsed="false">
      <c r="A65" s="7" t="s">
        <v>89</v>
      </c>
      <c r="B65" s="8" t="n">
        <v>100.301254</v>
      </c>
      <c r="C65" s="9" t="n">
        <f aca="false">IF(AND(ISNUMBER(B65),ISNUMBER(B64),B64&lt;&gt;0),B65/B64-1,"")</f>
        <v>0.000125826819758812</v>
      </c>
      <c r="D65" s="9" t="n">
        <f aca="false">IF(ISNUMBER(C65),ABS(C65-BTC_Fit!$B$9),"")</f>
        <v>0.000135190080042924</v>
      </c>
    </row>
    <row r="66" customFormat="false" ht="15" hidden="false" customHeight="false" outlineLevel="0" collapsed="false">
      <c r="A66" s="7" t="s">
        <v>90</v>
      </c>
      <c r="B66" s="8" t="n">
        <v>100.36941</v>
      </c>
      <c r="C66" s="9" t="n">
        <f aca="false">IF(AND(ISNUMBER(B66),ISNUMBER(B65),B65&lt;&gt;0),B66/B65-1,"")</f>
        <v>0.00067951294008739</v>
      </c>
      <c r="D66" s="9" t="n">
        <f aca="false">IF(ISNUMBER(C66),ABS(C66-BTC_Fit!$B$9),"")</f>
        <v>0.000688876200371502</v>
      </c>
    </row>
    <row r="67" customFormat="false" ht="15" hidden="false" customHeight="false" outlineLevel="0" collapsed="false">
      <c r="A67" s="7" t="s">
        <v>91</v>
      </c>
      <c r="B67" s="8" t="n">
        <v>100.397769</v>
      </c>
      <c r="C67" s="9" t="n">
        <f aca="false">IF(AND(ISNUMBER(B67),ISNUMBER(B66),B66&lt;&gt;0),B67/B66-1,"")</f>
        <v>0.00028254624591284</v>
      </c>
      <c r="D67" s="9" t="n">
        <f aca="false">IF(ISNUMBER(C67),ABS(C67-BTC_Fit!$B$9),"")</f>
        <v>0.000291909506196952</v>
      </c>
    </row>
    <row r="68" customFormat="false" ht="15" hidden="false" customHeight="false" outlineLevel="0" collapsed="false">
      <c r="A68" s="7" t="s">
        <v>92</v>
      </c>
      <c r="B68" s="8" t="n">
        <v>100.408011</v>
      </c>
      <c r="C68" s="9" t="n">
        <f aca="false">IF(AND(ISNUMBER(B68),ISNUMBER(B67),B67&lt;&gt;0),B68/B67-1,"")</f>
        <v>0.000102014219061086</v>
      </c>
      <c r="D68" s="9" t="n">
        <f aca="false">IF(ISNUMBER(C68),ABS(C68-BTC_Fit!$B$9),"")</f>
        <v>0.000111377479345198</v>
      </c>
    </row>
    <row r="69" customFormat="false" ht="15" hidden="false" customHeight="false" outlineLevel="0" collapsed="false">
      <c r="A69" s="7" t="s">
        <v>93</v>
      </c>
      <c r="B69" s="8" t="n">
        <v>100.4194</v>
      </c>
      <c r="C69" s="9" t="n">
        <f aca="false">IF(AND(ISNUMBER(B69),ISNUMBER(B68),B68&lt;&gt;0),B69/B68-1,"")</f>
        <v>0.000113427204528449</v>
      </c>
      <c r="D69" s="9" t="n">
        <f aca="false">IF(ISNUMBER(C69),ABS(C69-BTC_Fit!$B$9),"")</f>
        <v>0.000122790464812561</v>
      </c>
    </row>
    <row r="70" customFormat="false" ht="15" hidden="false" customHeight="false" outlineLevel="0" collapsed="false">
      <c r="A70" s="7" t="s">
        <v>94</v>
      </c>
      <c r="B70" s="8" t="n">
        <v>100.374415</v>
      </c>
      <c r="C70" s="9" t="n">
        <f aca="false">IF(AND(ISNUMBER(B70),ISNUMBER(B69),B69&lt;&gt;0),B70/B69-1,"")</f>
        <v>-0.000447971208750508</v>
      </c>
      <c r="D70" s="9" t="n">
        <f aca="false">IF(ISNUMBER(C70),ABS(C70-BTC_Fit!$B$9),"")</f>
        <v>0.000438607948466396</v>
      </c>
    </row>
    <row r="71" customFormat="false" ht="15" hidden="false" customHeight="false" outlineLevel="0" collapsed="false">
      <c r="A71" s="7" t="s">
        <v>95</v>
      </c>
      <c r="B71" s="8" t="n">
        <v>100.12269</v>
      </c>
      <c r="C71" s="9" t="n">
        <f aca="false">IF(AND(ISNUMBER(B71),ISNUMBER(B70),B70&lt;&gt;0),B71/B70-1,"")</f>
        <v>-0.00250786019524984</v>
      </c>
      <c r="D71" s="9" t="n">
        <f aca="false">IF(ISNUMBER(C71),ABS(C71-BTC_Fit!$B$9),"")</f>
        <v>0.00249849693496573</v>
      </c>
    </row>
    <row r="72" customFormat="false" ht="15" hidden="false" customHeight="false" outlineLevel="0" collapsed="false">
      <c r="A72" s="7" t="s">
        <v>96</v>
      </c>
      <c r="B72" s="8" t="n">
        <v>100.110496</v>
      </c>
      <c r="C72" s="9" t="n">
        <f aca="false">IF(AND(ISNUMBER(B72),ISNUMBER(B71),B71&lt;&gt;0),B72/B71-1,"")</f>
        <v>-0.000121790575143388</v>
      </c>
      <c r="D72" s="9" t="n">
        <f aca="false">IF(ISNUMBER(C72),ABS(C72-BTC_Fit!$B$9),"")</f>
        <v>0.000112427314859276</v>
      </c>
    </row>
    <row r="73" customFormat="false" ht="15" hidden="false" customHeight="false" outlineLevel="0" collapsed="false">
      <c r="A73" s="7" t="s">
        <v>97</v>
      </c>
      <c r="B73" s="8" t="n">
        <v>100.034281</v>
      </c>
      <c r="C73" s="9" t="n">
        <f aca="false">IF(AND(ISNUMBER(B73),ISNUMBER(B72),B72&lt;&gt;0),B73/B72-1,"")</f>
        <v>-0.000761308784245851</v>
      </c>
      <c r="D73" s="9" t="n">
        <f aca="false">IF(ISNUMBER(C73),ABS(C73-BTC_Fit!$B$9),"")</f>
        <v>0.000751945523961739</v>
      </c>
    </row>
    <row r="74" customFormat="false" ht="15" hidden="false" customHeight="false" outlineLevel="0" collapsed="false">
      <c r="A74" s="7" t="s">
        <v>98</v>
      </c>
      <c r="B74" s="8" t="n">
        <v>100.01609</v>
      </c>
      <c r="C74" s="9" t="n">
        <f aca="false">IF(AND(ISNUMBER(B74),ISNUMBER(B73),B73&lt;&gt;0),B74/B73-1,"")</f>
        <v>-0.000181847660803314</v>
      </c>
      <c r="D74" s="9" t="n">
        <f aca="false">IF(ISNUMBER(C74),ABS(C74-BTC_Fit!$B$9),"")</f>
        <v>0.000172484400519202</v>
      </c>
    </row>
    <row r="75" customFormat="false" ht="15" hidden="false" customHeight="false" outlineLevel="0" collapsed="false">
      <c r="A75" s="7" t="s">
        <v>99</v>
      </c>
      <c r="B75" s="8" t="n">
        <v>100.126531</v>
      </c>
      <c r="C75" s="9" t="n">
        <f aca="false">IF(AND(ISNUMBER(B75),ISNUMBER(B74),B74&lt;&gt;0),B75/B74-1,"")</f>
        <v>0.00110423232901824</v>
      </c>
      <c r="D75" s="9" t="n">
        <f aca="false">IF(ISNUMBER(C75),ABS(C75-BTC_Fit!$B$9),"")</f>
        <v>0.00111359558930235</v>
      </c>
    </row>
    <row r="76" customFormat="false" ht="15" hidden="false" customHeight="false" outlineLevel="0" collapsed="false">
      <c r="A76" s="7" t="s">
        <v>100</v>
      </c>
      <c r="B76" s="8" t="n">
        <v>100.058085</v>
      </c>
      <c r="C76" s="9" t="n">
        <f aca="false">IF(AND(ISNUMBER(B76),ISNUMBER(B75),B75&lt;&gt;0),B76/B75-1,"")</f>
        <v>-0.000683595040359419</v>
      </c>
      <c r="D76" s="9" t="n">
        <f aca="false">IF(ISNUMBER(C76),ABS(C76-BTC_Fit!$B$9),"")</f>
        <v>0.000674231780075307</v>
      </c>
    </row>
    <row r="77" customFormat="false" ht="15" hidden="false" customHeight="false" outlineLevel="0" collapsed="false">
      <c r="A77" s="7" t="s">
        <v>101</v>
      </c>
      <c r="B77" s="8" t="n">
        <v>99.864567</v>
      </c>
      <c r="C77" s="9" t="n">
        <f aca="false">IF(AND(ISNUMBER(B77),ISNUMBER(B76),B76&lt;&gt;0),B77/B76-1,"")</f>
        <v>-0.0019340566032221</v>
      </c>
      <c r="D77" s="9" t="n">
        <f aca="false">IF(ISNUMBER(C77),ABS(C77-BTC_Fit!$B$9),"")</f>
        <v>0.00192469334293799</v>
      </c>
    </row>
    <row r="78" customFormat="false" ht="15" hidden="false" customHeight="false" outlineLevel="0" collapsed="false">
      <c r="A78" s="7" t="s">
        <v>102</v>
      </c>
      <c r="B78" s="8" t="n">
        <v>99.812897</v>
      </c>
      <c r="C78" s="9" t="n">
        <f aca="false">IF(AND(ISNUMBER(B78),ISNUMBER(B77),B77&lt;&gt;0),B78/B77-1,"")</f>
        <v>-0.000517400731332329</v>
      </c>
      <c r="D78" s="9" t="n">
        <f aca="false">IF(ISNUMBER(C78),ABS(C78-BTC_Fit!$B$9),"")</f>
        <v>0.000508037471048217</v>
      </c>
    </row>
    <row r="79" customFormat="false" ht="15" hidden="false" customHeight="false" outlineLevel="0" collapsed="false">
      <c r="A79" s="7" t="s">
        <v>103</v>
      </c>
      <c r="B79" s="8" t="n">
        <v>99.76507</v>
      </c>
      <c r="C79" s="9" t="n">
        <f aca="false">IF(AND(ISNUMBER(B79),ISNUMBER(B78),B78&lt;&gt;0),B79/B78-1,"")</f>
        <v>-0.00047916653496205</v>
      </c>
      <c r="D79" s="9" t="n">
        <f aca="false">IF(ISNUMBER(C79),ABS(C79-BTC_Fit!$B$9),"")</f>
        <v>0.000469803274677938</v>
      </c>
    </row>
    <row r="80" customFormat="false" ht="15" hidden="false" customHeight="false" outlineLevel="0" collapsed="false">
      <c r="A80" s="7" t="s">
        <v>104</v>
      </c>
      <c r="B80" s="8" t="n">
        <v>99.800205</v>
      </c>
      <c r="C80" s="9" t="n">
        <f aca="false">IF(AND(ISNUMBER(B80),ISNUMBER(B79),B79&lt;&gt;0),B80/B79-1,"")</f>
        <v>0.000352177370296136</v>
      </c>
      <c r="D80" s="9" t="n">
        <f aca="false">IF(ISNUMBER(C80),ABS(C80-BTC_Fit!$B$9),"")</f>
        <v>0.000361540630580248</v>
      </c>
    </row>
    <row r="81" customFormat="false" ht="15" hidden="false" customHeight="false" outlineLevel="0" collapsed="false">
      <c r="A81" s="7" t="s">
        <v>105</v>
      </c>
      <c r="B81" s="8" t="n">
        <v>99.811083</v>
      </c>
      <c r="C81" s="9" t="n">
        <f aca="false">IF(AND(ISNUMBER(B81),ISNUMBER(B80),B80&lt;&gt;0),B81/B80-1,"")</f>
        <v>0.000108997772098718</v>
      </c>
      <c r="D81" s="9" t="n">
        <f aca="false">IF(ISNUMBER(C81),ABS(C81-BTC_Fit!$B$9),"")</f>
        <v>0.00011836103238283</v>
      </c>
    </row>
    <row r="82" customFormat="false" ht="15" hidden="false" customHeight="false" outlineLevel="0" collapsed="false">
      <c r="A82" s="7" t="s">
        <v>106</v>
      </c>
      <c r="B82" s="8" t="n">
        <v>99.886438</v>
      </c>
      <c r="C82" s="9" t="n">
        <f aca="false">IF(AND(ISNUMBER(B82),ISNUMBER(B81),B81&lt;&gt;0),B82/B81-1,"")</f>
        <v>0.000754976278536157</v>
      </c>
      <c r="D82" s="9" t="n">
        <f aca="false">IF(ISNUMBER(C82),ABS(C82-BTC_Fit!$B$9),"")</f>
        <v>0.000764339538820269</v>
      </c>
    </row>
    <row r="83" customFormat="false" ht="15" hidden="false" customHeight="false" outlineLevel="0" collapsed="false">
      <c r="A83" s="7" t="s">
        <v>107</v>
      </c>
      <c r="B83" s="8" t="n">
        <v>99.922256</v>
      </c>
      <c r="C83" s="9" t="n">
        <f aca="false">IF(AND(ISNUMBER(B83),ISNUMBER(B82),B82&lt;&gt;0),B83/B82-1,"")</f>
        <v>0.00035858721881743</v>
      </c>
      <c r="D83" s="9" t="n">
        <f aca="false">IF(ISNUMBER(C83),ABS(C83-BTC_Fit!$B$9),"")</f>
        <v>0.000367950479101542</v>
      </c>
    </row>
    <row r="84" customFormat="false" ht="15" hidden="false" customHeight="false" outlineLevel="0" collapsed="false">
      <c r="A84" s="7" t="s">
        <v>108</v>
      </c>
      <c r="B84" s="8" t="n">
        <v>99.903613</v>
      </c>
      <c r="C84" s="9" t="n">
        <f aca="false">IF(AND(ISNUMBER(B84),ISNUMBER(B83),B83&lt;&gt;0),B84/B83-1,"")</f>
        <v>-0.000186575050907578</v>
      </c>
      <c r="D84" s="9" t="n">
        <f aca="false">IF(ISNUMBER(C84),ABS(C84-BTC_Fit!$B$9),"")</f>
        <v>0.000177211790623466</v>
      </c>
    </row>
    <row r="85" customFormat="false" ht="15" hidden="false" customHeight="false" outlineLevel="0" collapsed="false">
      <c r="A85" s="7" t="s">
        <v>109</v>
      </c>
      <c r="B85" s="8" t="n">
        <v>99.992535</v>
      </c>
      <c r="C85" s="9" t="n">
        <f aca="false">IF(AND(ISNUMBER(B85),ISNUMBER(B84),B84&lt;&gt;0),B85/B84-1,"")</f>
        <v>0.000890077919404098</v>
      </c>
      <c r="D85" s="9" t="n">
        <f aca="false">IF(ISNUMBER(C85),ABS(C85-BTC_Fit!$B$9),"")</f>
        <v>0.00089944117968821</v>
      </c>
    </row>
    <row r="86" customFormat="false" ht="15" hidden="false" customHeight="false" outlineLevel="0" collapsed="false">
      <c r="A86" s="7" t="s">
        <v>110</v>
      </c>
      <c r="B86" s="8" t="n">
        <v>99.893832</v>
      </c>
      <c r="C86" s="9" t="n">
        <f aca="false">IF(AND(ISNUMBER(B86),ISNUMBER(B85),B85&lt;&gt;0),B86/B85-1,"")</f>
        <v>-0.000987103687290269</v>
      </c>
      <c r="D86" s="9" t="n">
        <f aca="false">IF(ISNUMBER(C86),ABS(C86-BTC_Fit!$B$9),"")</f>
        <v>0.000977740427006157</v>
      </c>
    </row>
    <row r="87" customFormat="false" ht="15" hidden="false" customHeight="false" outlineLevel="0" collapsed="false">
      <c r="A87" s="7" t="s">
        <v>111</v>
      </c>
      <c r="B87" s="8" t="n">
        <v>99.615874</v>
      </c>
      <c r="C87" s="9" t="n">
        <f aca="false">IF(AND(ISNUMBER(B87),ISNUMBER(B86),B86&lt;&gt;0),B87/B86-1,"")</f>
        <v>-0.00278253416086793</v>
      </c>
      <c r="D87" s="9" t="n">
        <f aca="false">IF(ISNUMBER(C87),ABS(C87-BTC_Fit!$B$9),"")</f>
        <v>0.00277317090058382</v>
      </c>
    </row>
    <row r="88" customFormat="false" ht="15" hidden="false" customHeight="false" outlineLevel="0" collapsed="false">
      <c r="A88" s="7" t="s">
        <v>112</v>
      </c>
      <c r="B88" s="8" t="n">
        <v>99.462182</v>
      </c>
      <c r="C88" s="9" t="n">
        <f aca="false">IF(AND(ISNUMBER(B88),ISNUMBER(B87),B87&lt;&gt;0),B88/B87-1,"")</f>
        <v>-0.00154284647444847</v>
      </c>
      <c r="D88" s="9" t="n">
        <f aca="false">IF(ISNUMBER(C88),ABS(C88-BTC_Fit!$B$9),"")</f>
        <v>0.00153348321416436</v>
      </c>
    </row>
    <row r="89" customFormat="false" ht="15" hidden="false" customHeight="false" outlineLevel="0" collapsed="false">
      <c r="A89" s="7" t="s">
        <v>113</v>
      </c>
      <c r="B89" s="8" t="n">
        <v>99.514843</v>
      </c>
      <c r="C89" s="9" t="n">
        <f aca="false">IF(AND(ISNUMBER(B89),ISNUMBER(B88),B88&lt;&gt;0),B89/B88-1,"")</f>
        <v>0.000529457517833176</v>
      </c>
      <c r="D89" s="9" t="n">
        <f aca="false">IF(ISNUMBER(C89),ABS(C89-BTC_Fit!$B$9),"")</f>
        <v>0.000538820778117288</v>
      </c>
    </row>
    <row r="90" customFormat="false" ht="15" hidden="false" customHeight="false" outlineLevel="0" collapsed="false">
      <c r="A90" s="7" t="s">
        <v>114</v>
      </c>
      <c r="B90" s="8" t="n">
        <v>99.50774</v>
      </c>
      <c r="C90" s="9" t="n">
        <f aca="false">IF(AND(ISNUMBER(B90),ISNUMBER(B89),B89&lt;&gt;0),B90/B89-1,"")</f>
        <v>-7.13762870530044E-005</v>
      </c>
      <c r="D90" s="9" t="n">
        <f aca="false">IF(ISNUMBER(C90),ABS(C90-BTC_Fit!$B$9),"")</f>
        <v>6.20130267688923E-005</v>
      </c>
    </row>
    <row r="91" customFormat="false" ht="15" hidden="false" customHeight="false" outlineLevel="0" collapsed="false">
      <c r="A91" s="7" t="s">
        <v>115</v>
      </c>
      <c r="B91" s="8" t="n">
        <v>99.406405</v>
      </c>
      <c r="C91" s="9" t="n">
        <f aca="false">IF(AND(ISNUMBER(B91),ISNUMBER(B90),B90&lt;&gt;0),B91/B90-1,"")</f>
        <v>-0.00101836299367253</v>
      </c>
      <c r="D91" s="9" t="n">
        <f aca="false">IF(ISNUMBER(C91),ABS(C91-BTC_Fit!$B$9),"")</f>
        <v>0.00100899973338842</v>
      </c>
    </row>
    <row r="92" customFormat="false" ht="15" hidden="false" customHeight="false" outlineLevel="0" collapsed="false">
      <c r="A92" s="7" t="s">
        <v>116</v>
      </c>
      <c r="B92" s="8" t="n">
        <v>99.406592</v>
      </c>
      <c r="C92" s="9" t="n">
        <f aca="false">IF(AND(ISNUMBER(B92),ISNUMBER(B91),B91&lt;&gt;0),B92/B91-1,"")</f>
        <v>1.88116651034242E-006</v>
      </c>
      <c r="D92" s="9" t="n">
        <f aca="false">IF(ISNUMBER(C92),ABS(C92-BTC_Fit!$B$9),"")</f>
        <v>1.12444267944545E-005</v>
      </c>
    </row>
    <row r="93" customFormat="false" ht="15" hidden="false" customHeight="false" outlineLevel="0" collapsed="false">
      <c r="A93" s="7" t="s">
        <v>117</v>
      </c>
      <c r="B93" s="8" t="n">
        <v>99.300246</v>
      </c>
      <c r="C93" s="9" t="n">
        <f aca="false">IF(AND(ISNUMBER(B93),ISNUMBER(B92),B92&lt;&gt;0),B93/B92-1,"")</f>
        <v>-0.00106980832820425</v>
      </c>
      <c r="D93" s="9" t="n">
        <f aca="false">IF(ISNUMBER(C93),ABS(C93-BTC_Fit!$B$9),"")</f>
        <v>0.00106044506792014</v>
      </c>
    </row>
    <row r="94" customFormat="false" ht="15" hidden="false" customHeight="false" outlineLevel="0" collapsed="false">
      <c r="A94" s="7" t="s">
        <v>118</v>
      </c>
      <c r="B94" s="8" t="n">
        <v>99.344809</v>
      </c>
      <c r="C94" s="9" t="n">
        <f aca="false">IF(AND(ISNUMBER(B94),ISNUMBER(B93),B93&lt;&gt;0),B94/B93-1,"")</f>
        <v>0.000448770288041356</v>
      </c>
      <c r="D94" s="9" t="n">
        <f aca="false">IF(ISNUMBER(C94),ABS(C94-BTC_Fit!$B$9),"")</f>
        <v>0.000458133548325468</v>
      </c>
    </row>
    <row r="95" customFormat="false" ht="15" hidden="false" customHeight="false" outlineLevel="0" collapsed="false">
      <c r="A95" s="7" t="s">
        <v>119</v>
      </c>
      <c r="B95" s="8" t="n">
        <v>99.334621</v>
      </c>
      <c r="C95" s="9" t="n">
        <f aca="false">IF(AND(ISNUMBER(B95),ISNUMBER(B94),B94&lt;&gt;0),B95/B94-1,"")</f>
        <v>-0.00010255191089048</v>
      </c>
      <c r="D95" s="9" t="n">
        <f aca="false">IF(ISNUMBER(C95),ABS(C95-BTC_Fit!$B$9),"")</f>
        <v>9.31886506063684E-005</v>
      </c>
    </row>
    <row r="96" customFormat="false" ht="15" hidden="false" customHeight="false" outlineLevel="0" collapsed="false">
      <c r="A96" s="7" t="s">
        <v>120</v>
      </c>
      <c r="B96" s="8" t="n">
        <v>99.310326</v>
      </c>
      <c r="C96" s="9" t="n">
        <f aca="false">IF(AND(ISNUMBER(B96),ISNUMBER(B95),B95&lt;&gt;0),B96/B95-1,"")</f>
        <v>-0.000244577366435017</v>
      </c>
      <c r="D96" s="9" t="n">
        <f aca="false">IF(ISNUMBER(C96),ABS(C96-BTC_Fit!$B$9),"")</f>
        <v>0.000235214106150905</v>
      </c>
    </row>
    <row r="97" customFormat="false" ht="15" hidden="false" customHeight="false" outlineLevel="0" collapsed="false">
      <c r="A97" s="7" t="s">
        <v>121</v>
      </c>
      <c r="B97" s="8" t="n">
        <v>99.265119</v>
      </c>
      <c r="C97" s="9" t="n">
        <f aca="false">IF(AND(ISNUMBER(B97),ISNUMBER(B96),B96&lt;&gt;0),B97/B96-1,"")</f>
        <v>-0.000455209461300177</v>
      </c>
      <c r="D97" s="9" t="n">
        <f aca="false">IF(ISNUMBER(C97),ABS(C97-BTC_Fit!$B$9),"")</f>
        <v>0.000445846201016065</v>
      </c>
    </row>
    <row r="98" customFormat="false" ht="15" hidden="false" customHeight="false" outlineLevel="0" collapsed="false">
      <c r="A98" s="7" t="s">
        <v>122</v>
      </c>
      <c r="B98" s="8" t="n">
        <v>99.292087</v>
      </c>
      <c r="C98" s="9" t="n">
        <f aca="false">IF(AND(ISNUMBER(B98),ISNUMBER(B97),B97&lt;&gt;0),B98/B97-1,"")</f>
        <v>0.000271676498972306</v>
      </c>
      <c r="D98" s="9" t="n">
        <f aca="false">IF(ISNUMBER(C98),ABS(C98-BTC_Fit!$B$9),"")</f>
        <v>0.000281039759256418</v>
      </c>
    </row>
    <row r="99" customFormat="false" ht="15" hidden="false" customHeight="false" outlineLevel="0" collapsed="false">
      <c r="A99" s="7" t="s">
        <v>123</v>
      </c>
      <c r="B99" s="8" t="n">
        <v>99.26318</v>
      </c>
      <c r="C99" s="9" t="n">
        <f aca="false">IF(AND(ISNUMBER(B99),ISNUMBER(B98),B98&lt;&gt;0),B99/B98-1,"")</f>
        <v>-0.000291130953869345</v>
      </c>
      <c r="D99" s="9" t="n">
        <f aca="false">IF(ISNUMBER(C99),ABS(C99-BTC_Fit!$B$9),"")</f>
        <v>0.000281767693585233</v>
      </c>
    </row>
    <row r="100" customFormat="false" ht="15" hidden="false" customHeight="false" outlineLevel="0" collapsed="false">
      <c r="A100" s="7" t="s">
        <v>124</v>
      </c>
      <c r="B100" s="8" t="n">
        <v>99.107621</v>
      </c>
      <c r="C100" s="9" t="n">
        <f aca="false">IF(AND(ISNUMBER(B100),ISNUMBER(B99),B99&lt;&gt;0),B100/B99-1,"")</f>
        <v>-0.00156713697868649</v>
      </c>
      <c r="D100" s="9" t="n">
        <f aca="false">IF(ISNUMBER(C100),ABS(C100-BTC_Fit!$B$9),"")</f>
        <v>0.00155777371840238</v>
      </c>
    </row>
    <row r="101" customFormat="false" ht="15" hidden="false" customHeight="false" outlineLevel="0" collapsed="false">
      <c r="A101" s="7" t="s">
        <v>125</v>
      </c>
      <c r="B101" s="8" t="n">
        <v>98.978832</v>
      </c>
      <c r="C101" s="9" t="n">
        <f aca="false">IF(AND(ISNUMBER(B101),ISNUMBER(B100),B100&lt;&gt;0),B101/B100-1,"")</f>
        <v>-0.00129948634323485</v>
      </c>
      <c r="D101" s="9" t="n">
        <f aca="false">IF(ISNUMBER(C101),ABS(C101-BTC_Fit!$B$9),"")</f>
        <v>0.00129012308295073</v>
      </c>
    </row>
    <row r="102" customFormat="false" ht="15" hidden="false" customHeight="false" outlineLevel="0" collapsed="false">
      <c r="A102" s="7" t="s">
        <v>126</v>
      </c>
      <c r="B102" s="8" t="n">
        <v>99.208156</v>
      </c>
      <c r="C102" s="9" t="n">
        <f aca="false">IF(AND(ISNUMBER(B102),ISNUMBER(B101),B101&lt;&gt;0),B102/B101-1,"")</f>
        <v>0.00231689943562885</v>
      </c>
      <c r="D102" s="9" t="n">
        <f aca="false">IF(ISNUMBER(C102),ABS(C102-BTC_Fit!$B$9),"")</f>
        <v>0.00232626269591296</v>
      </c>
    </row>
    <row r="103" customFormat="false" ht="15" hidden="false" customHeight="false" outlineLevel="0" collapsed="false">
      <c r="A103" s="7" t="s">
        <v>127</v>
      </c>
      <c r="B103" s="8" t="n">
        <v>99.359869</v>
      </c>
      <c r="C103" s="9" t="n">
        <f aca="false">IF(AND(ISNUMBER(B103),ISNUMBER(B102),B102&lt;&gt;0),B103/B102-1,"")</f>
        <v>0.0015292391887618</v>
      </c>
      <c r="D103" s="9" t="n">
        <f aca="false">IF(ISNUMBER(C103),ABS(C103-BTC_Fit!$B$9),"")</f>
        <v>0.00153860244904591</v>
      </c>
    </row>
    <row r="104" customFormat="false" ht="15" hidden="false" customHeight="false" outlineLevel="0" collapsed="false">
      <c r="A104" s="7" t="s">
        <v>128</v>
      </c>
      <c r="B104" s="8" t="n">
        <v>99.405462</v>
      </c>
      <c r="C104" s="9" t="n">
        <f aca="false">IF(AND(ISNUMBER(B104),ISNUMBER(B103),B103&lt;&gt;0),B104/B103-1,"")</f>
        <v>0.000458867352170156</v>
      </c>
      <c r="D104" s="9" t="n">
        <f aca="false">IF(ISNUMBER(C104),ABS(C104-BTC_Fit!$B$9),"")</f>
        <v>0.000468230612454268</v>
      </c>
    </row>
    <row r="105" customFormat="false" ht="15" hidden="false" customHeight="false" outlineLevel="0" collapsed="false">
      <c r="A105" s="7" t="s">
        <v>129</v>
      </c>
      <c r="B105" s="8" t="n">
        <v>99.348956</v>
      </c>
      <c r="C105" s="9" t="n">
        <f aca="false">IF(AND(ISNUMBER(B105),ISNUMBER(B104),B104&lt;&gt;0),B105/B104-1,"")</f>
        <v>-0.00056843958936581</v>
      </c>
      <c r="D105" s="9" t="n">
        <f aca="false">IF(ISNUMBER(C105),ABS(C105-BTC_Fit!$B$9),"")</f>
        <v>0.000559076329081698</v>
      </c>
    </row>
    <row r="106" customFormat="false" ht="15" hidden="false" customHeight="false" outlineLevel="0" collapsed="false">
      <c r="A106" s="7" t="s">
        <v>130</v>
      </c>
      <c r="B106" s="8" t="n">
        <v>99.598093</v>
      </c>
      <c r="C106" s="9" t="n">
        <f aca="false">IF(AND(ISNUMBER(B106),ISNUMBER(B105),B105&lt;&gt;0),B106/B105-1,"")</f>
        <v>0.00250769620568536</v>
      </c>
      <c r="D106" s="9" t="n">
        <f aca="false">IF(ISNUMBER(C106),ABS(C106-BTC_Fit!$B$9),"")</f>
        <v>0.00251705946596947</v>
      </c>
    </row>
    <row r="107" customFormat="false" ht="15" hidden="false" customHeight="false" outlineLevel="0" collapsed="false">
      <c r="A107" s="7" t="s">
        <v>131</v>
      </c>
      <c r="B107" s="8" t="n">
        <v>99.671176</v>
      </c>
      <c r="C107" s="9" t="n">
        <f aca="false">IF(AND(ISNUMBER(B107),ISNUMBER(B106),B106&lt;&gt;0),B107/B106-1,"")</f>
        <v>0.000733779109606036</v>
      </c>
      <c r="D107" s="9" t="n">
        <f aca="false">IF(ISNUMBER(C107),ABS(C107-BTC_Fit!$B$9),"")</f>
        <v>0.000743142369890149</v>
      </c>
    </row>
    <row r="108" customFormat="false" ht="15" hidden="false" customHeight="false" outlineLevel="0" collapsed="false">
      <c r="A108" s="7" t="s">
        <v>132</v>
      </c>
      <c r="B108" s="8" t="n">
        <v>99.722198</v>
      </c>
      <c r="C108" s="9" t="n">
        <f aca="false">IF(AND(ISNUMBER(B108),ISNUMBER(B107),B107&lt;&gt;0),B108/B107-1,"")</f>
        <v>0.000511903260778324</v>
      </c>
      <c r="D108" s="9" t="n">
        <f aca="false">IF(ISNUMBER(C108),ABS(C108-BTC_Fit!$B$9),"")</f>
        <v>0.000521266521062436</v>
      </c>
    </row>
    <row r="109" customFormat="false" ht="15" hidden="false" customHeight="false" outlineLevel="0" collapsed="false">
      <c r="A109" s="7" t="s">
        <v>133</v>
      </c>
      <c r="B109" s="8" t="n">
        <v>99.712614</v>
      </c>
      <c r="C109" s="9" t="n">
        <f aca="false">IF(AND(ISNUMBER(B109),ISNUMBER(B108),B108&lt;&gt;0),B109/B108-1,"")</f>
        <v>-9.61069871324716E-005</v>
      </c>
      <c r="D109" s="9" t="n">
        <f aca="false">IF(ISNUMBER(C109),ABS(C109-BTC_Fit!$B$9),"")</f>
        <v>8.67437268483595E-005</v>
      </c>
    </row>
    <row r="110" customFormat="false" ht="15" hidden="false" customHeight="false" outlineLevel="0" collapsed="false">
      <c r="A110" s="7" t="s">
        <v>134</v>
      </c>
      <c r="B110" s="8" t="n">
        <v>99.658059</v>
      </c>
      <c r="C110" s="9" t="n">
        <f aca="false">IF(AND(ISNUMBER(B110),ISNUMBER(B109),B109&lt;&gt;0),B110/B109-1,"")</f>
        <v>-0.000547122353045548</v>
      </c>
      <c r="D110" s="9" t="n">
        <f aca="false">IF(ISNUMBER(C110),ABS(C110-BTC_Fit!$B$9),"")</f>
        <v>0.000537759092761436</v>
      </c>
    </row>
    <row r="111" customFormat="false" ht="15" hidden="false" customHeight="false" outlineLevel="0" collapsed="false">
      <c r="A111" s="7" t="s">
        <v>135</v>
      </c>
      <c r="B111" s="8" t="n">
        <v>99.510408</v>
      </c>
      <c r="C111" s="9" t="n">
        <f aca="false">IF(AND(ISNUMBER(B111),ISNUMBER(B110),B110&lt;&gt;0),B111/B110-1,"")</f>
        <v>-0.00148157611618738</v>
      </c>
      <c r="D111" s="9" t="n">
        <f aca="false">IF(ISNUMBER(C111),ABS(C111-BTC_Fit!$B$9),"")</f>
        <v>0.00147221285590327</v>
      </c>
    </row>
    <row r="112" customFormat="false" ht="15" hidden="false" customHeight="false" outlineLevel="0" collapsed="false">
      <c r="A112" s="7" t="s">
        <v>136</v>
      </c>
      <c r="B112" s="8" t="n">
        <v>99.656909</v>
      </c>
      <c r="C112" s="9" t="n">
        <f aca="false">IF(AND(ISNUMBER(B112),ISNUMBER(B111),B111&lt;&gt;0),B112/B111-1,"")</f>
        <v>0.00147221786086948</v>
      </c>
      <c r="D112" s="9" t="n">
        <f aca="false">IF(ISNUMBER(C112),ABS(C112-BTC_Fit!$B$9),"")</f>
        <v>0.0014815811211536</v>
      </c>
    </row>
    <row r="113" customFormat="false" ht="15" hidden="false" customHeight="false" outlineLevel="0" collapsed="false">
      <c r="A113" s="7" t="s">
        <v>137</v>
      </c>
      <c r="B113" s="8" t="n">
        <v>99.648604</v>
      </c>
      <c r="C113" s="9" t="n">
        <f aca="false">IF(AND(ISNUMBER(B113),ISNUMBER(B112),B112&lt;&gt;0),B113/B112-1,"")</f>
        <v>-8.3335918034444E-005</v>
      </c>
      <c r="D113" s="9" t="n">
        <f aca="false">IF(ISNUMBER(C113),ABS(C113-BTC_Fit!$B$9),"")</f>
        <v>7.39726577503319E-005</v>
      </c>
    </row>
    <row r="114" customFormat="false" ht="15" hidden="false" customHeight="false" outlineLevel="0" collapsed="false">
      <c r="A114" s="7" t="s">
        <v>138</v>
      </c>
      <c r="B114" s="8" t="n">
        <v>99.567481</v>
      </c>
      <c r="C114" s="9" t="n">
        <f aca="false">IF(AND(ISNUMBER(B114),ISNUMBER(B113),B113&lt;&gt;0),B114/B113-1,"")</f>
        <v>-0.00081409068209326</v>
      </c>
      <c r="D114" s="9" t="n">
        <f aca="false">IF(ISNUMBER(C114),ABS(C114-BTC_Fit!$B$9),"")</f>
        <v>0.000804727421809148</v>
      </c>
    </row>
    <row r="115" customFormat="false" ht="15" hidden="false" customHeight="false" outlineLevel="0" collapsed="false">
      <c r="A115" s="7" t="s">
        <v>139</v>
      </c>
      <c r="B115" s="8" t="n">
        <v>99.523467</v>
      </c>
      <c r="C115" s="9" t="n">
        <f aca="false">IF(AND(ISNUMBER(B115),ISNUMBER(B114),B114&lt;&gt;0),B115/B114-1,"")</f>
        <v>-0.000442051958711387</v>
      </c>
      <c r="D115" s="9" t="n">
        <f aca="false">IF(ISNUMBER(C115),ABS(C115-BTC_Fit!$B$9),"")</f>
        <v>0.000432688698427275</v>
      </c>
    </row>
    <row r="116" customFormat="false" ht="15" hidden="false" customHeight="false" outlineLevel="0" collapsed="false">
      <c r="A116" s="7" t="s">
        <v>140</v>
      </c>
      <c r="B116" s="8" t="n">
        <v>99.538918</v>
      </c>
      <c r="C116" s="9" t="n">
        <f aca="false">IF(AND(ISNUMBER(B116),ISNUMBER(B115),B115&lt;&gt;0),B116/B115-1,"")</f>
        <v>0.000155249816608638</v>
      </c>
      <c r="D116" s="9" t="n">
        <f aca="false">IF(ISNUMBER(C116),ABS(C116-BTC_Fit!$B$9),"")</f>
        <v>0.00016461307689275</v>
      </c>
    </row>
    <row r="117" customFormat="false" ht="15" hidden="false" customHeight="false" outlineLevel="0" collapsed="false">
      <c r="A117" s="7" t="s">
        <v>141</v>
      </c>
      <c r="B117" s="8" t="n">
        <v>99.445772</v>
      </c>
      <c r="C117" s="9" t="n">
        <f aca="false">IF(AND(ISNUMBER(B117),ISNUMBER(B116),B116&lt;&gt;0),B117/B116-1,"")</f>
        <v>-0.000935774688649804</v>
      </c>
      <c r="D117" s="9" t="n">
        <f aca="false">IF(ISNUMBER(C117),ABS(C117-BTC_Fit!$B$9),"")</f>
        <v>0.000926411428365692</v>
      </c>
    </row>
    <row r="118" customFormat="false" ht="15" hidden="false" customHeight="false" outlineLevel="0" collapsed="false">
      <c r="A118" s="7" t="s">
        <v>142</v>
      </c>
      <c r="B118" s="8" t="n">
        <v>99.557566</v>
      </c>
      <c r="C118" s="9" t="n">
        <f aca="false">IF(AND(ISNUMBER(B118),ISNUMBER(B117),B117&lt;&gt;0),B118/B117-1,"")</f>
        <v>0.00112417046749846</v>
      </c>
      <c r="D118" s="9" t="n">
        <f aca="false">IF(ISNUMBER(C118),ABS(C118-BTC_Fit!$B$9),"")</f>
        <v>0.00113353372778258</v>
      </c>
    </row>
    <row r="119" customFormat="false" ht="15" hidden="false" customHeight="false" outlineLevel="0" collapsed="false">
      <c r="A119" s="7" t="s">
        <v>143</v>
      </c>
      <c r="B119" s="8" t="n">
        <v>99.62278</v>
      </c>
      <c r="C119" s="9" t="n">
        <f aca="false">IF(AND(ISNUMBER(B119),ISNUMBER(B118),B118&lt;&gt;0),B119/B118-1,"")</f>
        <v>0.000655038111317507</v>
      </c>
      <c r="D119" s="9" t="n">
        <f aca="false">IF(ISNUMBER(C119),ABS(C119-BTC_Fit!$B$9),"")</f>
        <v>0.00066440137160162</v>
      </c>
    </row>
    <row r="120" customFormat="false" ht="15" hidden="false" customHeight="false" outlineLevel="0" collapsed="false">
      <c r="A120" s="7" t="s">
        <v>144</v>
      </c>
      <c r="B120" s="8" t="n">
        <v>99.674595</v>
      </c>
      <c r="C120" s="9" t="n">
        <f aca="false">IF(AND(ISNUMBER(B120),ISNUMBER(B119),B119&lt;&gt;0),B120/B119-1,"")</f>
        <v>0.000520111966359371</v>
      </c>
      <c r="D120" s="9" t="n">
        <f aca="false">IF(ISNUMBER(C120),ABS(C120-BTC_Fit!$B$9),"")</f>
        <v>0.000529475226643483</v>
      </c>
    </row>
    <row r="121" customFormat="false" ht="15" hidden="false" customHeight="false" outlineLevel="0" collapsed="false">
      <c r="A121" s="7" t="s">
        <v>145</v>
      </c>
      <c r="B121" s="8" t="n">
        <v>99.6615</v>
      </c>
      <c r="C121" s="9" t="n">
        <f aca="false">IF(AND(ISNUMBER(B121),ISNUMBER(B120),B120&lt;&gt;0),B121/B120-1,"")</f>
        <v>-0.000131377508983066</v>
      </c>
      <c r="D121" s="9" t="n">
        <f aca="false">IF(ISNUMBER(C121),ABS(C121-BTC_Fit!$B$9),"")</f>
        <v>0.000122014248698954</v>
      </c>
    </row>
    <row r="122" customFormat="false" ht="15" hidden="false" customHeight="false" outlineLevel="0" collapsed="false">
      <c r="A122" s="7" t="s">
        <v>146</v>
      </c>
      <c r="B122" s="8" t="n">
        <v>99.687858</v>
      </c>
      <c r="C122" s="9" t="n">
        <f aca="false">IF(AND(ISNUMBER(B122),ISNUMBER(B121),B121&lt;&gt;0),B122/B121-1,"")</f>
        <v>0.000264475248716867</v>
      </c>
      <c r="D122" s="9" t="n">
        <f aca="false">IF(ISNUMBER(C122),ABS(C122-BTC_Fit!$B$9),"")</f>
        <v>0.000273838509000979</v>
      </c>
    </row>
    <row r="123" customFormat="false" ht="15" hidden="false" customHeight="false" outlineLevel="0" collapsed="false">
      <c r="A123" s="7" t="s">
        <v>147</v>
      </c>
      <c r="B123" s="8" t="n">
        <v>99.704381</v>
      </c>
      <c r="C123" s="9" t="n">
        <f aca="false">IF(AND(ISNUMBER(B123),ISNUMBER(B122),B122&lt;&gt;0),B123/B122-1,"")</f>
        <v>0.000165747367146585</v>
      </c>
      <c r="D123" s="9" t="n">
        <f aca="false">IF(ISNUMBER(C123),ABS(C123-BTC_Fit!$B$9),"")</f>
        <v>0.000175110627430697</v>
      </c>
    </row>
    <row r="124" customFormat="false" ht="15" hidden="false" customHeight="false" outlineLevel="0" collapsed="false">
      <c r="A124" s="7" t="s">
        <v>148</v>
      </c>
      <c r="B124" s="8" t="n">
        <v>99.736347</v>
      </c>
      <c r="C124" s="9" t="n">
        <f aca="false">IF(AND(ISNUMBER(B124),ISNUMBER(B123),B123&lt;&gt;0),B124/B123-1,"")</f>
        <v>0.000320607777505755</v>
      </c>
      <c r="D124" s="9" t="n">
        <f aca="false">IF(ISNUMBER(C124),ABS(C124-BTC_Fit!$B$9),"")</f>
        <v>0.000329971037789867</v>
      </c>
    </row>
    <row r="125" customFormat="false" ht="15" hidden="false" customHeight="false" outlineLevel="0" collapsed="false">
      <c r="A125" s="7" t="s">
        <v>149</v>
      </c>
      <c r="B125" s="8" t="n">
        <v>99.576703</v>
      </c>
      <c r="C125" s="9" t="n">
        <f aca="false">IF(AND(ISNUMBER(B125),ISNUMBER(B124),B124&lt;&gt;0),B125/B124-1,"")</f>
        <v>-0.00160066018860705</v>
      </c>
      <c r="D125" s="9" t="n">
        <f aca="false">IF(ISNUMBER(C125),ABS(C125-BTC_Fit!$B$9),"")</f>
        <v>0.00159129692832294</v>
      </c>
    </row>
    <row r="126" customFormat="false" ht="15" hidden="false" customHeight="false" outlineLevel="0" collapsed="false">
      <c r="A126" s="7" t="s">
        <v>150</v>
      </c>
      <c r="B126" s="8" t="n">
        <v>99.560178</v>
      </c>
      <c r="C126" s="9" t="n">
        <f aca="false">IF(AND(ISNUMBER(B126),ISNUMBER(B125),B125&lt;&gt;0),B126/B125-1,"")</f>
        <v>-0.000165952471834707</v>
      </c>
      <c r="D126" s="9" t="n">
        <f aca="false">IF(ISNUMBER(C126),ABS(C126-BTC_Fit!$B$9),"")</f>
        <v>0.000156589211550595</v>
      </c>
    </row>
    <row r="127" customFormat="false" ht="15" hidden="false" customHeight="false" outlineLevel="0" collapsed="false">
      <c r="A127" s="7" t="s">
        <v>151</v>
      </c>
      <c r="B127" s="8" t="n">
        <v>99.337407</v>
      </c>
      <c r="C127" s="9" t="n">
        <f aca="false">IF(AND(ISNUMBER(B127),ISNUMBER(B126),B126&lt;&gt;0),B127/B126-1,"")</f>
        <v>-0.00223755124262626</v>
      </c>
      <c r="D127" s="9" t="n">
        <f aca="false">IF(ISNUMBER(C127),ABS(C127-BTC_Fit!$B$9),"")</f>
        <v>0.00222818798234214</v>
      </c>
    </row>
    <row r="128" customFormat="false" ht="15" hidden="false" customHeight="false" outlineLevel="0" collapsed="false">
      <c r="A128" s="7" t="s">
        <v>152</v>
      </c>
      <c r="B128" s="8" t="n">
        <v>99.336326</v>
      </c>
      <c r="C128" s="9" t="n">
        <f aca="false">IF(AND(ISNUMBER(B128),ISNUMBER(B127),B127&lt;&gt;0),B128/B127-1,"")</f>
        <v>-1.08821040597507E-005</v>
      </c>
      <c r="D128" s="9" t="n">
        <f aca="false">IF(ISNUMBER(C128),ABS(C128-BTC_Fit!$B$9),"")</f>
        <v>1.5188437756386E-006</v>
      </c>
    </row>
    <row r="129" customFormat="false" ht="15" hidden="false" customHeight="false" outlineLevel="0" collapsed="false">
      <c r="A129" s="7" t="s">
        <v>153</v>
      </c>
      <c r="B129" s="8" t="n">
        <v>99.29914</v>
      </c>
      <c r="C129" s="9" t="n">
        <f aca="false">IF(AND(ISNUMBER(B129),ISNUMBER(B128),B128&lt;&gt;0),B129/B128-1,"")</f>
        <v>-0.000374344426630091</v>
      </c>
      <c r="D129" s="9" t="n">
        <f aca="false">IF(ISNUMBER(C129),ABS(C129-BTC_Fit!$B$9),"")</f>
        <v>0.000364981166345979</v>
      </c>
    </row>
    <row r="130" customFormat="false" ht="15" hidden="false" customHeight="false" outlineLevel="0" collapsed="false">
      <c r="A130" s="7" t="s">
        <v>154</v>
      </c>
      <c r="B130" s="8" t="n">
        <v>99.188219</v>
      </c>
      <c r="C130" s="9" t="n">
        <f aca="false">IF(AND(ISNUMBER(B130),ISNUMBER(B129),B129&lt;&gt;0),B130/B129-1,"")</f>
        <v>-0.00111703887868508</v>
      </c>
      <c r="D130" s="9" t="n">
        <f aca="false">IF(ISNUMBER(C130),ABS(C130-BTC_Fit!$B$9),"")</f>
        <v>0.00110767561840097</v>
      </c>
    </row>
    <row r="131" customFormat="false" ht="15" hidden="false" customHeight="false" outlineLevel="0" collapsed="false">
      <c r="A131" s="7" t="s">
        <v>155</v>
      </c>
      <c r="B131" s="8" t="n">
        <v>99.047533</v>
      </c>
      <c r="C131" s="9" t="n">
        <f aca="false">IF(AND(ISNUMBER(B131),ISNUMBER(B130),B130&lt;&gt;0),B131/B130-1,"")</f>
        <v>-0.00141837409138279</v>
      </c>
      <c r="D131" s="9" t="n">
        <f aca="false">IF(ISNUMBER(C131),ABS(C131-BTC_Fit!$B$9),"")</f>
        <v>0.00140901083109868</v>
      </c>
    </row>
    <row r="132" customFormat="false" ht="15" hidden="false" customHeight="false" outlineLevel="0" collapsed="false">
      <c r="A132" s="7" t="s">
        <v>156</v>
      </c>
      <c r="B132" s="8" t="n">
        <v>99.064712</v>
      </c>
      <c r="C132" s="9" t="n">
        <f aca="false">IF(AND(ISNUMBER(B132),ISNUMBER(B131),B131&lt;&gt;0),B132/B131-1,"")</f>
        <v>0.000173441977600719</v>
      </c>
      <c r="D132" s="9" t="n">
        <f aca="false">IF(ISNUMBER(C132),ABS(C132-BTC_Fit!$B$9),"")</f>
        <v>0.000182805237884831</v>
      </c>
    </row>
    <row r="133" customFormat="false" ht="15" hidden="false" customHeight="false" outlineLevel="0" collapsed="false">
      <c r="A133" s="7" t="s">
        <v>157</v>
      </c>
      <c r="B133" s="8" t="n">
        <v>98.968838</v>
      </c>
      <c r="C133" s="9" t="n">
        <f aca="false">IF(AND(ISNUMBER(B133),ISNUMBER(B132),B132&lt;&gt;0),B133/B132-1,"")</f>
        <v>-0.00096779163906513</v>
      </c>
      <c r="D133" s="9" t="n">
        <f aca="false">IF(ISNUMBER(C133),ABS(C133-BTC_Fit!$B$9),"")</f>
        <v>0.000958428378781018</v>
      </c>
    </row>
    <row r="134" customFormat="false" ht="15" hidden="false" customHeight="false" outlineLevel="0" collapsed="false">
      <c r="A134" s="7" t="s">
        <v>158</v>
      </c>
      <c r="B134" s="8" t="n">
        <v>99.137961</v>
      </c>
      <c r="C134" s="9" t="n">
        <f aca="false">IF(AND(ISNUMBER(B134),ISNUMBER(B133),B133&lt;&gt;0),B134/B133-1,"")</f>
        <v>0.00170885102237928</v>
      </c>
      <c r="D134" s="9" t="n">
        <f aca="false">IF(ISNUMBER(C134),ABS(C134-BTC_Fit!$B$9),"")</f>
        <v>0.00171821428266339</v>
      </c>
    </row>
    <row r="135" customFormat="false" ht="15" hidden="false" customHeight="false" outlineLevel="0" collapsed="false">
      <c r="A135" s="7" t="s">
        <v>159</v>
      </c>
      <c r="B135" s="8" t="n">
        <v>99.153743</v>
      </c>
      <c r="C135" s="9" t="n">
        <f aca="false">IF(AND(ISNUMBER(B135),ISNUMBER(B134),B134&lt;&gt;0),B135/B134-1,"")</f>
        <v>0.000159192299708399</v>
      </c>
      <c r="D135" s="9" t="n">
        <f aca="false">IF(ISNUMBER(C135),ABS(C135-BTC_Fit!$B$9),"")</f>
        <v>0.000168555559992511</v>
      </c>
    </row>
    <row r="136" customFormat="false" ht="15" hidden="false" customHeight="false" outlineLevel="0" collapsed="false">
      <c r="A136" s="7" t="s">
        <v>160</v>
      </c>
      <c r="B136" s="8" t="n">
        <v>99.121112</v>
      </c>
      <c r="C136" s="9" t="n">
        <f aca="false">IF(AND(ISNUMBER(B136),ISNUMBER(B135),B135&lt;&gt;0),B136/B135-1,"")</f>
        <v>-0.000329094989384382</v>
      </c>
      <c r="D136" s="9" t="n">
        <f aca="false">IF(ISNUMBER(C136),ABS(C136-BTC_Fit!$B$9),"")</f>
        <v>0.00031973172910027</v>
      </c>
    </row>
    <row r="137" customFormat="false" ht="15" hidden="false" customHeight="false" outlineLevel="0" collapsed="false">
      <c r="A137" s="7" t="s">
        <v>161</v>
      </c>
      <c r="B137" s="8" t="n">
        <v>99.139015</v>
      </c>
      <c r="C137" s="9" t="n">
        <f aca="false">IF(AND(ISNUMBER(B137),ISNUMBER(B136),B136&lt;&gt;0),B137/B136-1,"")</f>
        <v>0.000180617424873075</v>
      </c>
      <c r="D137" s="9" t="n">
        <f aca="false">IF(ISNUMBER(C137),ABS(C137-BTC_Fit!$B$9),"")</f>
        <v>0.000189980685157187</v>
      </c>
    </row>
    <row r="138" customFormat="false" ht="15" hidden="false" customHeight="false" outlineLevel="0" collapsed="false">
      <c r="A138" s="7" t="s">
        <v>162</v>
      </c>
      <c r="B138" s="8" t="n">
        <v>98.863517</v>
      </c>
      <c r="C138" s="9" t="n">
        <f aca="false">IF(AND(ISNUMBER(B138),ISNUMBER(B137),B137&lt;&gt;0),B138/B137-1,"")</f>
        <v>-0.00277890596350994</v>
      </c>
      <c r="D138" s="9" t="n">
        <f aca="false">IF(ISNUMBER(C138),ABS(C138-BTC_Fit!$B$9),"")</f>
        <v>0.00276954270322582</v>
      </c>
    </row>
    <row r="139" customFormat="false" ht="15" hidden="false" customHeight="false" outlineLevel="0" collapsed="false">
      <c r="A139" s="7" t="s">
        <v>163</v>
      </c>
      <c r="B139" s="8" t="n">
        <v>99.085101</v>
      </c>
      <c r="C139" s="9" t="n">
        <f aca="false">IF(AND(ISNUMBER(B139),ISNUMBER(B138),B138&lt;&gt;0),B139/B138-1,"")</f>
        <v>0.00224131213134959</v>
      </c>
      <c r="D139" s="9" t="n">
        <f aca="false">IF(ISNUMBER(C139),ABS(C139-BTC_Fit!$B$9),"")</f>
        <v>0.00225067539163371</v>
      </c>
    </row>
    <row r="140" customFormat="false" ht="15" hidden="false" customHeight="false" outlineLevel="0" collapsed="false">
      <c r="A140" s="7" t="s">
        <v>164</v>
      </c>
      <c r="B140" s="8" t="n">
        <v>99.081887</v>
      </c>
      <c r="C140" s="9" t="n">
        <f aca="false">IF(AND(ISNUMBER(B140),ISNUMBER(B139),B139&lt;&gt;0),B140/B139-1,"")</f>
        <v>-3.24367636260758E-005</v>
      </c>
      <c r="D140" s="9" t="n">
        <f aca="false">IF(ISNUMBER(C140),ABS(C140-BTC_Fit!$B$9),"")</f>
        <v>2.30735033419638E-005</v>
      </c>
    </row>
    <row r="141" customFormat="false" ht="15" hidden="false" customHeight="false" outlineLevel="0" collapsed="false">
      <c r="A141" s="7" t="s">
        <v>165</v>
      </c>
      <c r="B141" s="8" t="n">
        <v>99.156213</v>
      </c>
      <c r="C141" s="9" t="n">
        <f aca="false">IF(AND(ISNUMBER(B141),ISNUMBER(B140),B140&lt;&gt;0),B141/B140-1,"")</f>
        <v>0.000750147198952611</v>
      </c>
      <c r="D141" s="9" t="n">
        <f aca="false">IF(ISNUMBER(C141),ABS(C141-BTC_Fit!$B$9),"")</f>
        <v>0.000759510459236723</v>
      </c>
    </row>
    <row r="142" customFormat="false" ht="15" hidden="false" customHeight="false" outlineLevel="0" collapsed="false">
      <c r="A142" s="7" t="s">
        <v>166</v>
      </c>
      <c r="B142" s="8" t="n">
        <v>98.995667</v>
      </c>
      <c r="C142" s="9" t="n">
        <f aca="false">IF(AND(ISNUMBER(B142),ISNUMBER(B141),B141&lt;&gt;0),B142/B141-1,"")</f>
        <v>-0.00161912194044767</v>
      </c>
      <c r="D142" s="9" t="n">
        <f aca="false">IF(ISNUMBER(C142),ABS(C142-BTC_Fit!$B$9),"")</f>
        <v>0.00160975868016355</v>
      </c>
    </row>
    <row r="143" customFormat="false" ht="15" hidden="false" customHeight="false" outlineLevel="0" collapsed="false">
      <c r="A143" s="7" t="s">
        <v>167</v>
      </c>
      <c r="B143" s="8" t="n">
        <v>98.993257</v>
      </c>
      <c r="C143" s="9" t="n">
        <f aca="false">IF(AND(ISNUMBER(B143),ISNUMBER(B142),B142&lt;&gt;0),B143/B142-1,"")</f>
        <v>-2.43444998455633E-005</v>
      </c>
      <c r="D143" s="9" t="n">
        <f aca="false">IF(ISNUMBER(C143),ABS(C143-BTC_Fit!$B$9),"")</f>
        <v>1.49812395614513E-005</v>
      </c>
    </row>
    <row r="144" customFormat="false" ht="15" hidden="false" customHeight="false" outlineLevel="0" collapsed="false">
      <c r="A144" s="7" t="s">
        <v>168</v>
      </c>
      <c r="B144" s="8" t="n">
        <v>98.991585</v>
      </c>
      <c r="C144" s="9" t="n">
        <f aca="false">IF(AND(ISNUMBER(B144),ISNUMBER(B143),B143&lt;&gt;0),B144/B143-1,"")</f>
        <v>-1.68900392881755E-005</v>
      </c>
      <c r="D144" s="9" t="n">
        <f aca="false">IF(ISNUMBER(C144),ABS(C144-BTC_Fit!$B$9),"")</f>
        <v>7.5267790040634E-006</v>
      </c>
    </row>
    <row r="145" customFormat="false" ht="15" hidden="false" customHeight="false" outlineLevel="0" collapsed="false">
      <c r="A145" s="7" t="s">
        <v>169</v>
      </c>
      <c r="B145" s="8" t="n">
        <v>99.177315</v>
      </c>
      <c r="C145" s="9" t="n">
        <f aca="false">IF(AND(ISNUMBER(B145),ISNUMBER(B144),B144&lt;&gt;0),B145/B144-1,"")</f>
        <v>0.00187622008476773</v>
      </c>
      <c r="D145" s="9" t="n">
        <f aca="false">IF(ISNUMBER(C145),ABS(C145-BTC_Fit!$B$9),"")</f>
        <v>0.00188558334505184</v>
      </c>
    </row>
    <row r="146" customFormat="false" ht="15" hidden="false" customHeight="false" outlineLevel="0" collapsed="false">
      <c r="A146" s="7" t="s">
        <v>170</v>
      </c>
      <c r="B146" s="8" t="n">
        <v>99.191136</v>
      </c>
      <c r="C146" s="9" t="n">
        <f aca="false">IF(AND(ISNUMBER(B146),ISNUMBER(B145),B145&lt;&gt;0),B146/B145-1,"")</f>
        <v>0.000139356464731844</v>
      </c>
      <c r="D146" s="9" t="n">
        <f aca="false">IF(ISNUMBER(C146),ABS(C146-BTC_Fit!$B$9),"")</f>
        <v>0.000148719725015956</v>
      </c>
    </row>
    <row r="147" customFormat="false" ht="15" hidden="false" customHeight="false" outlineLevel="0" collapsed="false">
      <c r="A147" s="7" t="s">
        <v>171</v>
      </c>
      <c r="B147" s="8" t="n">
        <v>99.186273</v>
      </c>
      <c r="C147" s="9" t="n">
        <f aca="false">IF(AND(ISNUMBER(B147),ISNUMBER(B146),B146&lt;&gt;0),B147/B146-1,"")</f>
        <v>-4.90265581795102E-005</v>
      </c>
      <c r="D147" s="9" t="n">
        <f aca="false">IF(ISNUMBER(C147),ABS(C147-BTC_Fit!$B$9),"")</f>
        <v>3.96632978953981E-005</v>
      </c>
    </row>
    <row r="148" customFormat="false" ht="15" hidden="false" customHeight="false" outlineLevel="0" collapsed="false">
      <c r="A148" s="7" t="s">
        <v>172</v>
      </c>
      <c r="B148" s="8" t="n">
        <v>99.130262</v>
      </c>
      <c r="C148" s="9" t="n">
        <f aca="false">IF(AND(ISNUMBER(B148),ISNUMBER(B147),B147&lt;&gt;0),B148/B147-1,"")</f>
        <v>-0.000564705158343837</v>
      </c>
      <c r="D148" s="9" t="n">
        <f aca="false">IF(ISNUMBER(C148),ABS(C148-BTC_Fit!$B$9),"")</f>
        <v>0.000555341898059725</v>
      </c>
    </row>
    <row r="149" customFormat="false" ht="15" hidden="false" customHeight="false" outlineLevel="0" collapsed="false">
      <c r="A149" s="7" t="s">
        <v>173</v>
      </c>
      <c r="B149" s="8" t="n">
        <v>99.093614</v>
      </c>
      <c r="C149" s="9" t="n">
        <f aca="false">IF(AND(ISNUMBER(B149),ISNUMBER(B148),B148&lt;&gt;0),B149/B148-1,"")</f>
        <v>-0.000369695381214674</v>
      </c>
      <c r="D149" s="9" t="n">
        <f aca="false">IF(ISNUMBER(C149),ABS(C149-BTC_Fit!$B$9),"")</f>
        <v>0.000360332120930562</v>
      </c>
    </row>
    <row r="150" customFormat="false" ht="15" hidden="false" customHeight="false" outlineLevel="0" collapsed="false">
      <c r="A150" s="7" t="s">
        <v>174</v>
      </c>
      <c r="B150" s="8" t="n">
        <v>99.09738</v>
      </c>
      <c r="C150" s="9" t="n">
        <f aca="false">IF(AND(ISNUMBER(B150),ISNUMBER(B149),B149&lt;&gt;0),B150/B149-1,"")</f>
        <v>3.80044671697277E-005</v>
      </c>
      <c r="D150" s="9" t="n">
        <f aca="false">IF(ISNUMBER(C150),ABS(C150-BTC_Fit!$B$9),"")</f>
        <v>4.73677274538398E-005</v>
      </c>
    </row>
    <row r="151" customFormat="false" ht="15" hidden="false" customHeight="false" outlineLevel="0" collapsed="false">
      <c r="A151" s="7" t="s">
        <v>175</v>
      </c>
      <c r="B151" s="8" t="n">
        <v>99.085758</v>
      </c>
      <c r="C151" s="9" t="n">
        <f aca="false">IF(AND(ISNUMBER(B151),ISNUMBER(B150),B150&lt;&gt;0),B151/B150-1,"")</f>
        <v>-0.000117278579918056</v>
      </c>
      <c r="D151" s="9" t="n">
        <f aca="false">IF(ISNUMBER(C151),ABS(C151-BTC_Fit!$B$9),"")</f>
        <v>0.000107915319633944</v>
      </c>
    </row>
    <row r="152" customFormat="false" ht="15" hidden="false" customHeight="false" outlineLevel="0" collapsed="false">
      <c r="A152" s="7" t="s">
        <v>176</v>
      </c>
      <c r="B152" s="8" t="n">
        <v>98.80562</v>
      </c>
      <c r="C152" s="9" t="n">
        <f aca="false">IF(AND(ISNUMBER(B152),ISNUMBER(B151),B151&lt;&gt;0),B152/B151-1,"")</f>
        <v>-0.00282722770309729</v>
      </c>
      <c r="D152" s="9" t="n">
        <f aca="false">IF(ISNUMBER(C152),ABS(C152-BTC_Fit!$B$9),"")</f>
        <v>0.00281786444281318</v>
      </c>
    </row>
    <row r="153" customFormat="false" ht="15" hidden="false" customHeight="false" outlineLevel="0" collapsed="false">
      <c r="A153" s="7" t="s">
        <v>177</v>
      </c>
      <c r="B153" s="8" t="n">
        <v>98.899635</v>
      </c>
      <c r="C153" s="9" t="n">
        <f aca="false">IF(AND(ISNUMBER(B153),ISNUMBER(B152),B152&lt;&gt;0),B153/B152-1,"")</f>
        <v>0.000951514701289291</v>
      </c>
      <c r="D153" s="9" t="n">
        <f aca="false">IF(ISNUMBER(C153),ABS(C153-BTC_Fit!$B$9),"")</f>
        <v>0.000960877961573403</v>
      </c>
    </row>
    <row r="154" customFormat="false" ht="15" hidden="false" customHeight="false" outlineLevel="0" collapsed="false">
      <c r="A154" s="7" t="s">
        <v>178</v>
      </c>
      <c r="B154" s="8" t="n">
        <v>99.039537</v>
      </c>
      <c r="C154" s="9" t="n">
        <f aca="false">IF(AND(ISNUMBER(B154),ISNUMBER(B153),B153&lt;&gt;0),B154/B153-1,"")</f>
        <v>0.00141458560489127</v>
      </c>
      <c r="D154" s="9" t="n">
        <f aca="false">IF(ISNUMBER(C154),ABS(C154-BTC_Fit!$B$9),"")</f>
        <v>0.00142394886517538</v>
      </c>
    </row>
    <row r="155" customFormat="false" ht="15" hidden="false" customHeight="false" outlineLevel="0" collapsed="false">
      <c r="A155" s="7" t="s">
        <v>179</v>
      </c>
      <c r="B155" s="8" t="n">
        <v>98.926229</v>
      </c>
      <c r="C155" s="9" t="n">
        <f aca="false">IF(AND(ISNUMBER(B155),ISNUMBER(B154),B154&lt;&gt;0),B155/B154-1,"")</f>
        <v>-0.00114406835322733</v>
      </c>
      <c r="D155" s="9" t="n">
        <f aca="false">IF(ISNUMBER(C155),ABS(C155-BTC_Fit!$B$9),"")</f>
        <v>0.00113470509294322</v>
      </c>
    </row>
    <row r="156" customFormat="false" ht="15" hidden="false" customHeight="false" outlineLevel="0" collapsed="false">
      <c r="A156" s="7" t="s">
        <v>180</v>
      </c>
      <c r="B156" s="8" t="n">
        <v>98.936412</v>
      </c>
      <c r="C156" s="9" t="n">
        <f aca="false">IF(AND(ISNUMBER(B156),ISNUMBER(B155),B155&lt;&gt;0),B156/B155-1,"")</f>
        <v>0.000102935289285178</v>
      </c>
      <c r="D156" s="9" t="n">
        <f aca="false">IF(ISNUMBER(C156),ABS(C156-BTC_Fit!$B$9),"")</f>
        <v>0.00011229854956929</v>
      </c>
    </row>
    <row r="157" customFormat="false" ht="15" hidden="false" customHeight="false" outlineLevel="0" collapsed="false">
      <c r="A157" s="7" t="s">
        <v>181</v>
      </c>
      <c r="B157" s="8" t="n">
        <v>98.800429</v>
      </c>
      <c r="C157" s="9" t="n">
        <f aca="false">IF(AND(ISNUMBER(B157),ISNUMBER(B156),B156&lt;&gt;0),B157/B156-1,"")</f>
        <v>-0.00137444846898238</v>
      </c>
      <c r="D157" s="9" t="n">
        <f aca="false">IF(ISNUMBER(C157),ABS(C157-BTC_Fit!$B$9),"")</f>
        <v>0.00136508520869827</v>
      </c>
    </row>
    <row r="158" customFormat="false" ht="15" hidden="false" customHeight="false" outlineLevel="0" collapsed="false">
      <c r="A158" s="7" t="s">
        <v>182</v>
      </c>
      <c r="B158" s="8" t="n">
        <v>98.837983</v>
      </c>
      <c r="C158" s="9" t="n">
        <f aca="false">IF(AND(ISNUMBER(B158),ISNUMBER(B157),B157&lt;&gt;0),B158/B157-1,"")</f>
        <v>0.000380099564142533</v>
      </c>
      <c r="D158" s="9" t="n">
        <f aca="false">IF(ISNUMBER(C158),ABS(C158-BTC_Fit!$B$9),"")</f>
        <v>0.000389462824426645</v>
      </c>
    </row>
    <row r="159" customFormat="false" ht="15" hidden="false" customHeight="false" outlineLevel="0" collapsed="false">
      <c r="A159" s="7" t="s">
        <v>183</v>
      </c>
      <c r="B159" s="8" t="n">
        <v>98.786796</v>
      </c>
      <c r="C159" s="9" t="n">
        <f aca="false">IF(AND(ISNUMBER(B159),ISNUMBER(B158),B158&lt;&gt;0),B159/B158-1,"")</f>
        <v>-0.000517887945973183</v>
      </c>
      <c r="D159" s="9" t="n">
        <f aca="false">IF(ISNUMBER(C159),ABS(C159-BTC_Fit!$B$9),"")</f>
        <v>0.000508524685689071</v>
      </c>
    </row>
    <row r="160" customFormat="false" ht="15" hidden="false" customHeight="false" outlineLevel="0" collapsed="false">
      <c r="A160" s="7" t="s">
        <v>184</v>
      </c>
      <c r="B160" s="8" t="n">
        <v>98.820934</v>
      </c>
      <c r="C160" s="9" t="n">
        <f aca="false">IF(AND(ISNUMBER(B160),ISNUMBER(B159),B159&lt;&gt;0),B160/B159-1,"")</f>
        <v>0.000345572499385494</v>
      </c>
      <c r="D160" s="9" t="n">
        <f aca="false">IF(ISNUMBER(C160),ABS(C160-BTC_Fit!$B$9),"")</f>
        <v>0.000354935759669606</v>
      </c>
    </row>
    <row r="161" customFormat="false" ht="15" hidden="false" customHeight="false" outlineLevel="0" collapsed="false">
      <c r="A161" s="7" t="s">
        <v>185</v>
      </c>
      <c r="B161" s="8" t="n">
        <v>98.874752</v>
      </c>
      <c r="C161" s="9" t="n">
        <f aca="false">IF(AND(ISNUMBER(B161),ISNUMBER(B160),B160&lt;&gt;0),B161/B160-1,"")</f>
        <v>0.000544601207675299</v>
      </c>
      <c r="D161" s="9" t="n">
        <f aca="false">IF(ISNUMBER(C161),ABS(C161-BTC_Fit!$B$9),"")</f>
        <v>0.000553964467959411</v>
      </c>
    </row>
    <row r="162" customFormat="false" ht="15" hidden="false" customHeight="false" outlineLevel="0" collapsed="false">
      <c r="A162" s="7" t="s">
        <v>186</v>
      </c>
      <c r="B162" s="8" t="n">
        <v>98.943332</v>
      </c>
      <c r="C162" s="9" t="n">
        <f aca="false">IF(AND(ISNUMBER(B162),ISNUMBER(B161),B161&lt;&gt;0),B162/B161-1,"")</f>
        <v>0.000693604773845502</v>
      </c>
      <c r="D162" s="9" t="n">
        <f aca="false">IF(ISNUMBER(C162),ABS(C162-BTC_Fit!$B$9),"")</f>
        <v>0.000702968034129614</v>
      </c>
    </row>
    <row r="163" customFormat="false" ht="15" hidden="false" customHeight="false" outlineLevel="0" collapsed="false">
      <c r="A163" s="7" t="s">
        <v>187</v>
      </c>
      <c r="B163" s="8" t="n">
        <v>98.806652</v>
      </c>
      <c r="C163" s="9" t="n">
        <f aca="false">IF(AND(ISNUMBER(B163),ISNUMBER(B162),B162&lt;&gt;0),B163/B162-1,"")</f>
        <v>-0.00138139677770299</v>
      </c>
      <c r="D163" s="9" t="n">
        <f aca="false">IF(ISNUMBER(C163),ABS(C163-BTC_Fit!$B$9),"")</f>
        <v>0.00137203351741888</v>
      </c>
    </row>
    <row r="164" customFormat="false" ht="15" hidden="false" customHeight="false" outlineLevel="0" collapsed="false">
      <c r="A164" s="7" t="s">
        <v>188</v>
      </c>
      <c r="B164" s="8" t="n">
        <v>98.96529</v>
      </c>
      <c r="C164" s="9" t="n">
        <f aca="false">IF(AND(ISNUMBER(B164),ISNUMBER(B163),B163&lt;&gt;0),B164/B163-1,"")</f>
        <v>0.00160553967560806</v>
      </c>
      <c r="D164" s="9" t="n">
        <f aca="false">IF(ISNUMBER(C164),ABS(C164-BTC_Fit!$B$9),"")</f>
        <v>0.00161490293589217</v>
      </c>
    </row>
    <row r="165" customFormat="false" ht="15" hidden="false" customHeight="false" outlineLevel="0" collapsed="false">
      <c r="A165" s="7" t="s">
        <v>189</v>
      </c>
      <c r="B165" s="8" t="n">
        <v>98.896209</v>
      </c>
      <c r="C165" s="9" t="n">
        <f aca="false">IF(AND(ISNUMBER(B165),ISNUMBER(B164),B164&lt;&gt;0),B165/B164-1,"")</f>
        <v>-0.000698032613252519</v>
      </c>
      <c r="D165" s="9" t="n">
        <f aca="false">IF(ISNUMBER(C165),ABS(C165-BTC_Fit!$B$9),"")</f>
        <v>0.000688669352968407</v>
      </c>
    </row>
    <row r="166" customFormat="false" ht="15" hidden="false" customHeight="false" outlineLevel="0" collapsed="false">
      <c r="A166" s="7" t="s">
        <v>190</v>
      </c>
      <c r="B166" s="8" t="n">
        <v>98.66545</v>
      </c>
      <c r="C166" s="9" t="n">
        <f aca="false">IF(AND(ISNUMBER(B166),ISNUMBER(B165),B165&lt;&gt;0),B166/B165-1,"")</f>
        <v>-0.00233334525492268</v>
      </c>
      <c r="D166" s="9" t="n">
        <f aca="false">IF(ISNUMBER(C166),ABS(C166-BTC_Fit!$B$9),"")</f>
        <v>0.00232398199463857</v>
      </c>
    </row>
    <row r="167" customFormat="false" ht="15" hidden="false" customHeight="false" outlineLevel="0" collapsed="false">
      <c r="A167" s="7" t="s">
        <v>191</v>
      </c>
      <c r="B167" s="8" t="n">
        <v>98.675769</v>
      </c>
      <c r="C167" s="9" t="n">
        <f aca="false">IF(AND(ISNUMBER(B167),ISNUMBER(B166),B166&lt;&gt;0),B167/B166-1,"")</f>
        <v>0.000104585749114872</v>
      </c>
      <c r="D167" s="9" t="n">
        <f aca="false">IF(ISNUMBER(C167),ABS(C167-BTC_Fit!$B$9),"")</f>
        <v>0.000113949009398984</v>
      </c>
    </row>
    <row r="168" customFormat="false" ht="15" hidden="false" customHeight="false" outlineLevel="0" collapsed="false">
      <c r="A168" s="7" t="s">
        <v>192</v>
      </c>
      <c r="B168" s="8" t="n">
        <v>98.649249</v>
      </c>
      <c r="C168" s="9" t="n">
        <f aca="false">IF(AND(ISNUMBER(B168),ISNUMBER(B167),B167&lt;&gt;0),B168/B167-1,"")</f>
        <v>-0.000268758989859008</v>
      </c>
      <c r="D168" s="9" t="n">
        <f aca="false">IF(ISNUMBER(C168),ABS(C168-BTC_Fit!$B$9),"")</f>
        <v>0.000259395729574896</v>
      </c>
    </row>
    <row r="169" customFormat="false" ht="15" hidden="false" customHeight="false" outlineLevel="0" collapsed="false">
      <c r="A169" s="7" t="s">
        <v>193</v>
      </c>
      <c r="B169" s="8" t="n">
        <v>98.744921</v>
      </c>
      <c r="C169" s="9" t="n">
        <f aca="false">IF(AND(ISNUMBER(B169),ISNUMBER(B168),B168&lt;&gt;0),B169/B168-1,"")</f>
        <v>0.000969819851340148</v>
      </c>
      <c r="D169" s="9" t="n">
        <f aca="false">IF(ISNUMBER(C169),ABS(C169-BTC_Fit!$B$9),"")</f>
        <v>0.00097918311162426</v>
      </c>
    </row>
    <row r="170" customFormat="false" ht="15" hidden="false" customHeight="false" outlineLevel="0" collapsed="false">
      <c r="A170" s="7" t="s">
        <v>194</v>
      </c>
      <c r="B170" s="8" t="n">
        <v>98.830096</v>
      </c>
      <c r="C170" s="9" t="n">
        <f aca="false">IF(AND(ISNUMBER(B170),ISNUMBER(B169),B169&lt;&gt;0),B170/B169-1,"")</f>
        <v>0.000862576010365102</v>
      </c>
      <c r="D170" s="9" t="n">
        <f aca="false">IF(ISNUMBER(C170),ABS(C170-BTC_Fit!$B$9),"")</f>
        <v>0.000871939270649214</v>
      </c>
    </row>
    <row r="171" customFormat="false" ht="15" hidden="false" customHeight="false" outlineLevel="0" collapsed="false">
      <c r="A171" s="7" t="s">
        <v>195</v>
      </c>
      <c r="B171" s="8" t="n">
        <v>98.789602</v>
      </c>
      <c r="C171" s="9" t="n">
        <f aca="false">IF(AND(ISNUMBER(B171),ISNUMBER(B170),B170&lt;&gt;0),B171/B170-1,"")</f>
        <v>-0.000409733488470954</v>
      </c>
      <c r="D171" s="9" t="n">
        <f aca="false">IF(ISNUMBER(C171),ABS(C171-BTC_Fit!$B$9),"")</f>
        <v>0.000400370228186842</v>
      </c>
    </row>
    <row r="172" customFormat="false" ht="15" hidden="false" customHeight="false" outlineLevel="0" collapsed="false">
      <c r="A172" s="7" t="s">
        <v>196</v>
      </c>
      <c r="B172" s="8" t="n">
        <v>98.999637</v>
      </c>
      <c r="C172" s="9" t="n">
        <f aca="false">IF(AND(ISNUMBER(B172),ISNUMBER(B171),B171&lt;&gt;0),B172/B171-1,"")</f>
        <v>0.00212608407917259</v>
      </c>
      <c r="D172" s="9" t="n">
        <f aca="false">IF(ISNUMBER(C172),ABS(C172-BTC_Fit!$B$9),"")</f>
        <v>0.0021354473394567</v>
      </c>
    </row>
    <row r="173" customFormat="false" ht="15" hidden="false" customHeight="false" outlineLevel="0" collapsed="false">
      <c r="A173" s="7" t="s">
        <v>197</v>
      </c>
      <c r="B173" s="8" t="n">
        <v>98.951384</v>
      </c>
      <c r="C173" s="9" t="n">
        <f aca="false">IF(AND(ISNUMBER(B173),ISNUMBER(B172),B172&lt;&gt;0),B173/B172-1,"")</f>
        <v>-0.000487405827558796</v>
      </c>
      <c r="D173" s="9" t="n">
        <f aca="false">IF(ISNUMBER(C173),ABS(C173-BTC_Fit!$B$9),"")</f>
        <v>0.000478042567274684</v>
      </c>
    </row>
    <row r="174" customFormat="false" ht="15" hidden="false" customHeight="false" outlineLevel="0" collapsed="false">
      <c r="A174" s="7" t="s">
        <v>198</v>
      </c>
      <c r="B174" s="8" t="n">
        <v>98.954107</v>
      </c>
      <c r="C174" s="9" t="n">
        <f aca="false">IF(AND(ISNUMBER(B174),ISNUMBER(B173),B173&lt;&gt;0),B174/B173-1,"")</f>
        <v>2.75185640656872E-005</v>
      </c>
      <c r="D174" s="9" t="n">
        <f aca="false">IF(ISNUMBER(C174),ABS(C174-BTC_Fit!$B$9),"")</f>
        <v>3.68818243497993E-005</v>
      </c>
    </row>
    <row r="175" customFormat="false" ht="15" hidden="false" customHeight="false" outlineLevel="0" collapsed="false">
      <c r="A175" s="7" t="s">
        <v>199</v>
      </c>
      <c r="B175" s="8" t="n">
        <v>98.894476</v>
      </c>
      <c r="C175" s="9" t="n">
        <f aca="false">IF(AND(ISNUMBER(B175),ISNUMBER(B174),B174&lt;&gt;0),B175/B174-1,"")</f>
        <v>-0.000602612683877735</v>
      </c>
      <c r="D175" s="9" t="n">
        <f aca="false">IF(ISNUMBER(C175),ABS(C175-BTC_Fit!$B$9),"")</f>
        <v>0.000593249423593623</v>
      </c>
    </row>
    <row r="176" customFormat="false" ht="15" hidden="false" customHeight="false" outlineLevel="0" collapsed="false">
      <c r="A176" s="7" t="s">
        <v>200</v>
      </c>
      <c r="B176" s="8" t="n">
        <v>99.077507</v>
      </c>
      <c r="C176" s="9" t="n">
        <f aca="false">IF(AND(ISNUMBER(B176),ISNUMBER(B175),B175&lt;&gt;0),B176/B175-1,"")</f>
        <v>0.00185077071443307</v>
      </c>
      <c r="D176" s="9" t="n">
        <f aca="false">IF(ISNUMBER(C176),ABS(C176-BTC_Fit!$B$9),"")</f>
        <v>0.00186013397471718</v>
      </c>
    </row>
    <row r="177" customFormat="false" ht="15" hidden="false" customHeight="false" outlineLevel="0" collapsed="false">
      <c r="A177" s="7" t="s">
        <v>201</v>
      </c>
      <c r="B177" s="8" t="n">
        <v>98.978435</v>
      </c>
      <c r="C177" s="9" t="n">
        <f aca="false">IF(AND(ISNUMBER(B177),ISNUMBER(B176),B176&lt;&gt;0),B177/B176-1,"")</f>
        <v>-0.000999944417252929</v>
      </c>
      <c r="D177" s="9" t="n">
        <f aca="false">IF(ISNUMBER(C177),ABS(C177-BTC_Fit!$B$9),"")</f>
        <v>0.000990581156968817</v>
      </c>
    </row>
    <row r="178" customFormat="false" ht="15" hidden="false" customHeight="false" outlineLevel="0" collapsed="false">
      <c r="A178" s="7" t="s">
        <v>202</v>
      </c>
      <c r="B178" s="8" t="n">
        <v>98.763757</v>
      </c>
      <c r="C178" s="9" t="n">
        <f aca="false">IF(AND(ISNUMBER(B178),ISNUMBER(B177),B177&lt;&gt;0),B178/B177-1,"")</f>
        <v>-0.00216893710230925</v>
      </c>
      <c r="D178" s="9" t="n">
        <f aca="false">IF(ISNUMBER(C178),ABS(C178-BTC_Fit!$B$9),"")</f>
        <v>0.00215957384202514</v>
      </c>
    </row>
    <row r="179" customFormat="false" ht="15" hidden="false" customHeight="false" outlineLevel="0" collapsed="false">
      <c r="A179" s="7" t="s">
        <v>203</v>
      </c>
      <c r="B179" s="8" t="n">
        <v>98.751398</v>
      </c>
      <c r="C179" s="9" t="n">
        <f aca="false">IF(AND(ISNUMBER(B179),ISNUMBER(B178),B178&lt;&gt;0),B179/B178-1,"")</f>
        <v>-0.00012513699737049</v>
      </c>
      <c r="D179" s="9" t="n">
        <f aca="false">IF(ISNUMBER(C179),ABS(C179-BTC_Fit!$B$9),"")</f>
        <v>0.000115773737086378</v>
      </c>
    </row>
    <row r="180" customFormat="false" ht="15" hidden="false" customHeight="false" outlineLevel="0" collapsed="false">
      <c r="A180" s="7" t="s">
        <v>204</v>
      </c>
      <c r="B180" s="8" t="n">
        <v>99.12319</v>
      </c>
      <c r="C180" s="9" t="n">
        <f aca="false">IF(AND(ISNUMBER(B180),ISNUMBER(B179),B179&lt;&gt;0),B180/B179-1,"")</f>
        <v>0.00376492897852443</v>
      </c>
      <c r="D180" s="9" t="n">
        <f aca="false">IF(ISNUMBER(C180),ABS(C180-BTC_Fit!$B$9),"")</f>
        <v>0.00377429223880854</v>
      </c>
    </row>
    <row r="181" customFormat="false" ht="15" hidden="false" customHeight="false" outlineLevel="0" collapsed="false">
      <c r="A181" s="7" t="s">
        <v>205</v>
      </c>
      <c r="B181" s="8" t="n">
        <v>99.259637</v>
      </c>
      <c r="C181" s="9" t="n">
        <f aca="false">IF(AND(ISNUMBER(B181),ISNUMBER(B180),B180&lt;&gt;0),B181/B180-1,"")</f>
        <v>0.00137653963719298</v>
      </c>
      <c r="D181" s="9" t="n">
        <f aca="false">IF(ISNUMBER(C181),ABS(C181-BTC_Fit!$B$9),"")</f>
        <v>0.00138590289747709</v>
      </c>
    </row>
    <row r="182" customFormat="false" ht="15" hidden="false" customHeight="false" outlineLevel="0" collapsed="false">
      <c r="A182" s="7" t="s">
        <v>206</v>
      </c>
      <c r="B182" s="8" t="n">
        <v>99.321062</v>
      </c>
      <c r="C182" s="9" t="n">
        <f aca="false">IF(AND(ISNUMBER(B182),ISNUMBER(B181),B181&lt;&gt;0),B182/B181-1,"")</f>
        <v>0.000618831600200265</v>
      </c>
      <c r="D182" s="9" t="n">
        <f aca="false">IF(ISNUMBER(C182),ABS(C182-BTC_Fit!$B$9),"")</f>
        <v>0.000628194860484377</v>
      </c>
    </row>
    <row r="183" customFormat="false" ht="15" hidden="false" customHeight="false" outlineLevel="0" collapsed="false">
      <c r="A183" s="7" t="s">
        <v>207</v>
      </c>
      <c r="B183" s="8" t="n">
        <v>99.457055</v>
      </c>
      <c r="C183" s="9" t="n">
        <f aca="false">IF(AND(ISNUMBER(B183),ISNUMBER(B182),B182&lt;&gt;0),B183/B182-1,"")</f>
        <v>0.00136922619695712</v>
      </c>
      <c r="D183" s="9" t="n">
        <f aca="false">IF(ISNUMBER(C183),ABS(C183-BTC_Fit!$B$9),"")</f>
        <v>0.00137858945724123</v>
      </c>
    </row>
    <row r="184" customFormat="false" ht="15" hidden="false" customHeight="false" outlineLevel="0" collapsed="false">
      <c r="A184" s="7" t="s">
        <v>208</v>
      </c>
      <c r="B184" s="8" t="n">
        <v>99.595436</v>
      </c>
      <c r="C184" s="9" t="n">
        <f aca="false">IF(AND(ISNUMBER(B184),ISNUMBER(B183),B183&lt;&gt;0),B184/B183-1,"")</f>
        <v>0.00139136434313292</v>
      </c>
      <c r="D184" s="9" t="n">
        <f aca="false">IF(ISNUMBER(C184),ABS(C184-BTC_Fit!$B$9),"")</f>
        <v>0.00140072760341703</v>
      </c>
    </row>
    <row r="185" customFormat="false" ht="15" hidden="false" customHeight="false" outlineLevel="0" collapsed="false">
      <c r="A185" s="7" t="s">
        <v>209</v>
      </c>
      <c r="B185" s="8" t="n">
        <v>99.598882</v>
      </c>
      <c r="C185" s="9" t="n">
        <f aca="false">IF(AND(ISNUMBER(B185),ISNUMBER(B184),B184&lt;&gt;0),B185/B184-1,"")</f>
        <v>3.45999790591911E-005</v>
      </c>
      <c r="D185" s="9" t="n">
        <f aca="false">IF(ISNUMBER(C185),ABS(C185-BTC_Fit!$B$9),"")</f>
        <v>4.39632393433032E-005</v>
      </c>
    </row>
    <row r="186" customFormat="false" ht="15" hidden="false" customHeight="false" outlineLevel="0" collapsed="false">
      <c r="A186" s="7" t="s">
        <v>210</v>
      </c>
      <c r="B186" s="8" t="n">
        <v>99.55773</v>
      </c>
      <c r="C186" s="9" t="n">
        <f aca="false">IF(AND(ISNUMBER(B186),ISNUMBER(B185),B185&lt;&gt;0),B186/B185-1,"")</f>
        <v>-0.000413177328637104</v>
      </c>
      <c r="D186" s="9" t="n">
        <f aca="false">IF(ISNUMBER(C186),ABS(C186-BTC_Fit!$B$9),"")</f>
        <v>0.000403814068352992</v>
      </c>
    </row>
    <row r="187" customFormat="false" ht="15" hidden="false" customHeight="false" outlineLevel="0" collapsed="false">
      <c r="A187" s="7" t="s">
        <v>211</v>
      </c>
      <c r="B187" s="8" t="n">
        <v>99.628096</v>
      </c>
      <c r="C187" s="9" t="n">
        <f aca="false">IF(AND(ISNUMBER(B187),ISNUMBER(B186),B186&lt;&gt;0),B187/B186-1,"")</f>
        <v>0.000706785902008678</v>
      </c>
      <c r="D187" s="9" t="n">
        <f aca="false">IF(ISNUMBER(C187),ABS(C187-BTC_Fit!$B$9),"")</f>
        <v>0.00071614916229279</v>
      </c>
    </row>
    <row r="188" customFormat="false" ht="15" hidden="false" customHeight="false" outlineLevel="0" collapsed="false">
      <c r="A188" s="7" t="s">
        <v>212</v>
      </c>
      <c r="B188" s="8" t="n">
        <v>99.663116</v>
      </c>
      <c r="C188" s="9" t="n">
        <f aca="false">IF(AND(ISNUMBER(B188),ISNUMBER(B187),B187&lt;&gt;0),B188/B187-1,"")</f>
        <v>0.000351507269595874</v>
      </c>
      <c r="D188" s="9" t="n">
        <f aca="false">IF(ISNUMBER(C188),ABS(C188-BTC_Fit!$B$9),"")</f>
        <v>0.000360870529879986</v>
      </c>
    </row>
    <row r="189" customFormat="false" ht="15" hidden="false" customHeight="false" outlineLevel="0" collapsed="false">
      <c r="A189" s="7" t="s">
        <v>213</v>
      </c>
      <c r="B189" s="8" t="n">
        <v>99.63699</v>
      </c>
      <c r="C189" s="9" t="n">
        <f aca="false">IF(AND(ISNUMBER(B189),ISNUMBER(B188),B188&lt;&gt;0),B189/B188-1,"")</f>
        <v>-0.00026214311822248</v>
      </c>
      <c r="D189" s="9" t="n">
        <f aca="false">IF(ISNUMBER(C189),ABS(C189-BTC_Fit!$B$9),"")</f>
        <v>0.000252779857938368</v>
      </c>
    </row>
    <row r="190" customFormat="false" ht="15" hidden="false" customHeight="false" outlineLevel="0" collapsed="false">
      <c r="A190" s="7" t="s">
        <v>214</v>
      </c>
      <c r="B190" s="8" t="n">
        <v>99.487562</v>
      </c>
      <c r="C190" s="9" t="n">
        <f aca="false">IF(AND(ISNUMBER(B190),ISNUMBER(B189),B189&lt;&gt;0),B190/B189-1,"")</f>
        <v>-0.00149972414863198</v>
      </c>
      <c r="D190" s="9" t="n">
        <f aca="false">IF(ISNUMBER(C190),ABS(C190-BTC_Fit!$B$9),"")</f>
        <v>0.00149036088834786</v>
      </c>
    </row>
    <row r="191" customFormat="false" ht="15" hidden="false" customHeight="false" outlineLevel="0" collapsed="false">
      <c r="A191" s="7" t="s">
        <v>215</v>
      </c>
      <c r="B191" s="8" t="n">
        <v>99.548483</v>
      </c>
      <c r="C191" s="9" t="n">
        <f aca="false">IF(AND(ISNUMBER(B191),ISNUMBER(B190),B190&lt;&gt;0),B191/B190-1,"")</f>
        <v>0.000612347903349075</v>
      </c>
      <c r="D191" s="9" t="n">
        <f aca="false">IF(ISNUMBER(C191),ABS(C191-BTC_Fit!$B$9),"")</f>
        <v>0.000621711163633187</v>
      </c>
    </row>
    <row r="192" customFormat="false" ht="15" hidden="false" customHeight="false" outlineLevel="0" collapsed="false">
      <c r="A192" s="7" t="s">
        <v>216</v>
      </c>
      <c r="B192" s="8" t="n">
        <v>99.490739</v>
      </c>
      <c r="C192" s="9" t="n">
        <f aca="false">IF(AND(ISNUMBER(B192),ISNUMBER(B191),B191&lt;&gt;0),B192/B191-1,"")</f>
        <v>-0.000580059065289795</v>
      </c>
      <c r="D192" s="9" t="n">
        <f aca="false">IF(ISNUMBER(C192),ABS(C192-BTC_Fit!$B$9),"")</f>
        <v>0.000570695805005683</v>
      </c>
    </row>
    <row r="193" customFormat="false" ht="15" hidden="false" customHeight="false" outlineLevel="0" collapsed="false">
      <c r="A193" s="7" t="s">
        <v>217</v>
      </c>
      <c r="B193" s="8" t="n">
        <v>99.675957</v>
      </c>
      <c r="C193" s="9" t="n">
        <f aca="false">IF(AND(ISNUMBER(B193),ISNUMBER(B192),B192&lt;&gt;0),B193/B192-1,"")</f>
        <v>0.00186166071195815</v>
      </c>
      <c r="D193" s="9" t="n">
        <f aca="false">IF(ISNUMBER(C193),ABS(C193-BTC_Fit!$B$9),"")</f>
        <v>0.00187102397224226</v>
      </c>
    </row>
    <row r="194" customFormat="false" ht="15" hidden="false" customHeight="false" outlineLevel="0" collapsed="false">
      <c r="A194" s="7" t="s">
        <v>218</v>
      </c>
      <c r="B194" s="8" t="n">
        <v>99.610476</v>
      </c>
      <c r="C194" s="9" t="n">
        <f aca="false">IF(AND(ISNUMBER(B194),ISNUMBER(B193),B193&lt;&gt;0),B194/B193-1,"")</f>
        <v>-0.00065693876407924</v>
      </c>
      <c r="D194" s="9" t="n">
        <f aca="false">IF(ISNUMBER(C194),ABS(C194-BTC_Fit!$B$9),"")</f>
        <v>0.000647575503795128</v>
      </c>
    </row>
    <row r="195" customFormat="false" ht="15" hidden="false" customHeight="false" outlineLevel="0" collapsed="false">
      <c r="A195" s="7" t="s">
        <v>219</v>
      </c>
      <c r="B195" s="8" t="n">
        <v>99.484573</v>
      </c>
      <c r="C195" s="9" t="n">
        <f aca="false">IF(AND(ISNUMBER(B195),ISNUMBER(B194),B194&lt;&gt;0),B195/B194-1,"")</f>
        <v>-0.00126395340184915</v>
      </c>
      <c r="D195" s="9" t="n">
        <f aca="false">IF(ISNUMBER(C195),ABS(C195-BTC_Fit!$B$9),"")</f>
        <v>0.00125459014156504</v>
      </c>
    </row>
    <row r="196" customFormat="false" ht="15" hidden="false" customHeight="false" outlineLevel="0" collapsed="false">
      <c r="A196" s="7" t="s">
        <v>220</v>
      </c>
      <c r="B196" s="8" t="n">
        <v>99.581753</v>
      </c>
      <c r="C196" s="9" t="n">
        <f aca="false">IF(AND(ISNUMBER(B196),ISNUMBER(B195),B195&lt;&gt;0),B196/B195-1,"")</f>
        <v>0.000976834870668908</v>
      </c>
      <c r="D196" s="9" t="n">
        <f aca="false">IF(ISNUMBER(C196),ABS(C196-BTC_Fit!$B$9),"")</f>
        <v>0.00098619813095302</v>
      </c>
    </row>
    <row r="197" customFormat="false" ht="15" hidden="false" customHeight="false" outlineLevel="0" collapsed="false">
      <c r="A197" s="7" t="s">
        <v>221</v>
      </c>
      <c r="B197" s="8" t="n">
        <v>99.47579</v>
      </c>
      <c r="C197" s="9" t="n">
        <f aca="false">IF(AND(ISNUMBER(B197),ISNUMBER(B196),B196&lt;&gt;0),B197/B196-1,"")</f>
        <v>-0.00106408048470485</v>
      </c>
      <c r="D197" s="9" t="n">
        <f aca="false">IF(ISNUMBER(C197),ABS(C197-BTC_Fit!$B$9),"")</f>
        <v>0.00105471722442074</v>
      </c>
    </row>
    <row r="198" customFormat="false" ht="15" hidden="false" customHeight="false" outlineLevel="0" collapsed="false">
      <c r="A198" s="7" t="s">
        <v>222</v>
      </c>
      <c r="B198" s="8" t="n">
        <v>99.383959</v>
      </c>
      <c r="C198" s="9" t="n">
        <f aca="false">IF(AND(ISNUMBER(B198),ISNUMBER(B197),B197&lt;&gt;0),B198/B197-1,"")</f>
        <v>-0.000923149240634302</v>
      </c>
      <c r="D198" s="9" t="n">
        <f aca="false">IF(ISNUMBER(C198),ABS(C198-BTC_Fit!$B$9),"")</f>
        <v>0.00091378598035019</v>
      </c>
    </row>
    <row r="199" customFormat="false" ht="15" hidden="false" customHeight="false" outlineLevel="0" collapsed="false">
      <c r="A199" s="7" t="s">
        <v>223</v>
      </c>
      <c r="B199" s="8" t="n">
        <v>99.40378</v>
      </c>
      <c r="C199" s="9" t="n">
        <f aca="false">IF(AND(ISNUMBER(B199),ISNUMBER(B198),B198&lt;&gt;0),B199/B198-1,"")</f>
        <v>0.00019943862369165</v>
      </c>
      <c r="D199" s="9" t="n">
        <f aca="false">IF(ISNUMBER(C199),ABS(C199-BTC_Fit!$B$9),"")</f>
        <v>0.000208801883975762</v>
      </c>
    </row>
    <row r="200" customFormat="false" ht="15" hidden="false" customHeight="false" outlineLevel="0" collapsed="false">
      <c r="A200" s="7" t="s">
        <v>224</v>
      </c>
      <c r="B200" s="8" t="n">
        <v>99.52749</v>
      </c>
      <c r="C200" s="9" t="n">
        <f aca="false">IF(AND(ISNUMBER(B200),ISNUMBER(B199),B199&lt;&gt;0),B200/B199-1,"")</f>
        <v>0.00124452007760678</v>
      </c>
      <c r="D200" s="9" t="n">
        <f aca="false">IF(ISNUMBER(C200),ABS(C200-BTC_Fit!$B$9),"")</f>
        <v>0.00125388333789089</v>
      </c>
    </row>
    <row r="201" customFormat="false" ht="15" hidden="false" customHeight="false" outlineLevel="0" collapsed="false">
      <c r="A201" s="7" t="s">
        <v>225</v>
      </c>
      <c r="B201" s="8" t="n">
        <v>99.443802</v>
      </c>
      <c r="C201" s="9" t="n">
        <f aca="false">IF(AND(ISNUMBER(B201),ISNUMBER(B200),B200&lt;&gt;0),B201/B200-1,"")</f>
        <v>-0.000840853115053886</v>
      </c>
      <c r="D201" s="9" t="n">
        <f aca="false">IF(ISNUMBER(C201),ABS(C201-BTC_Fit!$B$9),"")</f>
        <v>0.000831489854769774</v>
      </c>
    </row>
    <row r="202" customFormat="false" ht="15" hidden="false" customHeight="false" outlineLevel="0" collapsed="false">
      <c r="A202" s="7" t="s">
        <v>226</v>
      </c>
      <c r="B202" s="8" t="n">
        <v>99.401111</v>
      </c>
      <c r="C202" s="9" t="n">
        <f aca="false">IF(AND(ISNUMBER(B202),ISNUMBER(B201),B201&lt;&gt;0),B202/B201-1,"")</f>
        <v>-0.0004292977454744</v>
      </c>
      <c r="D202" s="9" t="n">
        <f aca="false">IF(ISNUMBER(C202),ABS(C202-BTC_Fit!$B$9),"")</f>
        <v>0.000419934485190288</v>
      </c>
    </row>
    <row r="203" customFormat="false" ht="15" hidden="false" customHeight="false" outlineLevel="0" collapsed="false">
      <c r="A203" s="7" t="s">
        <v>227</v>
      </c>
      <c r="B203" s="8" t="n">
        <v>99.473508</v>
      </c>
      <c r="C203" s="9" t="n">
        <f aca="false">IF(AND(ISNUMBER(B203),ISNUMBER(B202),B202&lt;&gt;0),B203/B202-1,"")</f>
        <v>0.000728331899630286</v>
      </c>
      <c r="D203" s="9" t="n">
        <f aca="false">IF(ISNUMBER(C203),ABS(C203-BTC_Fit!$B$9),"")</f>
        <v>0.000737695159914398</v>
      </c>
    </row>
    <row r="204" customFormat="false" ht="15" hidden="false" customHeight="false" outlineLevel="0" collapsed="false">
      <c r="A204" s="7" t="s">
        <v>228</v>
      </c>
      <c r="B204" s="8" t="n">
        <v>99.731005</v>
      </c>
      <c r="C204" s="9" t="n">
        <f aca="false">IF(AND(ISNUMBER(B204),ISNUMBER(B203),B203&lt;&gt;0),B204/B203-1,"")</f>
        <v>0.00258859876541195</v>
      </c>
      <c r="D204" s="9" t="n">
        <f aca="false">IF(ISNUMBER(C204),ABS(C204-BTC_Fit!$B$9),"")</f>
        <v>0.00259796202569607</v>
      </c>
    </row>
    <row r="205" customFormat="false" ht="15" hidden="false" customHeight="false" outlineLevel="0" collapsed="false">
      <c r="A205" s="7" t="s">
        <v>229</v>
      </c>
      <c r="B205" s="8" t="n">
        <v>99.731139</v>
      </c>
      <c r="C205" s="9" t="n">
        <f aca="false">IF(AND(ISNUMBER(B205),ISNUMBER(B204),B204&lt;&gt;0),B205/B204-1,"")</f>
        <v>1.34361425518925E-006</v>
      </c>
      <c r="D205" s="9" t="n">
        <f aca="false">IF(ISNUMBER(C205),ABS(C205-BTC_Fit!$B$9),"")</f>
        <v>1.07068745393013E-005</v>
      </c>
    </row>
    <row r="206" customFormat="false" ht="15" hidden="false" customHeight="false" outlineLevel="0" collapsed="false">
      <c r="A206" s="7" t="s">
        <v>230</v>
      </c>
      <c r="B206" s="8" t="n">
        <v>99.619344</v>
      </c>
      <c r="C206" s="9" t="n">
        <f aca="false">IF(AND(ISNUMBER(B206),ISNUMBER(B205),B205&lt;&gt;0),B206/B205-1,"")</f>
        <v>-0.00112096383457527</v>
      </c>
      <c r="D206" s="9" t="n">
        <f aca="false">IF(ISNUMBER(C206),ABS(C206-BTC_Fit!$B$9),"")</f>
        <v>0.00111160057429116</v>
      </c>
    </row>
    <row r="207" customFormat="false" ht="15" hidden="false" customHeight="false" outlineLevel="0" collapsed="false">
      <c r="A207" s="7" t="s">
        <v>231</v>
      </c>
      <c r="B207" s="8" t="n">
        <v>99.298361</v>
      </c>
      <c r="C207" s="9" t="n">
        <f aca="false">IF(AND(ISNUMBER(B207),ISNUMBER(B206),B206&lt;&gt;0),B207/B206-1,"")</f>
        <v>-0.00322209509831739</v>
      </c>
      <c r="D207" s="9" t="n">
        <f aca="false">IF(ISNUMBER(C207),ABS(C207-BTC_Fit!$B$9),"")</f>
        <v>0.00321273183803328</v>
      </c>
    </row>
    <row r="208" customFormat="false" ht="15" hidden="false" customHeight="false" outlineLevel="0" collapsed="false">
      <c r="A208" s="7" t="s">
        <v>232</v>
      </c>
      <c r="B208" s="8" t="n">
        <v>99.22883</v>
      </c>
      <c r="C208" s="9" t="n">
        <f aca="false">IF(AND(ISNUMBER(B208),ISNUMBER(B207),B207&lt;&gt;0),B208/B207-1,"")</f>
        <v>-0.000700223037921055</v>
      </c>
      <c r="D208" s="9" t="n">
        <f aca="false">IF(ISNUMBER(C208),ABS(C208-BTC_Fit!$B$9),"")</f>
        <v>0.000690859777636943</v>
      </c>
    </row>
    <row r="209" customFormat="false" ht="15" hidden="false" customHeight="false" outlineLevel="0" collapsed="false">
      <c r="A209" s="7" t="s">
        <v>233</v>
      </c>
      <c r="B209" s="8" t="n">
        <v>99.109771</v>
      </c>
      <c r="C209" s="9" t="n">
        <f aca="false">IF(AND(ISNUMBER(B209),ISNUMBER(B208),B208&lt;&gt;0),B209/B208-1,"")</f>
        <v>-0.00119984282793628</v>
      </c>
      <c r="D209" s="9" t="n">
        <f aca="false">IF(ISNUMBER(C209),ABS(C209-BTC_Fit!$B$9),"")</f>
        <v>0.00119047956765217</v>
      </c>
    </row>
    <row r="210" customFormat="false" ht="15" hidden="false" customHeight="false" outlineLevel="0" collapsed="false">
      <c r="A210" s="7" t="s">
        <v>234</v>
      </c>
      <c r="B210" s="8" t="n">
        <v>99.148929</v>
      </c>
      <c r="C210" s="9" t="n">
        <f aca="false">IF(AND(ISNUMBER(B210),ISNUMBER(B209),B209&lt;&gt;0),B210/B209-1,"")</f>
        <v>0.000395097270480038</v>
      </c>
      <c r="D210" s="9" t="n">
        <f aca="false">IF(ISNUMBER(C210),ABS(C210-BTC_Fit!$B$9),"")</f>
        <v>0.00040446053076415</v>
      </c>
    </row>
    <row r="211" customFormat="false" ht="15" hidden="false" customHeight="false" outlineLevel="0" collapsed="false">
      <c r="A211" s="7" t="s">
        <v>235</v>
      </c>
      <c r="B211" s="8" t="n">
        <v>99.022934</v>
      </c>
      <c r="C211" s="9" t="n">
        <f aca="false">IF(AND(ISNUMBER(B211),ISNUMBER(B210),B210&lt;&gt;0),B211/B210-1,"")</f>
        <v>-0.00127076511335777</v>
      </c>
      <c r="D211" s="9" t="n">
        <f aca="false">IF(ISNUMBER(C211),ABS(C211-BTC_Fit!$B$9),"")</f>
        <v>0.00126140185307366</v>
      </c>
    </row>
    <row r="212" customFormat="false" ht="15" hidden="false" customHeight="false" outlineLevel="0" collapsed="false">
      <c r="A212" s="7" t="s">
        <v>236</v>
      </c>
      <c r="B212" s="8" t="n">
        <v>99.02407</v>
      </c>
      <c r="C212" s="9" t="n">
        <f aca="false">IF(AND(ISNUMBER(B212),ISNUMBER(B211),B211&lt;&gt;0),B212/B211-1,"")</f>
        <v>1.14720898896081E-005</v>
      </c>
      <c r="D212" s="9" t="n">
        <f aca="false">IF(ISNUMBER(C212),ABS(C212-BTC_Fit!$B$9),"")</f>
        <v>2.08353501737202E-005</v>
      </c>
    </row>
    <row r="213" customFormat="false" ht="15" hidden="false" customHeight="false" outlineLevel="0" collapsed="false">
      <c r="A213" s="7" t="s">
        <v>237</v>
      </c>
      <c r="B213" s="8" t="n">
        <v>99.067907</v>
      </c>
      <c r="C213" s="9" t="n">
        <f aca="false">IF(AND(ISNUMBER(B213),ISNUMBER(B212),B212&lt;&gt;0),B213/B212-1,"")</f>
        <v>0.000442690347912444</v>
      </c>
      <c r="D213" s="9" t="n">
        <f aca="false">IF(ISNUMBER(C213),ABS(C213-BTC_Fit!$B$9),"")</f>
        <v>0.000452053608196557</v>
      </c>
    </row>
    <row r="214" customFormat="false" ht="15" hidden="false" customHeight="false" outlineLevel="0" collapsed="false">
      <c r="A214" s="7" t="s">
        <v>238</v>
      </c>
      <c r="B214" s="8" t="n">
        <v>99.08369</v>
      </c>
      <c r="C214" s="9" t="n">
        <f aca="false">IF(AND(ISNUMBER(B214),ISNUMBER(B213),B213&lt;&gt;0),B214/B213-1,"")</f>
        <v>0.000159314963623869</v>
      </c>
      <c r="D214" s="9" t="n">
        <f aca="false">IF(ISNUMBER(C214),ABS(C214-BTC_Fit!$B$9),"")</f>
        <v>0.000168678223907981</v>
      </c>
    </row>
    <row r="215" customFormat="false" ht="15" hidden="false" customHeight="false" outlineLevel="0" collapsed="false">
      <c r="A215" s="7" t="s">
        <v>239</v>
      </c>
      <c r="B215" s="8" t="n">
        <v>99.001879</v>
      </c>
      <c r="C215" s="9" t="n">
        <f aca="false">IF(AND(ISNUMBER(B215),ISNUMBER(B214),B214&lt;&gt;0),B215/B214-1,"")</f>
        <v>-0.000825675749459909</v>
      </c>
      <c r="D215" s="9" t="n">
        <f aca="false">IF(ISNUMBER(C215),ABS(C215-BTC_Fit!$B$9),"")</f>
        <v>0.000816312489175797</v>
      </c>
    </row>
    <row r="216" customFormat="false" ht="15" hidden="false" customHeight="false" outlineLevel="0" collapsed="false">
      <c r="A216" s="7" t="s">
        <v>240</v>
      </c>
      <c r="B216" s="8" t="n">
        <v>99.085379</v>
      </c>
      <c r="C216" s="9" t="n">
        <f aca="false">IF(AND(ISNUMBER(B216),ISNUMBER(B215),B215&lt;&gt;0),B216/B215-1,"")</f>
        <v>0.000843418335524815</v>
      </c>
      <c r="D216" s="9" t="n">
        <f aca="false">IF(ISNUMBER(C216),ABS(C216-BTC_Fit!$B$9),"")</f>
        <v>0.000852781595808927</v>
      </c>
    </row>
    <row r="217" customFormat="false" ht="15" hidden="false" customHeight="false" outlineLevel="0" collapsed="false">
      <c r="A217" s="7" t="s">
        <v>241</v>
      </c>
      <c r="B217" s="8" t="n">
        <v>99.135634</v>
      </c>
      <c r="C217" s="9" t="n">
        <f aca="false">IF(AND(ISNUMBER(B217),ISNUMBER(B216),B216&lt;&gt;0),B217/B216-1,"")</f>
        <v>0.000507188855784602</v>
      </c>
      <c r="D217" s="9" t="n">
        <f aca="false">IF(ISNUMBER(C217),ABS(C217-BTC_Fit!$B$9),"")</f>
        <v>0.000516552116068714</v>
      </c>
    </row>
    <row r="218" customFormat="false" ht="15" hidden="false" customHeight="false" outlineLevel="0" collapsed="false">
      <c r="A218" s="7" t="s">
        <v>242</v>
      </c>
      <c r="B218" s="8" t="n">
        <v>99.193631</v>
      </c>
      <c r="C218" s="9" t="n">
        <f aca="false">IF(AND(ISNUMBER(B218),ISNUMBER(B217),B217&lt;&gt;0),B218/B217-1,"")</f>
        <v>0.000585026772512487</v>
      </c>
      <c r="D218" s="9" t="n">
        <f aca="false">IF(ISNUMBER(C218),ABS(C218-BTC_Fit!$B$9),"")</f>
        <v>0.000594390032796599</v>
      </c>
    </row>
    <row r="219" customFormat="false" ht="15" hidden="false" customHeight="false" outlineLevel="0" collapsed="false">
      <c r="A219" s="7" t="s">
        <v>243</v>
      </c>
      <c r="B219" s="8" t="n">
        <v>99.074096</v>
      </c>
      <c r="C219" s="9" t="n">
        <f aca="false">IF(AND(ISNUMBER(B219),ISNUMBER(B218),B218&lt;&gt;0),B219/B218-1,"")</f>
        <v>-0.00120506728904801</v>
      </c>
      <c r="D219" s="9" t="n">
        <f aca="false">IF(ISNUMBER(C219),ABS(C219-BTC_Fit!$B$9),"")</f>
        <v>0.0011957040287639</v>
      </c>
    </row>
    <row r="220" customFormat="false" ht="15" hidden="false" customHeight="false" outlineLevel="0" collapsed="false">
      <c r="A220" s="7" t="s">
        <v>244</v>
      </c>
      <c r="B220" s="8" t="n">
        <v>98.949591</v>
      </c>
      <c r="C220" s="9" t="n">
        <f aca="false">IF(AND(ISNUMBER(B220),ISNUMBER(B219),B219&lt;&gt;0),B220/B219-1,"")</f>
        <v>-0.00125668570319326</v>
      </c>
      <c r="D220" s="9" t="n">
        <f aca="false">IF(ISNUMBER(C220),ABS(C220-BTC_Fit!$B$9),"")</f>
        <v>0.00124732244290915</v>
      </c>
    </row>
    <row r="221" customFormat="false" ht="15" hidden="false" customHeight="false" outlineLevel="0" collapsed="false">
      <c r="A221" s="7" t="s">
        <v>245</v>
      </c>
      <c r="B221" s="8" t="n">
        <v>99.121634</v>
      </c>
      <c r="C221" s="9" t="n">
        <f aca="false">IF(AND(ISNUMBER(B221),ISNUMBER(B220),B220&lt;&gt;0),B221/B220-1,"")</f>
        <v>0.00173869339187061</v>
      </c>
      <c r="D221" s="9" t="n">
        <f aca="false">IF(ISNUMBER(C221),ABS(C221-BTC_Fit!$B$9),"")</f>
        <v>0.00174805665215472</v>
      </c>
    </row>
    <row r="222" customFormat="false" ht="15" hidden="false" customHeight="false" outlineLevel="0" collapsed="false">
      <c r="A222" s="7" t="s">
        <v>246</v>
      </c>
      <c r="B222" s="8" t="n">
        <v>99.101186</v>
      </c>
      <c r="C222" s="9" t="n">
        <f aca="false">IF(AND(ISNUMBER(B222),ISNUMBER(B221),B221&lt;&gt;0),B222/B221-1,"")</f>
        <v>-0.000206291998777974</v>
      </c>
      <c r="D222" s="9" t="n">
        <f aca="false">IF(ISNUMBER(C222),ABS(C222-BTC_Fit!$B$9),"")</f>
        <v>0.000196928738493862</v>
      </c>
    </row>
    <row r="223" customFormat="false" ht="15" hidden="false" customHeight="false" outlineLevel="0" collapsed="false">
      <c r="A223" s="7" t="s">
        <v>247</v>
      </c>
      <c r="B223" s="8" t="n">
        <v>99.055906</v>
      </c>
      <c r="C223" s="9" t="n">
        <f aca="false">IF(AND(ISNUMBER(B223),ISNUMBER(B222),B222&lt;&gt;0),B223/B222-1,"")</f>
        <v>-0.000456906741761909</v>
      </c>
      <c r="D223" s="9" t="n">
        <f aca="false">IF(ISNUMBER(C223),ABS(C223-BTC_Fit!$B$9),"")</f>
        <v>0.000447543481477797</v>
      </c>
    </row>
    <row r="224" customFormat="false" ht="15" hidden="false" customHeight="false" outlineLevel="0" collapsed="false">
      <c r="A224" s="7" t="s">
        <v>248</v>
      </c>
      <c r="B224" s="8" t="n">
        <v>99.053847</v>
      </c>
      <c r="C224" s="9" t="n">
        <f aca="false">IF(AND(ISNUMBER(B224),ISNUMBER(B223),B223&lt;&gt;0),B224/B223-1,"")</f>
        <v>-2.07862416602422E-005</v>
      </c>
      <c r="D224" s="9" t="n">
        <f aca="false">IF(ISNUMBER(C224),ABS(C224-BTC_Fit!$B$9),"")</f>
        <v>1.14229813761302E-005</v>
      </c>
    </row>
    <row r="225" customFormat="false" ht="15" hidden="false" customHeight="false" outlineLevel="0" collapsed="false">
      <c r="A225" s="7" t="s">
        <v>249</v>
      </c>
      <c r="B225" s="8" t="n">
        <v>99.088983</v>
      </c>
      <c r="C225" s="9" t="n">
        <f aca="false">IF(AND(ISNUMBER(B225),ISNUMBER(B224),B224&lt;&gt;0),B225/B224-1,"")</f>
        <v>0.000354716157566326</v>
      </c>
      <c r="D225" s="9" t="n">
        <f aca="false">IF(ISNUMBER(C225),ABS(C225-BTC_Fit!$B$9),"")</f>
        <v>0.000364079417850438</v>
      </c>
    </row>
    <row r="226" customFormat="false" ht="15" hidden="false" customHeight="false" outlineLevel="0" collapsed="false">
      <c r="A226" s="7" t="s">
        <v>250</v>
      </c>
      <c r="B226" s="8" t="n">
        <v>99.304967</v>
      </c>
      <c r="C226" s="9" t="n">
        <f aca="false">IF(AND(ISNUMBER(B226),ISNUMBER(B225),B225&lt;&gt;0),B226/B225-1,"")</f>
        <v>0.00217969741399005</v>
      </c>
      <c r="D226" s="9" t="n">
        <f aca="false">IF(ISNUMBER(C226),ABS(C226-BTC_Fit!$B$9),"")</f>
        <v>0.00218906067427416</v>
      </c>
    </row>
    <row r="227" customFormat="false" ht="15" hidden="false" customHeight="false" outlineLevel="0" collapsed="false">
      <c r="A227" s="7" t="s">
        <v>251</v>
      </c>
      <c r="B227" s="8" t="n">
        <v>99.255181</v>
      </c>
      <c r="C227" s="9" t="n">
        <f aca="false">IF(AND(ISNUMBER(B227),ISNUMBER(B226),B226&lt;&gt;0),B227/B226-1,"")</f>
        <v>-0.000501344509786783</v>
      </c>
      <c r="D227" s="9" t="n">
        <f aca="false">IF(ISNUMBER(C227),ABS(C227-BTC_Fit!$B$9),"")</f>
        <v>0.000491981249502671</v>
      </c>
    </row>
    <row r="228" customFormat="false" ht="15" hidden="false" customHeight="false" outlineLevel="0" collapsed="false">
      <c r="A228" s="7" t="s">
        <v>252</v>
      </c>
      <c r="B228" s="8" t="n">
        <v>99.424422</v>
      </c>
      <c r="C228" s="9" t="n">
        <f aca="false">IF(AND(ISNUMBER(B228),ISNUMBER(B227),B227&lt;&gt;0),B228/B227-1,"")</f>
        <v>0.00170510998312534</v>
      </c>
      <c r="D228" s="9" t="n">
        <f aca="false">IF(ISNUMBER(C228),ABS(C228-BTC_Fit!$B$9),"")</f>
        <v>0.00171447324340945</v>
      </c>
    </row>
    <row r="229" customFormat="false" ht="15" hidden="false" customHeight="false" outlineLevel="0" collapsed="false">
      <c r="A229" s="7" t="s">
        <v>253</v>
      </c>
      <c r="B229" s="8" t="n">
        <v>99.155853</v>
      </c>
      <c r="C229" s="9" t="n">
        <f aca="false">IF(AND(ISNUMBER(B229),ISNUMBER(B228),B228&lt;&gt;0),B229/B228-1,"")</f>
        <v>-0.00270123773010234</v>
      </c>
      <c r="D229" s="9" t="n">
        <f aca="false">IF(ISNUMBER(C229),ABS(C229-BTC_Fit!$B$9),"")</f>
        <v>0.00269187446981822</v>
      </c>
    </row>
    <row r="230" customFormat="false" ht="15" hidden="false" customHeight="false" outlineLevel="0" collapsed="false">
      <c r="A230" s="7" t="s">
        <v>254</v>
      </c>
      <c r="B230" s="8" t="n">
        <v>99.166293</v>
      </c>
      <c r="C230" s="9" t="n">
        <f aca="false">IF(AND(ISNUMBER(B230),ISNUMBER(B229),B229&lt;&gt;0),B230/B229-1,"")</f>
        <v>0.000105288792180636</v>
      </c>
      <c r="D230" s="9" t="n">
        <f aca="false">IF(ISNUMBER(C230),ABS(C230-BTC_Fit!$B$9),"")</f>
        <v>0.000114652052464748</v>
      </c>
    </row>
    <row r="231" customFormat="false" ht="15" hidden="false" customHeight="false" outlineLevel="0" collapsed="false">
      <c r="A231" s="7" t="s">
        <v>255</v>
      </c>
      <c r="B231" s="8" t="n">
        <v>99.19413</v>
      </c>
      <c r="C231" s="9" t="n">
        <f aca="false">IF(AND(ISNUMBER(B231),ISNUMBER(B230),B230&lt;&gt;0),B231/B230-1,"")</f>
        <v>0.000280710301432841</v>
      </c>
      <c r="D231" s="9" t="n">
        <f aca="false">IF(ISNUMBER(C231),ABS(C231-BTC_Fit!$B$9),"")</f>
        <v>0.000290073561716953</v>
      </c>
    </row>
    <row r="232" customFormat="false" ht="15" hidden="false" customHeight="false" outlineLevel="0" collapsed="false">
      <c r="A232" s="7" t="s">
        <v>256</v>
      </c>
      <c r="B232" s="8" t="n">
        <v>99.055564</v>
      </c>
      <c r="C232" s="9" t="n">
        <f aca="false">IF(AND(ISNUMBER(B232),ISNUMBER(B231),B231&lt;&gt;0),B232/B231-1,"")</f>
        <v>-0.00139691733774971</v>
      </c>
      <c r="D232" s="9" t="n">
        <f aca="false">IF(ISNUMBER(C232),ABS(C232-BTC_Fit!$B$9),"")</f>
        <v>0.0013875540774656</v>
      </c>
    </row>
    <row r="233" customFormat="false" ht="15" hidden="false" customHeight="false" outlineLevel="0" collapsed="false">
      <c r="A233" s="7" t="s">
        <v>257</v>
      </c>
      <c r="B233" s="8" t="n">
        <v>98.942295</v>
      </c>
      <c r="C233" s="9" t="n">
        <f aca="false">IF(AND(ISNUMBER(B233),ISNUMBER(B232),B232&lt;&gt;0),B233/B232-1,"")</f>
        <v>-0.00114348952674681</v>
      </c>
      <c r="D233" s="9" t="n">
        <f aca="false">IF(ISNUMBER(C233),ABS(C233-BTC_Fit!$B$9),"")</f>
        <v>0.0011341262664627</v>
      </c>
    </row>
    <row r="234" customFormat="false" ht="15" hidden="false" customHeight="false" outlineLevel="0" collapsed="false">
      <c r="A234" s="7" t="s">
        <v>258</v>
      </c>
      <c r="B234" s="8" t="n">
        <v>98.926581</v>
      </c>
      <c r="C234" s="9" t="n">
        <f aca="false">IF(AND(ISNUMBER(B234),ISNUMBER(B233),B233&lt;&gt;0),B234/B233-1,"")</f>
        <v>-0.000158819845446301</v>
      </c>
      <c r="D234" s="9" t="n">
        <f aca="false">IF(ISNUMBER(C234),ABS(C234-BTC_Fit!$B$9),"")</f>
        <v>0.000149456585162189</v>
      </c>
    </row>
    <row r="235" customFormat="false" ht="15" hidden="false" customHeight="false" outlineLevel="0" collapsed="false">
      <c r="A235" s="7" t="s">
        <v>259</v>
      </c>
      <c r="B235" s="8" t="n">
        <v>99.166535</v>
      </c>
      <c r="C235" s="9" t="n">
        <f aca="false">IF(AND(ISNUMBER(B235),ISNUMBER(B234),B234&lt;&gt;0),B235/B234-1,"")</f>
        <v>0.00242557660008491</v>
      </c>
      <c r="D235" s="9" t="n">
        <f aca="false">IF(ISNUMBER(C235),ABS(C235-BTC_Fit!$B$9),"")</f>
        <v>0.00243493986036902</v>
      </c>
    </row>
    <row r="236" customFormat="false" ht="15" hidden="false" customHeight="false" outlineLevel="0" collapsed="false">
      <c r="A236" s="7" t="s">
        <v>260</v>
      </c>
      <c r="B236" s="8" t="n">
        <v>99.185572</v>
      </c>
      <c r="C236" s="9" t="n">
        <f aca="false">IF(AND(ISNUMBER(B236),ISNUMBER(B235),B235&lt;&gt;0),B236/B235-1,"")</f>
        <v>0.000191970002783703</v>
      </c>
      <c r="D236" s="9" t="n">
        <f aca="false">IF(ISNUMBER(C236),ABS(C236-BTC_Fit!$B$9),"")</f>
        <v>0.000201333263067816</v>
      </c>
    </row>
    <row r="237" customFormat="false" ht="15" hidden="false" customHeight="false" outlineLevel="0" collapsed="false">
      <c r="A237" s="7" t="s">
        <v>261</v>
      </c>
      <c r="B237" s="8" t="n">
        <v>99.365022</v>
      </c>
      <c r="C237" s="9" t="n">
        <f aca="false">IF(AND(ISNUMBER(B237),ISNUMBER(B236),B236&lt;&gt;0),B237/B236-1,"")</f>
        <v>0.00180923491573948</v>
      </c>
      <c r="D237" s="9" t="n">
        <f aca="false">IF(ISNUMBER(C237),ABS(C237-BTC_Fit!$B$9),"")</f>
        <v>0.00181859817602359</v>
      </c>
    </row>
    <row r="238" customFormat="false" ht="15" hidden="false" customHeight="false" outlineLevel="0" collapsed="false">
      <c r="A238" s="7" t="s">
        <v>262</v>
      </c>
      <c r="B238" s="8" t="n">
        <v>99.448937</v>
      </c>
      <c r="C238" s="9" t="n">
        <f aca="false">IF(AND(ISNUMBER(B238),ISNUMBER(B237),B237&lt;&gt;0),B238/B237-1,"")</f>
        <v>0.000844512468381575</v>
      </c>
      <c r="D238" s="9" t="n">
        <f aca="false">IF(ISNUMBER(C238),ABS(C238-BTC_Fit!$B$9),"")</f>
        <v>0.000853875728665687</v>
      </c>
    </row>
    <row r="239" customFormat="false" ht="15" hidden="false" customHeight="false" outlineLevel="0" collapsed="false">
      <c r="A239" s="7" t="s">
        <v>263</v>
      </c>
      <c r="B239" s="8" t="n">
        <v>99.442898</v>
      </c>
      <c r="C239" s="9" t="n">
        <f aca="false">IF(AND(ISNUMBER(B239),ISNUMBER(B238),B238&lt;&gt;0),B239/B238-1,"")</f>
        <v>-6.07246309731746E-005</v>
      </c>
      <c r="D239" s="9" t="n">
        <f aca="false">IF(ISNUMBER(C239),ABS(C239-BTC_Fit!$B$9),"")</f>
        <v>5.13613706890625E-005</v>
      </c>
    </row>
    <row r="240" customFormat="false" ht="15" hidden="false" customHeight="false" outlineLevel="0" collapsed="false">
      <c r="A240" s="7" t="s">
        <v>264</v>
      </c>
      <c r="B240" s="8" t="n">
        <v>99.518334</v>
      </c>
      <c r="C240" s="9" t="n">
        <f aca="false">IF(AND(ISNUMBER(B240),ISNUMBER(B239),B239&lt;&gt;0),B240/B239-1,"")</f>
        <v>0.000758586098325464</v>
      </c>
      <c r="D240" s="9" t="n">
        <f aca="false">IF(ISNUMBER(C240),ABS(C240-BTC_Fit!$B$9),"")</f>
        <v>0.000767949358609577</v>
      </c>
    </row>
    <row r="241" customFormat="false" ht="15" hidden="false" customHeight="false" outlineLevel="0" collapsed="false">
      <c r="A241" s="7" t="s">
        <v>265</v>
      </c>
      <c r="B241" s="8" t="n">
        <v>99.219778</v>
      </c>
      <c r="C241" s="9" t="n">
        <f aca="false">IF(AND(ISNUMBER(B241),ISNUMBER(B240),B240&lt;&gt;0),B241/B240-1,"")</f>
        <v>-0.00300001002830286</v>
      </c>
      <c r="D241" s="9" t="n">
        <f aca="false">IF(ISNUMBER(C241),ABS(C241-BTC_Fit!$B$9),"")</f>
        <v>0.00299064676801875</v>
      </c>
    </row>
    <row r="242" customFormat="false" ht="15" hidden="false" customHeight="false" outlineLevel="0" collapsed="false">
      <c r="A242" s="7" t="s">
        <v>266</v>
      </c>
      <c r="B242" s="8" t="n">
        <v>99.083872</v>
      </c>
      <c r="C242" s="9" t="n">
        <f aca="false">IF(AND(ISNUMBER(B242),ISNUMBER(B241),B241&lt;&gt;0),B242/B241-1,"")</f>
        <v>-0.00136974706796866</v>
      </c>
      <c r="D242" s="9" t="n">
        <f aca="false">IF(ISNUMBER(C242),ABS(C242-BTC_Fit!$B$9),"")</f>
        <v>0.00136038380768455</v>
      </c>
    </row>
    <row r="243" customFormat="false" ht="15" hidden="false" customHeight="false" outlineLevel="0" collapsed="false">
      <c r="A243" s="7" t="s">
        <v>267</v>
      </c>
      <c r="B243" s="8" t="n">
        <v>99.179776</v>
      </c>
      <c r="C243" s="9" t="n">
        <f aca="false">IF(AND(ISNUMBER(B243),ISNUMBER(B242),B242&lt;&gt;0),B243/B242-1,"")</f>
        <v>0.000967907269510127</v>
      </c>
      <c r="D243" s="9" t="n">
        <f aca="false">IF(ISNUMBER(C243),ABS(C243-BTC_Fit!$B$9),"")</f>
        <v>0.000977270529794239</v>
      </c>
    </row>
    <row r="244" customFormat="false" ht="15" hidden="false" customHeight="false" outlineLevel="0" collapsed="false">
      <c r="A244" s="7" t="s">
        <v>268</v>
      </c>
      <c r="B244" s="8" t="n">
        <v>99.260157</v>
      </c>
      <c r="C244" s="9" t="n">
        <f aca="false">IF(AND(ISNUMBER(B244),ISNUMBER(B243),B243&lt;&gt;0),B244/B243-1,"")</f>
        <v>0.000810457567478329</v>
      </c>
      <c r="D244" s="9" t="n">
        <f aca="false">IF(ISNUMBER(C244),ABS(C244-BTC_Fit!$B$9),"")</f>
        <v>0.000819820827762441</v>
      </c>
    </row>
    <row r="245" customFormat="false" ht="15" hidden="false" customHeight="false" outlineLevel="0" collapsed="false">
      <c r="A245" s="7" t="s">
        <v>269</v>
      </c>
      <c r="B245" s="8" t="n">
        <v>99.191806</v>
      </c>
      <c r="C245" s="9" t="n">
        <f aca="false">IF(AND(ISNUMBER(B245),ISNUMBER(B244),B244&lt;&gt;0),B245/B244-1,"")</f>
        <v>-0.000688604592878117</v>
      </c>
      <c r="D245" s="9" t="n">
        <f aca="false">IF(ISNUMBER(C245),ABS(C245-BTC_Fit!$B$9),"")</f>
        <v>0.000679241332594005</v>
      </c>
    </row>
    <row r="246" customFormat="false" ht="15" hidden="false" customHeight="false" outlineLevel="0" collapsed="false">
      <c r="A246" s="7" t="s">
        <v>270</v>
      </c>
      <c r="B246" s="8" t="n">
        <v>99.197476</v>
      </c>
      <c r="C246" s="9" t="n">
        <f aca="false">IF(AND(ISNUMBER(B246),ISNUMBER(B245),B245&lt;&gt;0),B246/B245-1,"")</f>
        <v>5.71619796900791E-005</v>
      </c>
      <c r="D246" s="9" t="n">
        <f aca="false">IF(ISNUMBER(C246),ABS(C246-BTC_Fit!$B$9),"")</f>
        <v>6.65252399741911E-005</v>
      </c>
    </row>
    <row r="247" customFormat="false" ht="15" hidden="false" customHeight="false" outlineLevel="0" collapsed="false">
      <c r="A247" s="7" t="s">
        <v>271</v>
      </c>
      <c r="B247" s="8" t="n">
        <v>99.218751</v>
      </c>
      <c r="C247" s="9" t="n">
        <f aca="false">IF(AND(ISNUMBER(B247),ISNUMBER(B246),B246&lt;&gt;0),B247/B246-1,"")</f>
        <v>0.000214471182714338</v>
      </c>
      <c r="D247" s="9" t="n">
        <f aca="false">IF(ISNUMBER(C247),ABS(C247-BTC_Fit!$B$9),"")</f>
        <v>0.00022383444299845</v>
      </c>
    </row>
    <row r="248" customFormat="false" ht="15" hidden="false" customHeight="false" outlineLevel="0" collapsed="false">
      <c r="A248" s="7" t="s">
        <v>272</v>
      </c>
      <c r="B248" s="8" t="n">
        <v>99.3375</v>
      </c>
      <c r="C248" s="9" t="n">
        <f aca="false">IF(AND(ISNUMBER(B248),ISNUMBER(B247),B247&lt;&gt;0),B248/B247-1,"")</f>
        <v>0.00119684030289813</v>
      </c>
      <c r="D248" s="9" t="n">
        <f aca="false">IF(ISNUMBER(C248),ABS(C248-BTC_Fit!$B$9),"")</f>
        <v>0.00120620356318224</v>
      </c>
    </row>
    <row r="249" customFormat="false" ht="15" hidden="false" customHeight="false" outlineLevel="0" collapsed="false">
      <c r="A249" s="7" t="s">
        <v>273</v>
      </c>
      <c r="B249" s="8" t="n">
        <v>99.358147</v>
      </c>
      <c r="C249" s="9" t="n">
        <f aca="false">IF(AND(ISNUMBER(B249),ISNUMBER(B248),B248&lt;&gt;0),B249/B248-1,"")</f>
        <v>0.000207846986284066</v>
      </c>
      <c r="D249" s="9" t="n">
        <f aca="false">IF(ISNUMBER(C249),ABS(C249-BTC_Fit!$B$9),"")</f>
        <v>0.000217210246568178</v>
      </c>
    </row>
    <row r="250" customFormat="false" ht="15" hidden="false" customHeight="false" outlineLevel="0" collapsed="false">
      <c r="A250" s="7" t="s">
        <v>274</v>
      </c>
      <c r="B250" s="8" t="n">
        <v>99.340961</v>
      </c>
      <c r="C250" s="9" t="n">
        <f aca="false">IF(AND(ISNUMBER(B250),ISNUMBER(B249),B249&lt;&gt;0),B250/B249-1,"")</f>
        <v>-0.000172970214511015</v>
      </c>
      <c r="D250" s="9" t="n">
        <f aca="false">IF(ISNUMBER(C250),ABS(C250-BTC_Fit!$B$9),"")</f>
        <v>0.000163606954226903</v>
      </c>
    </row>
    <row r="251" customFormat="false" ht="15" hidden="false" customHeight="false" outlineLevel="0" collapsed="false">
      <c r="A251" s="7" t="s">
        <v>275</v>
      </c>
      <c r="B251" s="8" t="n">
        <v>99.315045</v>
      </c>
      <c r="C251" s="9" t="n">
        <f aca="false">IF(AND(ISNUMBER(B251),ISNUMBER(B250),B250&lt;&gt;0),B251/B250-1,"")</f>
        <v>-0.000260879296305583</v>
      </c>
      <c r="D251" s="9" t="n">
        <f aca="false">IF(ISNUMBER(C251),ABS(C251-BTC_Fit!$B$9),"")</f>
        <v>0.000251516036021471</v>
      </c>
    </row>
    <row r="252" customFormat="false" ht="15" hidden="false" customHeight="false" outlineLevel="0" collapsed="false">
      <c r="A252" s="7" t="s">
        <v>276</v>
      </c>
      <c r="B252" s="8" t="n">
        <v>99.300704</v>
      </c>
      <c r="C252" s="9" t="n">
        <f aca="false">IF(AND(ISNUMBER(B252),ISNUMBER(B251),B251&lt;&gt;0),B252/B251-1,"")</f>
        <v>-0.00014439906864061</v>
      </c>
      <c r="D252" s="9" t="n">
        <f aca="false">IF(ISNUMBER(C252),ABS(C252-BTC_Fit!$B$9),"")</f>
        <v>0.000135035808356498</v>
      </c>
    </row>
    <row r="253" customFormat="false" ht="15" hidden="false" customHeight="false" outlineLevel="0" collapsed="false">
      <c r="A253" s="7" t="s">
        <v>277</v>
      </c>
      <c r="B253" s="8" t="n">
        <v>99.333075</v>
      </c>
      <c r="C253" s="9" t="n">
        <f aca="false">IF(AND(ISNUMBER(B253),ISNUMBER(B252),B252&lt;&gt;0),B253/B252-1,"")</f>
        <v>0.000325989632460111</v>
      </c>
      <c r="D253" s="9" t="n">
        <f aca="false">IF(ISNUMBER(C253),ABS(C253-BTC_Fit!$B$9),"")</f>
        <v>0.000335352892744223</v>
      </c>
    </row>
    <row r="254" customFormat="false" ht="15" hidden="false" customHeight="false" outlineLevel="0" collapsed="false">
      <c r="A254" s="7" t="s">
        <v>278</v>
      </c>
      <c r="B254" s="8" t="n">
        <v>99.451794</v>
      </c>
      <c r="C254" s="9" t="n">
        <f aca="false">IF(AND(ISNUMBER(B254),ISNUMBER(B253),B253&lt;&gt;0),B254/B253-1,"")</f>
        <v>0.00119516082634119</v>
      </c>
      <c r="D254" s="9" t="n">
        <f aca="false">IF(ISNUMBER(C254),ABS(C254-BTC_Fit!$B$9),"")</f>
        <v>0.0012045240866253</v>
      </c>
    </row>
    <row r="255" customFormat="false" ht="15" hidden="false" customHeight="false" outlineLevel="0" collapsed="false">
      <c r="A255" s="7" t="s">
        <v>279</v>
      </c>
      <c r="B255" s="8" t="n">
        <v>99.443135</v>
      </c>
      <c r="C255" s="9" t="n">
        <f aca="false">IF(AND(ISNUMBER(B255),ISNUMBER(B254),B254&lt;&gt;0),B255/B254-1,"")</f>
        <v>-8.70673082077333E-005</v>
      </c>
      <c r="D255" s="9" t="n">
        <f aca="false">IF(ISNUMBER(C255),ABS(C255-BTC_Fit!$B$9),"")</f>
        <v>7.77040479236213E-005</v>
      </c>
    </row>
    <row r="256" customFormat="false" ht="15" hidden="false" customHeight="false" outlineLevel="0" collapsed="false">
      <c r="A256" s="7" t="s">
        <v>280</v>
      </c>
      <c r="B256" s="8" t="n">
        <v>99.380322</v>
      </c>
      <c r="C256" s="9" t="n">
        <f aca="false">IF(AND(ISNUMBER(B256),ISNUMBER(B255),B255&lt;&gt;0),B256/B255-1,"")</f>
        <v>-0.000631647423424364</v>
      </c>
      <c r="D256" s="9" t="n">
        <f aca="false">IF(ISNUMBER(C256),ABS(C256-BTC_Fit!$B$9),"")</f>
        <v>0.000622284163140252</v>
      </c>
    </row>
    <row r="257" customFormat="false" ht="15" hidden="false" customHeight="false" outlineLevel="0" collapsed="false">
      <c r="A257" s="7" t="s">
        <v>281</v>
      </c>
      <c r="B257" s="8" t="n">
        <v>99.313422</v>
      </c>
      <c r="C257" s="9" t="n">
        <f aca="false">IF(AND(ISNUMBER(B257),ISNUMBER(B256),B256&lt;&gt;0),B257/B256-1,"")</f>
        <v>-0.000673171495660929</v>
      </c>
      <c r="D257" s="9" t="n">
        <f aca="false">IF(ISNUMBER(C257),ABS(C257-BTC_Fit!$B$9),"")</f>
        <v>0.000663808235376817</v>
      </c>
    </row>
    <row r="258" customFormat="false" ht="15" hidden="false" customHeight="false" outlineLevel="0" collapsed="false">
      <c r="A258" s="7" t="s">
        <v>282</v>
      </c>
      <c r="B258" s="8" t="n">
        <v>99.373963</v>
      </c>
      <c r="C258" s="9" t="n">
        <f aca="false">IF(AND(ISNUMBER(B258),ISNUMBER(B257),B257&lt;&gt;0),B258/B257-1,"")</f>
        <v>0.000609595347545344</v>
      </c>
      <c r="D258" s="9" t="n">
        <f aca="false">IF(ISNUMBER(C258),ABS(C258-BTC_Fit!$B$9),"")</f>
        <v>0.000618958607829456</v>
      </c>
    </row>
    <row r="259" customFormat="false" ht="15" hidden="false" customHeight="false" outlineLevel="0" collapsed="false">
      <c r="A259" s="7" t="s">
        <v>283</v>
      </c>
      <c r="B259" s="8" t="n">
        <v>99.463647</v>
      </c>
      <c r="C259" s="9" t="n">
        <f aca="false">IF(AND(ISNUMBER(B259),ISNUMBER(B258),B258&lt;&gt;0),B259/B258-1,"")</f>
        <v>0.000902489920825644</v>
      </c>
      <c r="D259" s="9" t="n">
        <f aca="false">IF(ISNUMBER(C259),ABS(C259-BTC_Fit!$B$9),"")</f>
        <v>0.000911853181109756</v>
      </c>
    </row>
    <row r="260" customFormat="false" ht="15" hidden="false" customHeight="false" outlineLevel="0" collapsed="false">
      <c r="A260" s="7" t="s">
        <v>284</v>
      </c>
      <c r="B260" s="8" t="n">
        <v>99.324179</v>
      </c>
      <c r="C260" s="9" t="n">
        <f aca="false">IF(AND(ISNUMBER(B260),ISNUMBER(B259),B259&lt;&gt;0),B260/B259-1,"")</f>
        <v>-0.00140220074576591</v>
      </c>
      <c r="D260" s="9" t="n">
        <f aca="false">IF(ISNUMBER(C260),ABS(C260-BTC_Fit!$B$9),"")</f>
        <v>0.0013928374854818</v>
      </c>
    </row>
    <row r="261" customFormat="false" ht="15" hidden="false" customHeight="false" outlineLevel="0" collapsed="false">
      <c r="A261" s="7" t="s">
        <v>285</v>
      </c>
      <c r="B261" s="8" t="n">
        <v>99.143918</v>
      </c>
      <c r="C261" s="9" t="n">
        <f aca="false">IF(AND(ISNUMBER(B261),ISNUMBER(B260),B260&lt;&gt;0),B261/B260-1,"")</f>
        <v>-0.00181487530845836</v>
      </c>
      <c r="D261" s="9" t="n">
        <f aca="false">IF(ISNUMBER(C261),ABS(C261-BTC_Fit!$B$9),"")</f>
        <v>0.00180551204817425</v>
      </c>
    </row>
    <row r="262" customFormat="false" ht="15" hidden="false" customHeight="false" outlineLevel="0" collapsed="false">
      <c r="A262" s="7" t="s">
        <v>286</v>
      </c>
      <c r="B262" s="8" t="n">
        <v>99.162596</v>
      </c>
      <c r="C262" s="9" t="n">
        <f aca="false">IF(AND(ISNUMBER(B262),ISNUMBER(B261),B261&lt;&gt;0),B262/B261-1,"")</f>
        <v>0.000188392796822923</v>
      </c>
      <c r="D262" s="9" t="n">
        <f aca="false">IF(ISNUMBER(C262),ABS(C262-BTC_Fit!$B$9),"")</f>
        <v>0.000197756057107035</v>
      </c>
    </row>
    <row r="263" customFormat="false" ht="15" hidden="false" customHeight="false" outlineLevel="0" collapsed="false">
      <c r="A263" s="7" t="s">
        <v>287</v>
      </c>
      <c r="B263" s="8" t="n">
        <v>99.05284</v>
      </c>
      <c r="C263" s="9" t="n">
        <f aca="false">IF(AND(ISNUMBER(B263),ISNUMBER(B262),B262&lt;&gt;0),B263/B262-1,"")</f>
        <v>-0.00110682862719724</v>
      </c>
      <c r="D263" s="9" t="n">
        <f aca="false">IF(ISNUMBER(C263),ABS(C263-BTC_Fit!$B$9),"")</f>
        <v>0.00109746536691313</v>
      </c>
    </row>
    <row r="264" customFormat="false" ht="15" hidden="false" customHeight="false" outlineLevel="0" collapsed="false">
      <c r="A264" s="7" t="s">
        <v>288</v>
      </c>
      <c r="B264" s="8" t="n">
        <v>99.146258</v>
      </c>
      <c r="C264" s="9" t="n">
        <f aca="false">IF(AND(ISNUMBER(B264),ISNUMBER(B263),B263&lt;&gt;0),B264/B263-1,"")</f>
        <v>0.000943112787074041</v>
      </c>
      <c r="D264" s="9" t="n">
        <f aca="false">IF(ISNUMBER(C264),ABS(C264-BTC_Fit!$B$9),"")</f>
        <v>0.000952476047358153</v>
      </c>
    </row>
    <row r="265" customFormat="false" ht="15" hidden="false" customHeight="false" outlineLevel="0" collapsed="false">
      <c r="A265" s="7" t="s">
        <v>289</v>
      </c>
      <c r="B265" s="8" t="n">
        <v>99.103698</v>
      </c>
      <c r="C265" s="9" t="n">
        <f aca="false">IF(AND(ISNUMBER(B265),ISNUMBER(B264),B264&lt;&gt;0),B265/B264-1,"")</f>
        <v>-0.000429264814008512</v>
      </c>
      <c r="D265" s="9" t="n">
        <f aca="false">IF(ISNUMBER(C265),ABS(C265-BTC_Fit!$B$9),"")</f>
        <v>0.0004199015537244</v>
      </c>
    </row>
    <row r="266" customFormat="false" ht="15" hidden="false" customHeight="false" outlineLevel="0" collapsed="false">
      <c r="A266" s="7" t="s">
        <v>290</v>
      </c>
      <c r="B266" s="8" t="n">
        <v>98.992592</v>
      </c>
      <c r="C266" s="9" t="n">
        <f aca="false">IF(AND(ISNUMBER(B266),ISNUMBER(B265),B265&lt;&gt;0),B266/B265-1,"")</f>
        <v>-0.00112110851806957</v>
      </c>
      <c r="D266" s="9" t="n">
        <f aca="false">IF(ISNUMBER(C266),ABS(C266-BTC_Fit!$B$9),"")</f>
        <v>0.00111174525778546</v>
      </c>
    </row>
    <row r="267" customFormat="false" ht="15" hidden="false" customHeight="false" outlineLevel="0" collapsed="false">
      <c r="A267" s="7" t="s">
        <v>291</v>
      </c>
      <c r="B267" s="8" t="n">
        <v>99.15695</v>
      </c>
      <c r="C267" s="9" t="n">
        <f aca="false">IF(AND(ISNUMBER(B267),ISNUMBER(B266),B266&lt;&gt;0),B267/B266-1,"")</f>
        <v>0.00166030605603296</v>
      </c>
      <c r="D267" s="9" t="n">
        <f aca="false">IF(ISNUMBER(C267),ABS(C267-BTC_Fit!$B$9),"")</f>
        <v>0.00166966931631707</v>
      </c>
    </row>
    <row r="268" customFormat="false" ht="15" hidden="false" customHeight="false" outlineLevel="0" collapsed="false">
      <c r="A268" s="7" t="s">
        <v>292</v>
      </c>
      <c r="B268" s="8" t="n">
        <v>99.058298</v>
      </c>
      <c r="C268" s="9" t="n">
        <f aca="false">IF(AND(ISNUMBER(B268),ISNUMBER(B267),B267&lt;&gt;0),B268/B267-1,"")</f>
        <v>-0.000994907568254155</v>
      </c>
      <c r="D268" s="9" t="n">
        <f aca="false">IF(ISNUMBER(C268),ABS(C268-BTC_Fit!$B$9),"")</f>
        <v>0.000985544307970043</v>
      </c>
    </row>
    <row r="269" customFormat="false" ht="15" hidden="false" customHeight="false" outlineLevel="0" collapsed="false">
      <c r="A269" s="7" t="s">
        <v>293</v>
      </c>
      <c r="B269" s="8" t="n">
        <v>99.008097</v>
      </c>
      <c r="C269" s="9" t="n">
        <f aca="false">IF(AND(ISNUMBER(B269),ISNUMBER(B268),B268&lt;&gt;0),B269/B268-1,"")</f>
        <v>-0.00050678237980617</v>
      </c>
      <c r="D269" s="9" t="n">
        <f aca="false">IF(ISNUMBER(C269),ABS(C269-BTC_Fit!$B$9),"")</f>
        <v>0.000497419119522058</v>
      </c>
    </row>
    <row r="270" customFormat="false" ht="15" hidden="false" customHeight="false" outlineLevel="0" collapsed="false">
      <c r="A270" s="7" t="s">
        <v>294</v>
      </c>
      <c r="B270" s="8" t="n">
        <v>98.902935</v>
      </c>
      <c r="C270" s="9" t="n">
        <f aca="false">IF(AND(ISNUMBER(B270),ISNUMBER(B269),B269&lt;&gt;0),B270/B269-1,"")</f>
        <v>-0.00106215555279288</v>
      </c>
      <c r="D270" s="9" t="n">
        <f aca="false">IF(ISNUMBER(C270),ABS(C270-BTC_Fit!$B$9),"")</f>
        <v>0.00105279229250876</v>
      </c>
    </row>
    <row r="271" customFormat="false" ht="15" hidden="false" customHeight="false" outlineLevel="0" collapsed="false">
      <c r="A271" s="7" t="s">
        <v>295</v>
      </c>
      <c r="B271" s="8" t="n">
        <v>98.772494</v>
      </c>
      <c r="C271" s="9" t="n">
        <f aca="false">IF(AND(ISNUMBER(B271),ISNUMBER(B270),B270&lt;&gt;0),B271/B270-1,"")</f>
        <v>-0.00131887895945659</v>
      </c>
      <c r="D271" s="9" t="n">
        <f aca="false">IF(ISNUMBER(C271),ABS(C271-BTC_Fit!$B$9),"")</f>
        <v>0.00130951569917248</v>
      </c>
    </row>
    <row r="272" customFormat="false" ht="15" hidden="false" customHeight="false" outlineLevel="0" collapsed="false">
      <c r="A272" s="7" t="s">
        <v>296</v>
      </c>
      <c r="B272" s="8" t="n">
        <v>98.491312</v>
      </c>
      <c r="C272" s="9" t="n">
        <f aca="false">IF(AND(ISNUMBER(B272),ISNUMBER(B271),B271&lt;&gt;0),B272/B271-1,"")</f>
        <v>-0.00284676420137775</v>
      </c>
      <c r="D272" s="9" t="n">
        <f aca="false">IF(ISNUMBER(C272),ABS(C272-BTC_Fit!$B$9),"")</f>
        <v>0.00283740094109364</v>
      </c>
    </row>
    <row r="273" customFormat="false" ht="15" hidden="false" customHeight="false" outlineLevel="0" collapsed="false">
      <c r="A273" s="7" t="s">
        <v>297</v>
      </c>
      <c r="B273" s="8" t="n">
        <v>98.29629</v>
      </c>
      <c r="C273" s="9" t="n">
        <f aca="false">IF(AND(ISNUMBER(B273),ISNUMBER(B272),B272&lt;&gt;0),B273/B272-1,"")</f>
        <v>-0.00198009343199723</v>
      </c>
      <c r="D273" s="9" t="n">
        <f aca="false">IF(ISNUMBER(C273),ABS(C273-BTC_Fit!$B$9),"")</f>
        <v>0.00197073017171312</v>
      </c>
    </row>
    <row r="274" customFormat="false" ht="15" hidden="false" customHeight="false" outlineLevel="0" collapsed="false">
      <c r="A274" s="7" t="s">
        <v>298</v>
      </c>
      <c r="B274" s="8" t="n">
        <v>98.203234</v>
      </c>
      <c r="C274" s="9" t="n">
        <f aca="false">IF(AND(ISNUMBER(B274),ISNUMBER(B273),B273&lt;&gt;0),B274/B273-1,"")</f>
        <v>-0.000946688832304865</v>
      </c>
      <c r="D274" s="9" t="n">
        <f aca="false">IF(ISNUMBER(C274),ABS(C274-BTC_Fit!$B$9),"")</f>
        <v>0.000937325572020753</v>
      </c>
    </row>
    <row r="275" customFormat="false" ht="15" hidden="false" customHeight="false" outlineLevel="0" collapsed="false">
      <c r="A275" s="7" t="s">
        <v>299</v>
      </c>
      <c r="B275" s="8" t="n">
        <v>98.00551</v>
      </c>
      <c r="C275" s="9" t="n">
        <f aca="false">IF(AND(ISNUMBER(B275),ISNUMBER(B274),B274&lt;&gt;0),B275/B274-1,"")</f>
        <v>-0.00201341638097163</v>
      </c>
      <c r="D275" s="9" t="n">
        <f aca="false">IF(ISNUMBER(C275),ABS(C275-BTC_Fit!$B$9),"")</f>
        <v>0.00200405312068752</v>
      </c>
    </row>
    <row r="276" customFormat="false" ht="15" hidden="false" customHeight="false" outlineLevel="0" collapsed="false">
      <c r="A276" s="7" t="s">
        <v>300</v>
      </c>
      <c r="B276" s="8" t="n">
        <v>98.02326</v>
      </c>
      <c r="C276" s="9" t="n">
        <f aca="false">IF(AND(ISNUMBER(B276),ISNUMBER(B275),B275&lt;&gt;0),B276/B275-1,"")</f>
        <v>0.000181112266034678</v>
      </c>
      <c r="D276" s="9" t="n">
        <f aca="false">IF(ISNUMBER(C276),ABS(C276-BTC_Fit!$B$9),"")</f>
        <v>0.00019047552631879</v>
      </c>
    </row>
    <row r="277" customFormat="false" ht="15" hidden="false" customHeight="false" outlineLevel="0" collapsed="false">
      <c r="A277" s="7" t="s">
        <v>301</v>
      </c>
      <c r="B277" s="8" t="n">
        <v>98.062829</v>
      </c>
      <c r="C277" s="9" t="n">
        <f aca="false">IF(AND(ISNUMBER(B277),ISNUMBER(B276),B276&lt;&gt;0),B277/B276-1,"")</f>
        <v>0.000403669496403136</v>
      </c>
      <c r="D277" s="9" t="n">
        <f aca="false">IF(ISNUMBER(C277),ABS(C277-BTC_Fit!$B$9),"")</f>
        <v>0.000413032756687248</v>
      </c>
    </row>
    <row r="278" customFormat="false" ht="15" hidden="false" customHeight="false" outlineLevel="0" collapsed="false">
      <c r="A278" s="7" t="s">
        <v>302</v>
      </c>
      <c r="B278" s="8" t="n">
        <v>98.041719</v>
      </c>
      <c r="C278" s="9" t="n">
        <f aca="false">IF(AND(ISNUMBER(B278),ISNUMBER(B277),B277&lt;&gt;0),B278/B277-1,"")</f>
        <v>-0.000215270150935476</v>
      </c>
      <c r="D278" s="9" t="n">
        <f aca="false">IF(ISNUMBER(C278),ABS(C278-BTC_Fit!$B$9),"")</f>
        <v>0.000205906890651364</v>
      </c>
    </row>
    <row r="279" customFormat="false" ht="15" hidden="false" customHeight="false" outlineLevel="0" collapsed="false">
      <c r="A279" s="7" t="s">
        <v>303</v>
      </c>
      <c r="B279" s="8" t="n">
        <v>98.001784</v>
      </c>
      <c r="C279" s="9" t="n">
        <f aca="false">IF(AND(ISNUMBER(B279),ISNUMBER(B278),B278&lt;&gt;0),B279/B278-1,"")</f>
        <v>-0.000407326599404123</v>
      </c>
      <c r="D279" s="9" t="n">
        <f aca="false">IF(ISNUMBER(C279),ABS(C279-BTC_Fit!$B$9),"")</f>
        <v>0.000397963339120011</v>
      </c>
    </row>
    <row r="280" customFormat="false" ht="15" hidden="false" customHeight="false" outlineLevel="0" collapsed="false">
      <c r="A280" s="7" t="s">
        <v>304</v>
      </c>
      <c r="B280" s="8" t="n">
        <v>98.002586</v>
      </c>
      <c r="C280" s="9" t="n">
        <f aca="false">IF(AND(ISNUMBER(B280),ISNUMBER(B279),B279&lt;&gt;0),B280/B279-1,"")</f>
        <v>8.1835244958306E-006</v>
      </c>
      <c r="D280" s="9" t="n">
        <f aca="false">IF(ISNUMBER(C280),ABS(C280-BTC_Fit!$B$9),"")</f>
        <v>1.75467847799426E-005</v>
      </c>
    </row>
    <row r="281" customFormat="false" ht="15" hidden="false" customHeight="false" outlineLevel="0" collapsed="false">
      <c r="A281" s="7" t="s">
        <v>305</v>
      </c>
      <c r="B281" s="8" t="n">
        <v>98.124864</v>
      </c>
      <c r="C281" s="9" t="n">
        <f aca="false">IF(AND(ISNUMBER(B281),ISNUMBER(B280),B280&lt;&gt;0),B281/B280-1,"")</f>
        <v>0.00124770176982891</v>
      </c>
      <c r="D281" s="9" t="n">
        <f aca="false">IF(ISNUMBER(C281),ABS(C281-BTC_Fit!$B$9),"")</f>
        <v>0.00125706503011302</v>
      </c>
    </row>
    <row r="282" customFormat="false" ht="15" hidden="false" customHeight="false" outlineLevel="0" collapsed="false">
      <c r="A282" s="7" t="s">
        <v>306</v>
      </c>
      <c r="B282" s="8" t="n">
        <v>98.231858</v>
      </c>
      <c r="C282" s="9" t="n">
        <f aca="false">IF(AND(ISNUMBER(B282),ISNUMBER(B281),B281&lt;&gt;0),B282/B281-1,"")</f>
        <v>0.0010903862246372</v>
      </c>
      <c r="D282" s="9" t="n">
        <f aca="false">IF(ISNUMBER(C282),ABS(C282-BTC_Fit!$B$9),"")</f>
        <v>0.00109974948492131</v>
      </c>
    </row>
    <row r="283" customFormat="false" ht="15" hidden="false" customHeight="false" outlineLevel="0" collapsed="false">
      <c r="A283" s="7" t="s">
        <v>307</v>
      </c>
      <c r="B283" s="8" t="n">
        <v>98.015927</v>
      </c>
      <c r="C283" s="9" t="n">
        <f aca="false">IF(AND(ISNUMBER(B283),ISNUMBER(B282),B282&lt;&gt;0),B283/B282-1,"")</f>
        <v>-0.00219817688880519</v>
      </c>
      <c r="D283" s="9" t="n">
        <f aca="false">IF(ISNUMBER(C283),ABS(C283-BTC_Fit!$B$9),"")</f>
        <v>0.00218881362852108</v>
      </c>
    </row>
    <row r="284" customFormat="false" ht="15" hidden="false" customHeight="false" outlineLevel="0" collapsed="false">
      <c r="A284" s="7" t="s">
        <v>308</v>
      </c>
      <c r="B284" s="8" t="n">
        <v>97.926534</v>
      </c>
      <c r="C284" s="9" t="n">
        <f aca="false">IF(AND(ISNUMBER(B284),ISNUMBER(B283),B283&lt;&gt;0),B284/B283-1,"")</f>
        <v>-0.000912025246672443</v>
      </c>
      <c r="D284" s="9" t="n">
        <f aca="false">IF(ISNUMBER(C284),ABS(C284-BTC_Fit!$B$9),"")</f>
        <v>0.000902661986388331</v>
      </c>
    </row>
    <row r="285" customFormat="false" ht="15" hidden="false" customHeight="false" outlineLevel="0" collapsed="false">
      <c r="A285" s="7" t="s">
        <v>309</v>
      </c>
      <c r="B285" s="8" t="n">
        <v>97.860643</v>
      </c>
      <c r="C285" s="9" t="n">
        <f aca="false">IF(AND(ISNUMBER(B285),ISNUMBER(B284),B284&lt;&gt;0),B285/B284-1,"")</f>
        <v>-0.000672861555582105</v>
      </c>
      <c r="D285" s="9" t="n">
        <f aca="false">IF(ISNUMBER(C285),ABS(C285-BTC_Fit!$B$9),"")</f>
        <v>0.000663498295297993</v>
      </c>
    </row>
    <row r="286" customFormat="false" ht="15" hidden="false" customHeight="false" outlineLevel="0" collapsed="false">
      <c r="A286" s="7" t="s">
        <v>310</v>
      </c>
      <c r="B286" s="8" t="n">
        <v>97.799378</v>
      </c>
      <c r="C286" s="9" t="n">
        <f aca="false">IF(AND(ISNUMBER(B286),ISNUMBER(B285),B285&lt;&gt;0),B286/B285-1,"")</f>
        <v>-0.000626043301186874</v>
      </c>
      <c r="D286" s="9" t="n">
        <f aca="false">IF(ISNUMBER(C286),ABS(C286-BTC_Fit!$B$9),"")</f>
        <v>0.000616680040902762</v>
      </c>
    </row>
    <row r="287" customFormat="false" ht="15" hidden="false" customHeight="false" outlineLevel="0" collapsed="false">
      <c r="A287" s="7" t="s">
        <v>311</v>
      </c>
      <c r="B287" s="8" t="n">
        <v>97.812906</v>
      </c>
      <c r="C287" s="9" t="n">
        <f aca="false">IF(AND(ISNUMBER(B287),ISNUMBER(B286),B286&lt;&gt;0),B287/B286-1,"")</f>
        <v>0.000138323988113642</v>
      </c>
      <c r="D287" s="9" t="n">
        <f aca="false">IF(ISNUMBER(C287),ABS(C287-BTC_Fit!$B$9),"")</f>
        <v>0.000147687248397754</v>
      </c>
    </row>
    <row r="288" customFormat="false" ht="15" hidden="false" customHeight="false" outlineLevel="0" collapsed="false">
      <c r="A288" s="7" t="s">
        <v>312</v>
      </c>
      <c r="B288" s="8" t="n">
        <v>97.796771</v>
      </c>
      <c r="C288" s="9" t="n">
        <f aca="false">IF(AND(ISNUMBER(B288),ISNUMBER(B287),B287&lt;&gt;0),B288/B287-1,"")</f>
        <v>-0.000164957781747077</v>
      </c>
      <c r="D288" s="9" t="n">
        <f aca="false">IF(ISNUMBER(C288),ABS(C288-BTC_Fit!$B$9),"")</f>
        <v>0.000155594521462965</v>
      </c>
    </row>
    <row r="289" customFormat="false" ht="15" hidden="false" customHeight="false" outlineLevel="0" collapsed="false">
      <c r="A289" s="7" t="s">
        <v>313</v>
      </c>
      <c r="B289" s="8" t="n">
        <v>97.592781</v>
      </c>
      <c r="C289" s="9" t="n">
        <f aca="false">IF(AND(ISNUMBER(B289),ISNUMBER(B288),B288&lt;&gt;0),B289/B288-1,"")</f>
        <v>-0.00208585618844215</v>
      </c>
      <c r="D289" s="9" t="n">
        <f aca="false">IF(ISNUMBER(C289),ABS(C289-BTC_Fit!$B$9),"")</f>
        <v>0.00207649292815804</v>
      </c>
    </row>
    <row r="290" customFormat="false" ht="15" hidden="false" customHeight="false" outlineLevel="0" collapsed="false">
      <c r="A290" s="7" t="s">
        <v>314</v>
      </c>
      <c r="B290" s="8" t="n">
        <v>97.567188</v>
      </c>
      <c r="C290" s="9" t="n">
        <f aca="false">IF(AND(ISNUMBER(B290),ISNUMBER(B289),B289&lt;&gt;0),B290/B289-1,"")</f>
        <v>-0.000262242757484321</v>
      </c>
      <c r="D290" s="9" t="n">
        <f aca="false">IF(ISNUMBER(C290),ABS(C290-BTC_Fit!$B$9),"")</f>
        <v>0.000252879497200209</v>
      </c>
    </row>
    <row r="291" customFormat="false" ht="15" hidden="false" customHeight="false" outlineLevel="0" collapsed="false">
      <c r="A291" s="7" t="s">
        <v>315</v>
      </c>
      <c r="B291" s="8" t="n">
        <v>97.571462</v>
      </c>
      <c r="C291" s="9" t="n">
        <f aca="false">IF(AND(ISNUMBER(B291),ISNUMBER(B290),B290&lt;&gt;0),B291/B290-1,"")</f>
        <v>4.38057105838219E-005</v>
      </c>
      <c r="D291" s="9" t="n">
        <f aca="false">IF(ISNUMBER(C291),ABS(C291-BTC_Fit!$B$9),"")</f>
        <v>5.31689708679339E-005</v>
      </c>
    </row>
    <row r="292" customFormat="false" ht="15" hidden="false" customHeight="false" outlineLevel="0" collapsed="false">
      <c r="A292" s="7" t="s">
        <v>316</v>
      </c>
      <c r="B292" s="8" t="n">
        <v>97.431586</v>
      </c>
      <c r="C292" s="9" t="n">
        <f aca="false">IF(AND(ISNUMBER(B292),ISNUMBER(B291),B291&lt;&gt;0),B292/B291-1,"")</f>
        <v>-0.00143357491148388</v>
      </c>
      <c r="D292" s="9" t="n">
        <f aca="false">IF(ISNUMBER(C292),ABS(C292-BTC_Fit!$B$9),"")</f>
        <v>0.00142421165119977</v>
      </c>
    </row>
    <row r="293" customFormat="false" ht="15" hidden="false" customHeight="false" outlineLevel="0" collapsed="false">
      <c r="A293" s="7" t="s">
        <v>317</v>
      </c>
      <c r="B293" s="8" t="n">
        <v>97.527987</v>
      </c>
      <c r="C293" s="9" t="n">
        <f aca="false">IF(AND(ISNUMBER(B293),ISNUMBER(B292),B292&lt;&gt;0),B293/B292-1,"")</f>
        <v>0.000989422465113021</v>
      </c>
      <c r="D293" s="9" t="n">
        <f aca="false">IF(ISNUMBER(C293),ABS(C293-BTC_Fit!$B$9),"")</f>
        <v>0.000998785725397133</v>
      </c>
    </row>
    <row r="294" customFormat="false" ht="15" hidden="false" customHeight="false" outlineLevel="0" collapsed="false">
      <c r="A294" s="7" t="s">
        <v>318</v>
      </c>
      <c r="B294" s="8" t="n">
        <v>97.329256</v>
      </c>
      <c r="C294" s="9" t="n">
        <f aca="false">IF(AND(ISNUMBER(B294),ISNUMBER(B293),B293&lt;&gt;0),B294/B293-1,"")</f>
        <v>-0.00203768175795527</v>
      </c>
      <c r="D294" s="9" t="n">
        <f aca="false">IF(ISNUMBER(C294),ABS(C294-BTC_Fit!$B$9),"")</f>
        <v>0.00202831849767116</v>
      </c>
    </row>
    <row r="295" customFormat="false" ht="15" hidden="false" customHeight="false" outlineLevel="0" collapsed="false">
      <c r="A295" s="7" t="s">
        <v>319</v>
      </c>
      <c r="B295" s="8" t="n">
        <v>97.495252</v>
      </c>
      <c r="C295" s="9" t="n">
        <f aca="false">IF(AND(ISNUMBER(B295),ISNUMBER(B294),B294&lt;&gt;0),B295/B294-1,"")</f>
        <v>0.00170550980067086</v>
      </c>
      <c r="D295" s="9" t="n">
        <f aca="false">IF(ISNUMBER(C295),ABS(C295-BTC_Fit!$B$9),"")</f>
        <v>0.00171487306095497</v>
      </c>
    </row>
    <row r="296" customFormat="false" ht="15" hidden="false" customHeight="false" outlineLevel="0" collapsed="false">
      <c r="A296" s="7" t="s">
        <v>320</v>
      </c>
      <c r="B296" s="8" t="n">
        <v>97.353249</v>
      </c>
      <c r="C296" s="9" t="n">
        <f aca="false">IF(AND(ISNUMBER(B296),ISNUMBER(B295),B295&lt;&gt;0),B296/B295-1,"")</f>
        <v>-0.0014565119540384</v>
      </c>
      <c r="D296" s="9" t="n">
        <f aca="false">IF(ISNUMBER(C296),ABS(C296-BTC_Fit!$B$9),"")</f>
        <v>0.00144714869375429</v>
      </c>
    </row>
    <row r="297" customFormat="false" ht="15" hidden="false" customHeight="false" outlineLevel="0" collapsed="false">
      <c r="A297" s="7" t="s">
        <v>321</v>
      </c>
      <c r="B297" s="8" t="n">
        <v>97.455064</v>
      </c>
      <c r="C297" s="9" t="n">
        <f aca="false">IF(AND(ISNUMBER(B297),ISNUMBER(B296),B296&lt;&gt;0),B297/B296-1,"")</f>
        <v>0.00104583053001117</v>
      </c>
      <c r="D297" s="9" t="n">
        <f aca="false">IF(ISNUMBER(C297),ABS(C297-BTC_Fit!$B$9),"")</f>
        <v>0.00105519379029528</v>
      </c>
    </row>
    <row r="298" customFormat="false" ht="15" hidden="false" customHeight="false" outlineLevel="0" collapsed="false">
      <c r="A298" s="7" t="s">
        <v>322</v>
      </c>
      <c r="B298" s="8" t="n">
        <v>97.598585</v>
      </c>
      <c r="C298" s="9" t="n">
        <f aca="false">IF(AND(ISNUMBER(B298),ISNUMBER(B297),B297&lt;&gt;0),B298/B297-1,"")</f>
        <v>0.00147268899233399</v>
      </c>
      <c r="D298" s="9" t="n">
        <f aca="false">IF(ISNUMBER(C298),ABS(C298-BTC_Fit!$B$9),"")</f>
        <v>0.0014820522526181</v>
      </c>
    </row>
    <row r="299" customFormat="false" ht="15" hidden="false" customHeight="false" outlineLevel="0" collapsed="false">
      <c r="A299" s="7" t="s">
        <v>323</v>
      </c>
      <c r="B299" s="8" t="n">
        <v>97.879462</v>
      </c>
      <c r="C299" s="9" t="n">
        <f aca="false">IF(AND(ISNUMBER(B299),ISNUMBER(B298),B298&lt;&gt;0),B299/B298-1,"")</f>
        <v>0.00287787983811461</v>
      </c>
      <c r="D299" s="9" t="n">
        <f aca="false">IF(ISNUMBER(C299),ABS(C299-BTC_Fit!$B$9),"")</f>
        <v>0.00288724309839872</v>
      </c>
    </row>
    <row r="300" customFormat="false" ht="15" hidden="false" customHeight="false" outlineLevel="0" collapsed="false">
      <c r="A300" s="7" t="s">
        <v>324</v>
      </c>
      <c r="B300" s="8" t="n">
        <v>97.961076</v>
      </c>
      <c r="C300" s="9" t="n">
        <f aca="false">IF(AND(ISNUMBER(B300),ISNUMBER(B299),B299&lt;&gt;0),B300/B299-1,"")</f>
        <v>0.000833821501797782</v>
      </c>
      <c r="D300" s="9" t="n">
        <f aca="false">IF(ISNUMBER(C300),ABS(C300-BTC_Fit!$B$9),"")</f>
        <v>0.000843184762081894</v>
      </c>
    </row>
    <row r="301" customFormat="false" ht="15" hidden="false" customHeight="false" outlineLevel="0" collapsed="false">
      <c r="A301" s="7" t="s">
        <v>325</v>
      </c>
      <c r="B301" s="8" t="n">
        <v>98.033249</v>
      </c>
      <c r="C301" s="9" t="n">
        <f aca="false">IF(AND(ISNUMBER(B301),ISNUMBER(B300),B300&lt;&gt;0),B301/B300-1,"")</f>
        <v>0.000736751809463421</v>
      </c>
      <c r="D301" s="9" t="n">
        <f aca="false">IF(ISNUMBER(C301),ABS(C301-BTC_Fit!$B$9),"")</f>
        <v>0.000746115069747533</v>
      </c>
    </row>
    <row r="302" customFormat="false" ht="15" hidden="false" customHeight="false" outlineLevel="0" collapsed="false">
      <c r="A302" s="7" t="s">
        <v>326</v>
      </c>
      <c r="B302" s="8" t="n">
        <v>98.062843</v>
      </c>
      <c r="C302" s="9" t="n">
        <f aca="false">IF(AND(ISNUMBER(B302),ISNUMBER(B301),B301&lt;&gt;0),B302/B301-1,"")</f>
        <v>0.000301877172305121</v>
      </c>
      <c r="D302" s="9" t="n">
        <f aca="false">IF(ISNUMBER(C302),ABS(C302-BTC_Fit!$B$9),"")</f>
        <v>0.000311240432589233</v>
      </c>
    </row>
    <row r="303" customFormat="false" ht="15" hidden="false" customHeight="false" outlineLevel="0" collapsed="false">
      <c r="A303" s="7" t="s">
        <v>327</v>
      </c>
      <c r="B303" s="8" t="n">
        <v>98.134899</v>
      </c>
      <c r="C303" s="9" t="n">
        <f aca="false">IF(AND(ISNUMBER(B303),ISNUMBER(B302),B302&lt;&gt;0),B303/B302-1,"")</f>
        <v>0.000734794115646809</v>
      </c>
      <c r="D303" s="9" t="n">
        <f aca="false">IF(ISNUMBER(C303),ABS(C303-BTC_Fit!$B$9),"")</f>
        <v>0.000744157375930921</v>
      </c>
    </row>
    <row r="304" customFormat="false" ht="15" hidden="false" customHeight="false" outlineLevel="0" collapsed="false">
      <c r="A304" s="7" t="s">
        <v>328</v>
      </c>
      <c r="B304" s="8" t="n">
        <v>98.018963</v>
      </c>
      <c r="C304" s="9" t="n">
        <f aca="false">IF(AND(ISNUMBER(B304),ISNUMBER(B303),B303&lt;&gt;0),B304/B303-1,"")</f>
        <v>-0.0011813941949439</v>
      </c>
      <c r="D304" s="9" t="n">
        <f aca="false">IF(ISNUMBER(C304),ABS(C304-BTC_Fit!$B$9),"")</f>
        <v>0.00117203093465978</v>
      </c>
    </row>
    <row r="305" customFormat="false" ht="15" hidden="false" customHeight="false" outlineLevel="0" collapsed="false">
      <c r="A305" s="7" t="s">
        <v>329</v>
      </c>
      <c r="B305" s="8" t="n">
        <v>98.025568</v>
      </c>
      <c r="C305" s="9" t="n">
        <f aca="false">IF(AND(ISNUMBER(B305),ISNUMBER(B304),B304&lt;&gt;0),B305/B304-1,"")</f>
        <v>6.73849202017518E-005</v>
      </c>
      <c r="D305" s="9" t="n">
        <f aca="false">IF(ISNUMBER(C305),ABS(C305-BTC_Fit!$B$9),"")</f>
        <v>7.67481804858639E-005</v>
      </c>
    </row>
    <row r="306" customFormat="false" ht="15" hidden="false" customHeight="false" outlineLevel="0" collapsed="false">
      <c r="A306" s="7" t="s">
        <v>330</v>
      </c>
      <c r="B306" s="8" t="n">
        <v>98.028114</v>
      </c>
      <c r="C306" s="9" t="n">
        <f aca="false">IF(AND(ISNUMBER(B306),ISNUMBER(B305),B305&lt;&gt;0),B306/B305-1,"")</f>
        <v>2.59728155820316E-005</v>
      </c>
      <c r="D306" s="9" t="n">
        <f aca="false">IF(ISNUMBER(C306),ABS(C306-BTC_Fit!$B$9),"")</f>
        <v>3.53360758661436E-005</v>
      </c>
    </row>
    <row r="307" customFormat="false" ht="15" hidden="false" customHeight="false" outlineLevel="0" collapsed="false">
      <c r="A307" s="7" t="s">
        <v>331</v>
      </c>
      <c r="B307" s="8" t="n">
        <v>98.138905</v>
      </c>
      <c r="C307" s="9" t="n">
        <f aca="false">IF(AND(ISNUMBER(B307),ISNUMBER(B306),B306&lt;&gt;0),B307/B306-1,"")</f>
        <v>0.00113019618025079</v>
      </c>
      <c r="D307" s="9" t="n">
        <f aca="false">IF(ISNUMBER(C307),ABS(C307-BTC_Fit!$B$9),"")</f>
        <v>0.0011395594405349</v>
      </c>
    </row>
    <row r="308" customFormat="false" ht="15" hidden="false" customHeight="false" outlineLevel="0" collapsed="false">
      <c r="A308" s="7" t="s">
        <v>332</v>
      </c>
      <c r="B308" s="8" t="n">
        <v>98.132076</v>
      </c>
      <c r="C308" s="9" t="n">
        <f aca="false">IF(AND(ISNUMBER(B308),ISNUMBER(B307),B307&lt;&gt;0),B308/B307-1,"")</f>
        <v>-6.95850437703038E-005</v>
      </c>
      <c r="D308" s="9" t="n">
        <f aca="false">IF(ISNUMBER(C308),ABS(C308-BTC_Fit!$B$9),"")</f>
        <v>6.02217834861918E-005</v>
      </c>
    </row>
    <row r="309" customFormat="false" ht="15" hidden="false" customHeight="false" outlineLevel="0" collapsed="false">
      <c r="A309" s="7" t="s">
        <v>333</v>
      </c>
      <c r="B309" s="8" t="n">
        <v>98.109013</v>
      </c>
      <c r="C309" s="9" t="n">
        <f aca="false">IF(AND(ISNUMBER(B309),ISNUMBER(B308),B308&lt;&gt;0),B309/B308-1,"")</f>
        <v>-0.000235019994889285</v>
      </c>
      <c r="D309" s="9" t="n">
        <f aca="false">IF(ISNUMBER(C309),ABS(C309-BTC_Fit!$B$9),"")</f>
        <v>0.000225656734605173</v>
      </c>
    </row>
    <row r="310" customFormat="false" ht="15" hidden="false" customHeight="false" outlineLevel="0" collapsed="false">
      <c r="A310" s="7" t="s">
        <v>334</v>
      </c>
      <c r="B310" s="8" t="n">
        <v>98.137912</v>
      </c>
      <c r="C310" s="9" t="n">
        <f aca="false">IF(AND(ISNUMBER(B310),ISNUMBER(B309),B309&lt;&gt;0),B310/B309-1,"")</f>
        <v>0.000294560093067053</v>
      </c>
      <c r="D310" s="9" t="n">
        <f aca="false">IF(ISNUMBER(C310),ABS(C310-BTC_Fit!$B$9),"")</f>
        <v>0.000303923353351165</v>
      </c>
    </row>
    <row r="311" customFormat="false" ht="15" hidden="false" customHeight="false" outlineLevel="0" collapsed="false">
      <c r="A311" s="7" t="s">
        <v>335</v>
      </c>
      <c r="B311" s="8" t="n">
        <v>98.082323</v>
      </c>
      <c r="C311" s="9" t="n">
        <f aca="false">IF(AND(ISNUMBER(B311),ISNUMBER(B310),B310&lt;&gt;0),B311/B310-1,"")</f>
        <v>-0.000566437565942879</v>
      </c>
      <c r="D311" s="9" t="n">
        <f aca="false">IF(ISNUMBER(C311),ABS(C311-BTC_Fit!$B$9),"")</f>
        <v>0.000557074305658767</v>
      </c>
    </row>
    <row r="312" customFormat="false" ht="15" hidden="false" customHeight="false" outlineLevel="0" collapsed="false">
      <c r="A312" s="7" t="s">
        <v>336</v>
      </c>
      <c r="B312" s="8" t="n">
        <v>97.969807</v>
      </c>
      <c r="C312" s="9" t="n">
        <f aca="false">IF(AND(ISNUMBER(B312),ISNUMBER(B311),B311&lt;&gt;0),B312/B311-1,"")</f>
        <v>-0.00114715880047012</v>
      </c>
      <c r="D312" s="9" t="n">
        <f aca="false">IF(ISNUMBER(C312),ABS(C312-BTC_Fit!$B$9),"")</f>
        <v>0.001137795540186</v>
      </c>
    </row>
    <row r="313" customFormat="false" ht="15" hidden="false" customHeight="false" outlineLevel="0" collapsed="false">
      <c r="A313" s="7" t="s">
        <v>337</v>
      </c>
      <c r="B313" s="8" t="n">
        <v>97.965817</v>
      </c>
      <c r="C313" s="9" t="n">
        <f aca="false">IF(AND(ISNUMBER(B313),ISNUMBER(B312),B312&lt;&gt;0),B313/B312-1,"")</f>
        <v>-4.07268333192379E-005</v>
      </c>
      <c r="D313" s="9" t="n">
        <f aca="false">IF(ISNUMBER(C313),ABS(C313-BTC_Fit!$B$9),"")</f>
        <v>3.13635730351258E-005</v>
      </c>
    </row>
    <row r="314" customFormat="false" ht="15" hidden="false" customHeight="false" outlineLevel="0" collapsed="false">
      <c r="A314" s="7" t="s">
        <v>338</v>
      </c>
      <c r="B314" s="8" t="n">
        <v>97.949789</v>
      </c>
      <c r="C314" s="9" t="n">
        <f aca="false">IF(AND(ISNUMBER(B314),ISNUMBER(B313),B313&lt;&gt;0),B314/B313-1,"")</f>
        <v>-0.000163608087910938</v>
      </c>
      <c r="D314" s="9" t="n">
        <f aca="false">IF(ISNUMBER(C314),ABS(C314-BTC_Fit!$B$9),"")</f>
        <v>0.000154244827626826</v>
      </c>
    </row>
    <row r="315" customFormat="false" ht="15" hidden="false" customHeight="false" outlineLevel="0" collapsed="false">
      <c r="A315" s="7" t="s">
        <v>339</v>
      </c>
      <c r="B315" s="8" t="n">
        <v>97.882314</v>
      </c>
      <c r="C315" s="9" t="n">
        <f aca="false">IF(AND(ISNUMBER(B315),ISNUMBER(B314),B314&lt;&gt;0),B315/B314-1,"")</f>
        <v>-0.000688873357348463</v>
      </c>
      <c r="D315" s="9" t="n">
        <f aca="false">IF(ISNUMBER(C315),ABS(C315-BTC_Fit!$B$9),"")</f>
        <v>0.000679510097064351</v>
      </c>
    </row>
    <row r="316" customFormat="false" ht="15" hidden="false" customHeight="false" outlineLevel="0" collapsed="false">
      <c r="A316" s="7" t="s">
        <v>340</v>
      </c>
      <c r="B316" s="8" t="n">
        <v>97.855194</v>
      </c>
      <c r="C316" s="9" t="n">
        <f aca="false">IF(AND(ISNUMBER(B316),ISNUMBER(B315),B315&lt;&gt;0),B316/B315-1,"")</f>
        <v>-0.000277067417919774</v>
      </c>
      <c r="D316" s="9" t="n">
        <f aca="false">IF(ISNUMBER(C316),ABS(C316-BTC_Fit!$B$9),"")</f>
        <v>0.000267704157635662</v>
      </c>
    </row>
    <row r="317" customFormat="false" ht="15" hidden="false" customHeight="false" outlineLevel="0" collapsed="false">
      <c r="A317" s="7" t="s">
        <v>341</v>
      </c>
      <c r="B317" s="8" t="n">
        <v>97.827813</v>
      </c>
      <c r="C317" s="9" t="n">
        <f aca="false">IF(AND(ISNUMBER(B317),ISNUMBER(B316),B316&lt;&gt;0),B317/B316-1,"")</f>
        <v>-0.000279811411952102</v>
      </c>
      <c r="D317" s="9" t="n">
        <f aca="false">IF(ISNUMBER(C317),ABS(C317-BTC_Fit!$B$9),"")</f>
        <v>0.00027044815166799</v>
      </c>
    </row>
    <row r="318" customFormat="false" ht="15" hidden="false" customHeight="false" outlineLevel="0" collapsed="false">
      <c r="A318" s="7" t="s">
        <v>342</v>
      </c>
      <c r="B318" s="8" t="n">
        <v>97.790558</v>
      </c>
      <c r="C318" s="9" t="n">
        <f aca="false">IF(AND(ISNUMBER(B318),ISNUMBER(B317),B317&lt;&gt;0),B318/B317-1,"")</f>
        <v>-0.000380822169662509</v>
      </c>
      <c r="D318" s="9" t="n">
        <f aca="false">IF(ISNUMBER(C318),ABS(C318-BTC_Fit!$B$9),"")</f>
        <v>0.000371458909378397</v>
      </c>
    </row>
    <row r="319" customFormat="false" ht="15" hidden="false" customHeight="false" outlineLevel="0" collapsed="false">
      <c r="A319" s="7" t="s">
        <v>343</v>
      </c>
      <c r="B319" s="8" t="n">
        <v>97.76628</v>
      </c>
      <c r="C319" s="9" t="n">
        <f aca="false">IF(AND(ISNUMBER(B319),ISNUMBER(B318),B318&lt;&gt;0),B319/B318-1,"")</f>
        <v>-0.000248265277308368</v>
      </c>
      <c r="D319" s="9" t="n">
        <f aca="false">IF(ISNUMBER(C319),ABS(C319-BTC_Fit!$B$9),"")</f>
        <v>0.000238902017024256</v>
      </c>
    </row>
    <row r="320" customFormat="false" ht="15" hidden="false" customHeight="false" outlineLevel="0" collapsed="false">
      <c r="A320" s="7" t="s">
        <v>344</v>
      </c>
      <c r="B320" s="8" t="n">
        <v>97.807142</v>
      </c>
      <c r="C320" s="9" t="n">
        <f aca="false">IF(AND(ISNUMBER(B320),ISNUMBER(B319),B319&lt;&gt;0),B320/B319-1,"")</f>
        <v>0.000417955966003802</v>
      </c>
      <c r="D320" s="9" t="n">
        <f aca="false">IF(ISNUMBER(C320),ABS(C320-BTC_Fit!$B$9),"")</f>
        <v>0.000427319226287914</v>
      </c>
    </row>
    <row r="321" customFormat="false" ht="15" hidden="false" customHeight="false" outlineLevel="0" collapsed="false">
      <c r="A321" s="7" t="s">
        <v>345</v>
      </c>
      <c r="B321" s="8" t="n">
        <v>97.761255</v>
      </c>
      <c r="C321" s="9" t="n">
        <f aca="false">IF(AND(ISNUMBER(B321),ISNUMBER(B320),B320&lt;&gt;0),B321/B320-1,"")</f>
        <v>-0.000469157968034595</v>
      </c>
      <c r="D321" s="9" t="n">
        <f aca="false">IF(ISNUMBER(C321),ABS(C321-BTC_Fit!$B$9),"")</f>
        <v>0.000459794707750483</v>
      </c>
    </row>
    <row r="322" customFormat="false" ht="15" hidden="false" customHeight="false" outlineLevel="0" collapsed="false">
      <c r="A322" s="7" t="s">
        <v>346</v>
      </c>
      <c r="B322" s="8" t="n">
        <v>97.961861</v>
      </c>
      <c r="C322" s="9" t="n">
        <f aca="false">IF(AND(ISNUMBER(B322),ISNUMBER(B321),B321&lt;&gt;0),B322/B321-1,"")</f>
        <v>0.00205199902558517</v>
      </c>
      <c r="D322" s="9" t="n">
        <f aca="false">IF(ISNUMBER(C322),ABS(C322-BTC_Fit!$B$9),"")</f>
        <v>0.00206136228586928</v>
      </c>
    </row>
    <row r="323" customFormat="false" ht="15" hidden="false" customHeight="false" outlineLevel="0" collapsed="false">
      <c r="A323" s="7" t="s">
        <v>347</v>
      </c>
      <c r="B323" s="8" t="n">
        <v>98.119496</v>
      </c>
      <c r="C323" s="9" t="n">
        <f aca="false">IF(AND(ISNUMBER(B323),ISNUMBER(B322),B322&lt;&gt;0),B323/B322-1,"")</f>
        <v>0.00160914664534606</v>
      </c>
      <c r="D323" s="9" t="n">
        <f aca="false">IF(ISNUMBER(C323),ABS(C323-BTC_Fit!$B$9),"")</f>
        <v>0.00161850990563017</v>
      </c>
    </row>
    <row r="324" customFormat="false" ht="15" hidden="false" customHeight="false" outlineLevel="0" collapsed="false">
      <c r="A324" s="7" t="s">
        <v>348</v>
      </c>
      <c r="B324" s="8" t="n">
        <v>98.116059</v>
      </c>
      <c r="C324" s="9" t="n">
        <f aca="false">IF(AND(ISNUMBER(B324),ISNUMBER(B323),B323&lt;&gt;0),B324/B323-1,"")</f>
        <v>-3.50287164132546E-005</v>
      </c>
      <c r="D324" s="9" t="n">
        <f aca="false">IF(ISNUMBER(C324),ABS(C324-BTC_Fit!$B$9),"")</f>
        <v>2.56654561291425E-005</v>
      </c>
    </row>
    <row r="325" customFormat="false" ht="15" hidden="false" customHeight="false" outlineLevel="0" collapsed="false">
      <c r="A325" s="7" t="s">
        <v>349</v>
      </c>
      <c r="B325" s="8" t="n">
        <v>98.078927</v>
      </c>
      <c r="C325" s="9" t="n">
        <f aca="false">IF(AND(ISNUMBER(B325),ISNUMBER(B324),B324&lt;&gt;0),B325/B324-1,"")</f>
        <v>-0.000378449770388922</v>
      </c>
      <c r="D325" s="9" t="n">
        <f aca="false">IF(ISNUMBER(C325),ABS(C325-BTC_Fit!$B$9),"")</f>
        <v>0.00036908651010481</v>
      </c>
    </row>
    <row r="326" customFormat="false" ht="15" hidden="false" customHeight="false" outlineLevel="0" collapsed="false">
      <c r="A326" s="7" t="s">
        <v>350</v>
      </c>
      <c r="B326" s="8" t="n">
        <v>98.085416</v>
      </c>
      <c r="C326" s="9" t="n">
        <f aca="false">IF(AND(ISNUMBER(B326),ISNUMBER(B325),B325&lt;&gt;0),B326/B325-1,"")</f>
        <v>6.61610011292169E-005</v>
      </c>
      <c r="D326" s="9" t="n">
        <f aca="false">IF(ISNUMBER(C326),ABS(C326-BTC_Fit!$B$9),"")</f>
        <v>7.55242614133289E-005</v>
      </c>
    </row>
    <row r="327" customFormat="false" ht="15" hidden="false" customHeight="false" outlineLevel="0" collapsed="false">
      <c r="A327" s="7" t="s">
        <v>351</v>
      </c>
      <c r="B327" s="8" t="n">
        <v>98.190856</v>
      </c>
      <c r="C327" s="9" t="n">
        <f aca="false">IF(AND(ISNUMBER(B327),ISNUMBER(B326),B326&lt;&gt;0),B327/B326-1,"")</f>
        <v>0.00107498142231455</v>
      </c>
      <c r="D327" s="9" t="n">
        <f aca="false">IF(ISNUMBER(C327),ABS(C327-BTC_Fit!$B$9),"")</f>
        <v>0.00108434468259866</v>
      </c>
    </row>
    <row r="328" customFormat="false" ht="15" hidden="false" customHeight="false" outlineLevel="0" collapsed="false">
      <c r="A328" s="7" t="s">
        <v>352</v>
      </c>
      <c r="B328" s="8" t="n">
        <v>98.223031</v>
      </c>
      <c r="C328" s="9" t="n">
        <f aca="false">IF(AND(ISNUMBER(B328),ISNUMBER(B327),B327&lt;&gt;0),B328/B327-1,"")</f>
        <v>0.000327678169951051</v>
      </c>
      <c r="D328" s="9" t="n">
        <f aca="false">IF(ISNUMBER(C328),ABS(C328-BTC_Fit!$B$9),"")</f>
        <v>0.000337041430235163</v>
      </c>
    </row>
    <row r="329" customFormat="false" ht="15" hidden="false" customHeight="false" outlineLevel="0" collapsed="false">
      <c r="A329" s="7" t="s">
        <v>353</v>
      </c>
      <c r="B329" s="8" t="n">
        <v>98.305995</v>
      </c>
      <c r="C329" s="9" t="n">
        <f aca="false">IF(AND(ISNUMBER(B329),ISNUMBER(B328),B328&lt;&gt;0),B329/B328-1,"")</f>
        <v>0.000844649153618482</v>
      </c>
      <c r="D329" s="9" t="n">
        <f aca="false">IF(ISNUMBER(C329),ABS(C329-BTC_Fit!$B$9),"")</f>
        <v>0.000854012413902594</v>
      </c>
    </row>
    <row r="330" customFormat="false" ht="15" hidden="false" customHeight="false" outlineLevel="0" collapsed="false">
      <c r="A330" s="7" t="s">
        <v>354</v>
      </c>
      <c r="B330" s="8" t="n">
        <v>98.311983</v>
      </c>
      <c r="C330" s="9" t="n">
        <f aca="false">IF(AND(ISNUMBER(B330),ISNUMBER(B329),B329&lt;&gt;0),B330/B329-1,"")</f>
        <v>6.09118497809646E-005</v>
      </c>
      <c r="D330" s="9" t="n">
        <f aca="false">IF(ISNUMBER(C330),ABS(C330-BTC_Fit!$B$9),"")</f>
        <v>7.02751100650767E-005</v>
      </c>
    </row>
    <row r="331" customFormat="false" ht="15" hidden="false" customHeight="false" outlineLevel="0" collapsed="false">
      <c r="A331" s="7" t="s">
        <v>355</v>
      </c>
      <c r="B331" s="8" t="n">
        <v>98.339326</v>
      </c>
      <c r="C331" s="9" t="n">
        <f aca="false">IF(AND(ISNUMBER(B331),ISNUMBER(B330),B330&lt;&gt;0),B331/B330-1,"")</f>
        <v>0.000278124793800627</v>
      </c>
      <c r="D331" s="9" t="n">
        <f aca="false">IF(ISNUMBER(C331),ABS(C331-BTC_Fit!$B$9),"")</f>
        <v>0.000287488054084739</v>
      </c>
    </row>
    <row r="332" customFormat="false" ht="15" hidden="false" customHeight="false" outlineLevel="0" collapsed="false">
      <c r="A332" s="7" t="s">
        <v>356</v>
      </c>
      <c r="B332" s="8" t="n">
        <v>98.29055</v>
      </c>
      <c r="C332" s="9" t="n">
        <f aca="false">IF(AND(ISNUMBER(B332),ISNUMBER(B331),B331&lt;&gt;0),B332/B331-1,"")</f>
        <v>-0.00049599689141655</v>
      </c>
      <c r="D332" s="9" t="n">
        <f aca="false">IF(ISNUMBER(C332),ABS(C332-BTC_Fit!$B$9),"")</f>
        <v>0.000486633631132438</v>
      </c>
    </row>
    <row r="333" customFormat="false" ht="15" hidden="false" customHeight="false" outlineLevel="0" collapsed="false">
      <c r="A333" s="7" t="s">
        <v>357</v>
      </c>
      <c r="B333" s="8" t="n">
        <v>98.346676</v>
      </c>
      <c r="C333" s="9" t="n">
        <f aca="false">IF(AND(ISNUMBER(B333),ISNUMBER(B332),B332&lt;&gt;0),B333/B332-1,"")</f>
        <v>0.000571021324023535</v>
      </c>
      <c r="D333" s="9" t="n">
        <f aca="false">IF(ISNUMBER(C333),ABS(C333-BTC_Fit!$B$9),"")</f>
        <v>0.000580384584307647</v>
      </c>
    </row>
    <row r="334" customFormat="false" ht="15" hidden="false" customHeight="false" outlineLevel="0" collapsed="false">
      <c r="A334" s="7" t="s">
        <v>358</v>
      </c>
      <c r="B334" s="8" t="n">
        <v>98.266632</v>
      </c>
      <c r="C334" s="9" t="n">
        <f aca="false">IF(AND(ISNUMBER(B334),ISNUMBER(B333),B333&lt;&gt;0),B334/B333-1,"")</f>
        <v>-0.000813896343583642</v>
      </c>
      <c r="D334" s="9" t="n">
        <f aca="false">IF(ISNUMBER(C334),ABS(C334-BTC_Fit!$B$9),"")</f>
        <v>0.00080453308329953</v>
      </c>
    </row>
    <row r="335" customFormat="false" ht="15" hidden="false" customHeight="false" outlineLevel="0" collapsed="false">
      <c r="A335" s="7" t="s">
        <v>359</v>
      </c>
      <c r="B335" s="8" t="n">
        <v>98.310289</v>
      </c>
      <c r="C335" s="9" t="n">
        <f aca="false">IF(AND(ISNUMBER(B335),ISNUMBER(B334),B334&lt;&gt;0),B335/B334-1,"")</f>
        <v>0.000444270848725115</v>
      </c>
      <c r="D335" s="9" t="n">
        <f aca="false">IF(ISNUMBER(C335),ABS(C335-BTC_Fit!$B$9),"")</f>
        <v>0.000453634109009227</v>
      </c>
    </row>
    <row r="336" customFormat="false" ht="15" hidden="false" customHeight="false" outlineLevel="0" collapsed="false">
      <c r="A336" s="7" t="s">
        <v>360</v>
      </c>
      <c r="B336" s="8" t="n">
        <v>98.423375</v>
      </c>
      <c r="C336" s="9" t="n">
        <f aca="false">IF(AND(ISNUMBER(B336),ISNUMBER(B335),B335&lt;&gt;0),B336/B335-1,"")</f>
        <v>0.00115029668969835</v>
      </c>
      <c r="D336" s="9" t="n">
        <f aca="false">IF(ISNUMBER(C336),ABS(C336-BTC_Fit!$B$9),"")</f>
        <v>0.00115965994998246</v>
      </c>
    </row>
    <row r="337" customFormat="false" ht="15" hidden="false" customHeight="false" outlineLevel="0" collapsed="false">
      <c r="A337" s="7" t="s">
        <v>361</v>
      </c>
      <c r="B337" s="8" t="n">
        <v>98.305471</v>
      </c>
      <c r="C337" s="9" t="n">
        <f aca="false">IF(AND(ISNUMBER(B337),ISNUMBER(B336),B336&lt;&gt;0),B337/B336-1,"")</f>
        <v>-0.00119792681362529</v>
      </c>
      <c r="D337" s="9" t="n">
        <f aca="false">IF(ISNUMBER(C337),ABS(C337-BTC_Fit!$B$9),"")</f>
        <v>0.00118856355334118</v>
      </c>
    </row>
    <row r="338" customFormat="false" ht="15" hidden="false" customHeight="false" outlineLevel="0" collapsed="false">
      <c r="A338" s="7" t="s">
        <v>362</v>
      </c>
      <c r="B338" s="8" t="n">
        <v>98.328453</v>
      </c>
      <c r="C338" s="9" t="n">
        <f aca="false">IF(AND(ISNUMBER(B338),ISNUMBER(B337),B337&lt;&gt;0),B338/B337-1,"")</f>
        <v>0.000233781495233343</v>
      </c>
      <c r="D338" s="9" t="n">
        <f aca="false">IF(ISNUMBER(C338),ABS(C338-BTC_Fit!$B$9),"")</f>
        <v>0.000243144755517455</v>
      </c>
    </row>
    <row r="339" customFormat="false" ht="15" hidden="false" customHeight="false" outlineLevel="0" collapsed="false">
      <c r="A339" s="7" t="s">
        <v>363</v>
      </c>
      <c r="B339" s="8" t="n">
        <v>98.181575</v>
      </c>
      <c r="C339" s="9" t="n">
        <f aca="false">IF(AND(ISNUMBER(B339),ISNUMBER(B338),B338&lt;&gt;0),B339/B338-1,"")</f>
        <v>-0.00149374871177932</v>
      </c>
      <c r="D339" s="9" t="n">
        <f aca="false">IF(ISNUMBER(C339),ABS(C339-BTC_Fit!$B$9),"")</f>
        <v>0.00148438545149521</v>
      </c>
    </row>
    <row r="340" customFormat="false" ht="15" hidden="false" customHeight="false" outlineLevel="0" collapsed="false">
      <c r="A340" s="7" t="s">
        <v>364</v>
      </c>
      <c r="B340" s="8" t="n">
        <v>98.234632</v>
      </c>
      <c r="C340" s="9" t="n">
        <f aca="false">IF(AND(ISNUMBER(B340),ISNUMBER(B339),B339&lt;&gt;0),B340/B339-1,"")</f>
        <v>0.000540396708853086</v>
      </c>
      <c r="D340" s="9" t="n">
        <f aca="false">IF(ISNUMBER(C340),ABS(C340-BTC_Fit!$B$9),"")</f>
        <v>0.000549759969137198</v>
      </c>
    </row>
    <row r="341" customFormat="false" ht="15" hidden="false" customHeight="false" outlineLevel="0" collapsed="false">
      <c r="A341" s="7" t="s">
        <v>365</v>
      </c>
      <c r="B341" s="8" t="n">
        <v>98.077443</v>
      </c>
      <c r="C341" s="9" t="n">
        <f aca="false">IF(AND(ISNUMBER(B341),ISNUMBER(B340),B340&lt;&gt;0),B341/B340-1,"")</f>
        <v>-0.00160013833003414</v>
      </c>
      <c r="D341" s="9" t="n">
        <f aca="false">IF(ISNUMBER(C341),ABS(C341-BTC_Fit!$B$9),"")</f>
        <v>0.00159077506975003</v>
      </c>
    </row>
    <row r="342" customFormat="false" ht="15" hidden="false" customHeight="false" outlineLevel="0" collapsed="false">
      <c r="A342" s="7" t="s">
        <v>366</v>
      </c>
      <c r="B342" s="8" t="n">
        <v>98.258818</v>
      </c>
      <c r="C342" s="9" t="n">
        <f aca="false">IF(AND(ISNUMBER(B342),ISNUMBER(B341),B341&lt;&gt;0),B342/B341-1,"")</f>
        <v>0.00184930392200378</v>
      </c>
      <c r="D342" s="9" t="n">
        <f aca="false">IF(ISNUMBER(C342),ABS(C342-BTC_Fit!$B$9),"")</f>
        <v>0.00185866718228789</v>
      </c>
    </row>
    <row r="343" customFormat="false" ht="15" hidden="false" customHeight="false" outlineLevel="0" collapsed="false">
      <c r="A343" s="7" t="s">
        <v>367</v>
      </c>
      <c r="B343" s="8" t="n">
        <v>98.144593</v>
      </c>
      <c r="C343" s="9" t="n">
        <f aca="false">IF(AND(ISNUMBER(B343),ISNUMBER(B342),B342&lt;&gt;0),B343/B342-1,"")</f>
        <v>-0.0011624910855329</v>
      </c>
      <c r="D343" s="9" t="n">
        <f aca="false">IF(ISNUMBER(C343),ABS(C343-BTC_Fit!$B$9),"")</f>
        <v>0.00115312782524879</v>
      </c>
    </row>
    <row r="344" customFormat="false" ht="15" hidden="false" customHeight="false" outlineLevel="0" collapsed="false">
      <c r="A344" s="7" t="s">
        <v>368</v>
      </c>
      <c r="B344" s="8" t="n">
        <v>98.365252</v>
      </c>
      <c r="C344" s="9" t="n">
        <f aca="false">IF(AND(ISNUMBER(B344),ISNUMBER(B343),B343&lt;&gt;0),B344/B343-1,"")</f>
        <v>0.00224830521229014</v>
      </c>
      <c r="D344" s="9" t="n">
        <f aca="false">IF(ISNUMBER(C344),ABS(C344-BTC_Fit!$B$9),"")</f>
        <v>0.00225766847257425</v>
      </c>
    </row>
    <row r="345" customFormat="false" ht="15" hidden="false" customHeight="false" outlineLevel="0" collapsed="false">
      <c r="A345" s="7" t="s">
        <v>369</v>
      </c>
      <c r="B345" s="8" t="n">
        <v>98.446763</v>
      </c>
      <c r="C345" s="9" t="n">
        <f aca="false">IF(AND(ISNUMBER(B345),ISNUMBER(B344),B344&lt;&gt;0),B345/B344-1,"")</f>
        <v>0.000828656444656017</v>
      </c>
      <c r="D345" s="9" t="n">
        <f aca="false">IF(ISNUMBER(C345),ABS(C345-BTC_Fit!$B$9),"")</f>
        <v>0.00083801970494013</v>
      </c>
    </row>
    <row r="346" customFormat="false" ht="15" hidden="false" customHeight="false" outlineLevel="0" collapsed="false">
      <c r="A346" s="7" t="s">
        <v>370</v>
      </c>
      <c r="B346" s="8" t="n">
        <v>98.465145</v>
      </c>
      <c r="C346" s="9" t="n">
        <f aca="false">IF(AND(ISNUMBER(B346),ISNUMBER(B345),B345&lt;&gt;0),B346/B345-1,"")</f>
        <v>0.000186720207347113</v>
      </c>
      <c r="D346" s="9" t="n">
        <f aca="false">IF(ISNUMBER(C346),ABS(C346-BTC_Fit!$B$9),"")</f>
        <v>0.000196083467631225</v>
      </c>
    </row>
    <row r="347" customFormat="false" ht="15" hidden="false" customHeight="false" outlineLevel="0" collapsed="false">
      <c r="A347" s="7" t="s">
        <v>371</v>
      </c>
      <c r="B347" s="8" t="n">
        <v>98.538963</v>
      </c>
      <c r="C347" s="9" t="n">
        <f aca="false">IF(AND(ISNUMBER(B347),ISNUMBER(B346),B346&lt;&gt;0),B347/B346-1,"")</f>
        <v>0.000749686602299571</v>
      </c>
      <c r="D347" s="9" t="n">
        <f aca="false">IF(ISNUMBER(C347),ABS(C347-BTC_Fit!$B$9),"")</f>
        <v>0.000759049862583683</v>
      </c>
    </row>
    <row r="348" customFormat="false" ht="15" hidden="false" customHeight="false" outlineLevel="0" collapsed="false">
      <c r="A348" s="7" t="s">
        <v>372</v>
      </c>
      <c r="B348" s="8" t="n">
        <v>98.618084</v>
      </c>
      <c r="C348" s="9" t="n">
        <f aca="false">IF(AND(ISNUMBER(B348),ISNUMBER(B347),B347&lt;&gt;0),B348/B347-1,"")</f>
        <v>0.00080294126902869</v>
      </c>
      <c r="D348" s="9" t="n">
        <f aca="false">IF(ISNUMBER(C348),ABS(C348-BTC_Fit!$B$9),"")</f>
        <v>0.000812304529312802</v>
      </c>
    </row>
    <row r="349" customFormat="false" ht="15" hidden="false" customHeight="false" outlineLevel="0" collapsed="false">
      <c r="A349" s="7" t="s">
        <v>373</v>
      </c>
      <c r="B349" s="8" t="n">
        <v>98.815666</v>
      </c>
      <c r="C349" s="9" t="n">
        <f aca="false">IF(AND(ISNUMBER(B349),ISNUMBER(B348),B348&lt;&gt;0),B349/B348-1,"")</f>
        <v>0.00200350678076444</v>
      </c>
      <c r="D349" s="9" t="n">
        <f aca="false">IF(ISNUMBER(C349),ABS(C349-BTC_Fit!$B$9),"")</f>
        <v>0.00201287004104855</v>
      </c>
    </row>
    <row r="350" customFormat="false" ht="15" hidden="false" customHeight="false" outlineLevel="0" collapsed="false">
      <c r="A350" s="7" t="s">
        <v>374</v>
      </c>
      <c r="B350" s="8" t="n">
        <v>98.755218</v>
      </c>
      <c r="C350" s="9" t="n">
        <f aca="false">IF(AND(ISNUMBER(B350),ISNUMBER(B349),B349&lt;&gt;0),B350/B349-1,"")</f>
        <v>-0.000611724865569374</v>
      </c>
      <c r="D350" s="9" t="n">
        <f aca="false">IF(ISNUMBER(C350),ABS(C350-BTC_Fit!$B$9),"")</f>
        <v>0.000602361605285262</v>
      </c>
    </row>
    <row r="351" customFormat="false" ht="15" hidden="false" customHeight="false" outlineLevel="0" collapsed="false">
      <c r="A351" s="7" t="s">
        <v>375</v>
      </c>
      <c r="B351" s="8" t="n">
        <v>98.772872</v>
      </c>
      <c r="C351" s="9" t="n">
        <f aca="false">IF(AND(ISNUMBER(B351),ISNUMBER(B350),B350&lt;&gt;0),B351/B350-1,"")</f>
        <v>0.000178765237498713</v>
      </c>
      <c r="D351" s="9" t="n">
        <f aca="false">IF(ISNUMBER(C351),ABS(C351-BTC_Fit!$B$9),"")</f>
        <v>0.000188128497782825</v>
      </c>
    </row>
    <row r="352" customFormat="false" ht="15" hidden="false" customHeight="false" outlineLevel="0" collapsed="false">
      <c r="A352" s="7" t="s">
        <v>376</v>
      </c>
      <c r="B352" s="8" t="n">
        <v>98.625287</v>
      </c>
      <c r="C352" s="9" t="n">
        <f aca="false">IF(AND(ISNUMBER(B352),ISNUMBER(B351),B351&lt;&gt;0),B352/B351-1,"")</f>
        <v>-0.00149418556949532</v>
      </c>
      <c r="D352" s="9" t="n">
        <f aca="false">IF(ISNUMBER(C352),ABS(C352-BTC_Fit!$B$9),"")</f>
        <v>0.00148482230921121</v>
      </c>
    </row>
    <row r="353" customFormat="false" ht="15" hidden="false" customHeight="false" outlineLevel="0" collapsed="false">
      <c r="A353" s="7" t="s">
        <v>377</v>
      </c>
      <c r="B353" s="8" t="n">
        <v>98.648755</v>
      </c>
      <c r="C353" s="9" t="n">
        <f aca="false">IF(AND(ISNUMBER(B353),ISNUMBER(B352),B352&lt;&gt;0),B353/B352-1,"")</f>
        <v>0.000237951145328319</v>
      </c>
      <c r="D353" s="9" t="n">
        <f aca="false">IF(ISNUMBER(C353),ABS(C353-BTC_Fit!$B$9),"")</f>
        <v>0.000247314405612431</v>
      </c>
    </row>
    <row r="354" customFormat="false" ht="15" hidden="false" customHeight="false" outlineLevel="0" collapsed="false">
      <c r="A354" s="7" t="s">
        <v>378</v>
      </c>
      <c r="B354" s="8" t="n">
        <v>98.553646</v>
      </c>
      <c r="C354" s="9" t="n">
        <f aca="false">IF(AND(ISNUMBER(B354),ISNUMBER(B353),B353&lt;&gt;0),B354/B353-1,"")</f>
        <v>-0.000964117590738889</v>
      </c>
      <c r="D354" s="9" t="n">
        <f aca="false">IF(ISNUMBER(C354),ABS(C354-BTC_Fit!$B$9),"")</f>
        <v>0.000954754330454777</v>
      </c>
    </row>
    <row r="355" customFormat="false" ht="15" hidden="false" customHeight="false" outlineLevel="0" collapsed="false">
      <c r="A355" s="7" t="s">
        <v>379</v>
      </c>
      <c r="B355" s="8" t="n">
        <v>98.565988</v>
      </c>
      <c r="C355" s="9" t="n">
        <f aca="false">IF(AND(ISNUMBER(B355),ISNUMBER(B354),B354&lt;&gt;0),B355/B354-1,"")</f>
        <v>0.000125231287739558</v>
      </c>
      <c r="D355" s="9" t="n">
        <f aca="false">IF(ISNUMBER(C355),ABS(C355-BTC_Fit!$B$9),"")</f>
        <v>0.00013459454802367</v>
      </c>
    </row>
    <row r="356" customFormat="false" ht="15" hidden="false" customHeight="false" outlineLevel="0" collapsed="false">
      <c r="A356" s="7" t="s">
        <v>380</v>
      </c>
      <c r="B356" s="8" t="n">
        <v>98.579871</v>
      </c>
      <c r="C356" s="9" t="n">
        <f aca="false">IF(AND(ISNUMBER(B356),ISNUMBER(B355),B355&lt;&gt;0),B356/B355-1,"")</f>
        <v>0.000140849803077936</v>
      </c>
      <c r="D356" s="9" t="n">
        <f aca="false">IF(ISNUMBER(C356),ABS(C356-BTC_Fit!$B$9),"")</f>
        <v>0.000150213063362048</v>
      </c>
    </row>
    <row r="357" customFormat="false" ht="15" hidden="false" customHeight="false" outlineLevel="0" collapsed="false">
      <c r="A357" s="7" t="s">
        <v>381</v>
      </c>
      <c r="B357" s="8" t="n">
        <v>98.57362</v>
      </c>
      <c r="C357" s="9" t="n">
        <f aca="false">IF(AND(ISNUMBER(B357),ISNUMBER(B356),B356&lt;&gt;0),B357/B356-1,"")</f>
        <v>-6.34105110565164E-005</v>
      </c>
      <c r="D357" s="9" t="n">
        <f aca="false">IF(ISNUMBER(C357),ABS(C357-BTC_Fit!$B$9),"")</f>
        <v>5.40472507724044E-005</v>
      </c>
    </row>
    <row r="358" customFormat="false" ht="15" hidden="false" customHeight="false" outlineLevel="0" collapsed="false">
      <c r="A358" s="7" t="s">
        <v>382</v>
      </c>
      <c r="B358" s="8" t="n">
        <v>98.577729</v>
      </c>
      <c r="C358" s="9" t="n">
        <f aca="false">IF(AND(ISNUMBER(B358),ISNUMBER(B357),B357&lt;&gt;0),B358/B357-1,"")</f>
        <v>4.16845805195631E-005</v>
      </c>
      <c r="D358" s="9" t="n">
        <f aca="false">IF(ISNUMBER(C358),ABS(C358-BTC_Fit!$B$9),"")</f>
        <v>5.10478408036752E-005</v>
      </c>
    </row>
    <row r="359" customFormat="false" ht="15" hidden="false" customHeight="false" outlineLevel="0" collapsed="false">
      <c r="A359" s="7" t="s">
        <v>383</v>
      </c>
      <c r="B359" s="8" t="n">
        <v>98.644309</v>
      </c>
      <c r="C359" s="9" t="n">
        <f aca="false">IF(AND(ISNUMBER(B359),ISNUMBER(B358),B358&lt;&gt;0),B359/B358-1,"")</f>
        <v>0.000675406105165921</v>
      </c>
      <c r="D359" s="9" t="n">
        <f aca="false">IF(ISNUMBER(C359),ABS(C359-BTC_Fit!$B$9),"")</f>
        <v>0.000684769365450033</v>
      </c>
    </row>
    <row r="360" customFormat="false" ht="15" hidden="false" customHeight="false" outlineLevel="0" collapsed="false">
      <c r="A360" s="7" t="s">
        <v>384</v>
      </c>
      <c r="B360" s="8" t="n">
        <v>98.725323</v>
      </c>
      <c r="C360" s="9" t="n">
        <f aca="false">IF(AND(ISNUMBER(B360),ISNUMBER(B359),B359&lt;&gt;0),B360/B359-1,"")</f>
        <v>0.000821273936847167</v>
      </c>
      <c r="D360" s="9" t="n">
        <f aca="false">IF(ISNUMBER(C360),ABS(C360-BTC_Fit!$B$9),"")</f>
        <v>0.000830637197131279</v>
      </c>
    </row>
    <row r="361" customFormat="false" ht="15" hidden="false" customHeight="false" outlineLevel="0" collapsed="false">
      <c r="A361" s="7" t="s">
        <v>385</v>
      </c>
      <c r="B361" s="8" t="n">
        <v>98.723917</v>
      </c>
      <c r="C361" s="9" t="n">
        <f aca="false">IF(AND(ISNUMBER(B361),ISNUMBER(B360),B360&lt;&gt;0),B361/B360-1,"")</f>
        <v>-1.42415335526724E-005</v>
      </c>
      <c r="D361" s="9" t="n">
        <f aca="false">IF(ISNUMBER(C361),ABS(C361-BTC_Fit!$B$9),"")</f>
        <v>4.87827326856039E-006</v>
      </c>
    </row>
    <row r="362" customFormat="false" ht="15" hidden="false" customHeight="false" outlineLevel="0" collapsed="false">
      <c r="A362" s="7" t="s">
        <v>386</v>
      </c>
      <c r="B362" s="8" t="n">
        <v>98.743654</v>
      </c>
      <c r="C362" s="9" t="n">
        <f aca="false">IF(AND(ISNUMBER(B362),ISNUMBER(B361),B361&lt;&gt;0),B362/B361-1,"")</f>
        <v>0.000199921159935501</v>
      </c>
      <c r="D362" s="9" t="n">
        <f aca="false">IF(ISNUMBER(C362),ABS(C362-BTC_Fit!$B$9),"")</f>
        <v>0.000209284420219613</v>
      </c>
    </row>
    <row r="363" customFormat="false" ht="15" hidden="false" customHeight="false" outlineLevel="0" collapsed="false">
      <c r="A363" s="7" t="s">
        <v>387</v>
      </c>
      <c r="B363" s="8" t="n">
        <v>98.919964</v>
      </c>
      <c r="C363" s="9" t="n">
        <f aca="false">IF(AND(ISNUMBER(B363),ISNUMBER(B362),B362&lt;&gt;0),B363/B362-1,"")</f>
        <v>0.00178553246571145</v>
      </c>
      <c r="D363" s="9" t="n">
        <f aca="false">IF(ISNUMBER(C363),ABS(C363-BTC_Fit!$B$9),"")</f>
        <v>0.00179489572599556</v>
      </c>
    </row>
    <row r="364" customFormat="false" ht="15" hidden="false" customHeight="false" outlineLevel="0" collapsed="false">
      <c r="A364" s="7" t="s">
        <v>388</v>
      </c>
      <c r="B364" s="8" t="n">
        <v>98.792713</v>
      </c>
      <c r="C364" s="9" t="n">
        <f aca="false">IF(AND(ISNUMBER(B364),ISNUMBER(B363),B363&lt;&gt;0),B364/B363-1,"")</f>
        <v>-0.00128640362222521</v>
      </c>
      <c r="D364" s="9" t="n">
        <f aca="false">IF(ISNUMBER(C364),ABS(C364-BTC_Fit!$B$9),"")</f>
        <v>0.0012770403619411</v>
      </c>
    </row>
    <row r="365" customFormat="false" ht="15" hidden="false" customHeight="false" outlineLevel="0" collapsed="false">
      <c r="A365" s="7" t="s">
        <v>389</v>
      </c>
      <c r="B365" s="8" t="n">
        <v>98.663651</v>
      </c>
      <c r="C365" s="9" t="n">
        <f aca="false">IF(AND(ISNUMBER(B365),ISNUMBER(B364),B364&lt;&gt;0),B365/B364-1,"")</f>
        <v>-0.0013063918995726</v>
      </c>
      <c r="D365" s="9" t="n">
        <f aca="false">IF(ISNUMBER(C365),ABS(C365-BTC_Fit!$B$9),"")</f>
        <v>0.00129702863928849</v>
      </c>
    </row>
    <row r="366" customFormat="false" ht="15" hidden="false" customHeight="false" outlineLevel="0" collapsed="false">
      <c r="A366" s="7" t="s">
        <v>390</v>
      </c>
      <c r="B366" s="8" t="n">
        <v>98.509092</v>
      </c>
      <c r="C366" s="9" t="n">
        <f aca="false">IF(AND(ISNUMBER(B366),ISNUMBER(B365),B365&lt;&gt;0),B366/B365-1,"")</f>
        <v>-0.00156652423089443</v>
      </c>
      <c r="D366" s="9" t="n">
        <f aca="false">IF(ISNUMBER(C366),ABS(C366-BTC_Fit!$B$9),"")</f>
        <v>0.00155716097061032</v>
      </c>
    </row>
    <row r="367" customFormat="false" ht="15" hidden="false" customHeight="false" outlineLevel="0" collapsed="false">
      <c r="A367" s="7" t="s">
        <v>391</v>
      </c>
      <c r="B367" s="8" t="n">
        <v>98.542728</v>
      </c>
      <c r="C367" s="9" t="n">
        <f aca="false">IF(AND(ISNUMBER(B367),ISNUMBER(B366),B366&lt;&gt;0),B367/B366-1,"")</f>
        <v>0.000341450716041525</v>
      </c>
      <c r="D367" s="9" t="n">
        <f aca="false">IF(ISNUMBER(C367),ABS(C367-BTC_Fit!$B$9),"")</f>
        <v>0.000350813976325637</v>
      </c>
    </row>
    <row r="368" customFormat="false" ht="15" hidden="false" customHeight="false" outlineLevel="0" collapsed="false">
      <c r="A368" s="7" t="s">
        <v>392</v>
      </c>
      <c r="B368" s="8" t="n">
        <v>98.526971</v>
      </c>
      <c r="C368" s="9" t="n">
        <f aca="false">IF(AND(ISNUMBER(B368),ISNUMBER(B367),B367&lt;&gt;0),B368/B367-1,"")</f>
        <v>-0.000159900180559225</v>
      </c>
      <c r="D368" s="9" t="n">
        <f aca="false">IF(ISNUMBER(C368),ABS(C368-BTC_Fit!$B$9),"")</f>
        <v>0.000150536920275113</v>
      </c>
    </row>
    <row r="369" customFormat="false" ht="15" hidden="false" customHeight="false" outlineLevel="0" collapsed="false">
      <c r="A369" s="7" t="s">
        <v>393</v>
      </c>
      <c r="B369" s="8" t="n">
        <v>98.597511</v>
      </c>
      <c r="C369" s="9" t="n">
        <f aca="false">IF(AND(ISNUMBER(B369),ISNUMBER(B368),B368&lt;&gt;0),B369/B368-1,"")</f>
        <v>0.000715946093582831</v>
      </c>
      <c r="D369" s="9" t="n">
        <f aca="false">IF(ISNUMBER(C369),ABS(C369-BTC_Fit!$B$9),"")</f>
        <v>0.000725309353866943</v>
      </c>
    </row>
    <row r="370" customFormat="false" ht="15" hidden="false" customHeight="false" outlineLevel="0" collapsed="false">
      <c r="A370" s="7" t="s">
        <v>394</v>
      </c>
      <c r="B370" s="8" t="n">
        <v>98.634715</v>
      </c>
      <c r="C370" s="9" t="n">
        <f aca="false">IF(AND(ISNUMBER(B370),ISNUMBER(B369),B369&lt;&gt;0),B370/B369-1,"")</f>
        <v>0.000377332040359502</v>
      </c>
      <c r="D370" s="9" t="n">
        <f aca="false">IF(ISNUMBER(C370),ABS(C370-BTC_Fit!$B$9),"")</f>
        <v>0.000386695300643614</v>
      </c>
    </row>
    <row r="371" customFormat="false" ht="15" hidden="false" customHeight="false" outlineLevel="0" collapsed="false">
      <c r="A371" s="7" t="s">
        <v>395</v>
      </c>
      <c r="B371" s="8" t="n">
        <v>98.598802</v>
      </c>
      <c r="C371" s="9" t="n">
        <f aca="false">IF(AND(ISNUMBER(B371),ISNUMBER(B370),B370&lt;&gt;0),B371/B370-1,"")</f>
        <v>-0.000364101016563922</v>
      </c>
      <c r="D371" s="9" t="n">
        <f aca="false">IF(ISNUMBER(C371),ABS(C371-BTC_Fit!$B$9),"")</f>
        <v>0.00035473775627981</v>
      </c>
    </row>
    <row r="372" customFormat="false" ht="15" hidden="false" customHeight="false" outlineLevel="0" collapsed="false">
      <c r="A372" s="7" t="s">
        <v>396</v>
      </c>
      <c r="B372" s="8" t="n">
        <v>98.740184</v>
      </c>
      <c r="C372" s="9" t="n">
        <f aca="false">IF(AND(ISNUMBER(B372),ISNUMBER(B371),B371&lt;&gt;0),B372/B371-1,"")</f>
        <v>0.00143391194550202</v>
      </c>
      <c r="D372" s="9" t="n">
        <f aca="false">IF(ISNUMBER(C372),ABS(C372-BTC_Fit!$B$9),"")</f>
        <v>0.00144327520578613</v>
      </c>
    </row>
    <row r="373" customFormat="false" ht="15" hidden="false" customHeight="false" outlineLevel="0" collapsed="false">
      <c r="A373" s="7" t="s">
        <v>397</v>
      </c>
      <c r="B373" s="8" t="n">
        <v>98.806352</v>
      </c>
      <c r="C373" s="9" t="n">
        <f aca="false">IF(AND(ISNUMBER(B373),ISNUMBER(B372),B372&lt;&gt;0),B373/B372-1,"")</f>
        <v>0.00067012230805652</v>
      </c>
      <c r="D373" s="9" t="n">
        <f aca="false">IF(ISNUMBER(C373),ABS(C373-BTC_Fit!$B$9),"")</f>
        <v>0.000679485568340632</v>
      </c>
    </row>
    <row r="374" customFormat="false" ht="15" hidden="false" customHeight="false" outlineLevel="0" collapsed="false">
      <c r="A374" s="7" t="s">
        <v>398</v>
      </c>
      <c r="B374" s="8" t="n">
        <v>98.751733</v>
      </c>
      <c r="C374" s="9" t="n">
        <f aca="false">IF(AND(ISNUMBER(B374),ISNUMBER(B373),B373&lt;&gt;0),B374/B373-1,"")</f>
        <v>-0.00055278834704886</v>
      </c>
      <c r="D374" s="9" t="n">
        <f aca="false">IF(ISNUMBER(C374),ABS(C374-BTC_Fit!$B$9),"")</f>
        <v>0.000543425086764748</v>
      </c>
    </row>
    <row r="375" customFormat="false" ht="15" hidden="false" customHeight="false" outlineLevel="0" collapsed="false">
      <c r="A375" s="7" t="s">
        <v>399</v>
      </c>
      <c r="B375" s="8" t="n">
        <v>98.723566</v>
      </c>
      <c r="C375" s="9" t="n">
        <f aca="false">IF(AND(ISNUMBER(B375),ISNUMBER(B374),B374&lt;&gt;0),B375/B374-1,"")</f>
        <v>-0.000285230437424233</v>
      </c>
      <c r="D375" s="9" t="n">
        <f aca="false">IF(ISNUMBER(C375),ABS(C375-BTC_Fit!$B$9),"")</f>
        <v>0.000275867177140121</v>
      </c>
    </row>
    <row r="376" customFormat="false" ht="15" hidden="false" customHeight="false" outlineLevel="0" collapsed="false">
      <c r="A376" s="7" t="s">
        <v>400</v>
      </c>
      <c r="B376" s="8" t="n">
        <v>98.682355</v>
      </c>
      <c r="C376" s="9" t="n">
        <f aca="false">IF(AND(ISNUMBER(B376),ISNUMBER(B375),B375&lt;&gt;0),B376/B375-1,"")</f>
        <v>-0.000417438324705643</v>
      </c>
      <c r="D376" s="9" t="n">
        <f aca="false">IF(ISNUMBER(C376),ABS(C376-BTC_Fit!$B$9),"")</f>
        <v>0.000408075064421531</v>
      </c>
    </row>
    <row r="377" customFormat="false" ht="15" hidden="false" customHeight="false" outlineLevel="0" collapsed="false">
      <c r="A377" s="7" t="s">
        <v>401</v>
      </c>
      <c r="B377" s="8" t="n">
        <v>98.579821</v>
      </c>
      <c r="C377" s="9" t="n">
        <f aca="false">IF(AND(ISNUMBER(B377),ISNUMBER(B376),B376&lt;&gt;0),B377/B376-1,"")</f>
        <v>-0.00103903073654865</v>
      </c>
      <c r="D377" s="9" t="n">
        <f aca="false">IF(ISNUMBER(C377),ABS(C377-BTC_Fit!$B$9),"")</f>
        <v>0.00102966747626454</v>
      </c>
    </row>
    <row r="378" customFormat="false" ht="15" hidden="false" customHeight="false" outlineLevel="0" collapsed="false">
      <c r="A378" s="7" t="s">
        <v>402</v>
      </c>
      <c r="B378" s="8" t="n">
        <v>98.471682</v>
      </c>
      <c r="C378" s="9" t="n">
        <f aca="false">IF(AND(ISNUMBER(B378),ISNUMBER(B377),B377&lt;&gt;0),B378/B377-1,"")</f>
        <v>-0.00109696892227051</v>
      </c>
      <c r="D378" s="9" t="n">
        <f aca="false">IF(ISNUMBER(C378),ABS(C378-BTC_Fit!$B$9),"")</f>
        <v>0.0010876056619864</v>
      </c>
    </row>
    <row r="379" customFormat="false" ht="15" hidden="false" customHeight="false" outlineLevel="0" collapsed="false">
      <c r="A379" s="7" t="s">
        <v>403</v>
      </c>
      <c r="B379" s="8" t="n">
        <v>98.654046</v>
      </c>
      <c r="C379" s="9" t="n">
        <f aca="false">IF(AND(ISNUMBER(B379),ISNUMBER(B378),B378&lt;&gt;0),B379/B378-1,"")</f>
        <v>0.00185194358719287</v>
      </c>
      <c r="D379" s="9" t="n">
        <f aca="false">IF(ISNUMBER(C379),ABS(C379-BTC_Fit!$B$9),"")</f>
        <v>0.00186130684747698</v>
      </c>
    </row>
    <row r="380" customFormat="false" ht="15" hidden="false" customHeight="false" outlineLevel="0" collapsed="false">
      <c r="A380" s="7" t="s">
        <v>404</v>
      </c>
      <c r="B380" s="8" t="n">
        <v>98.642272</v>
      </c>
      <c r="C380" s="9" t="n">
        <f aca="false">IF(AND(ISNUMBER(B380),ISNUMBER(B379),B379&lt;&gt;0),B380/B379-1,"")</f>
        <v>-0.000119346346930227</v>
      </c>
      <c r="D380" s="9" t="n">
        <f aca="false">IF(ISNUMBER(C380),ABS(C380-BTC_Fit!$B$9),"")</f>
        <v>0.000109983086646115</v>
      </c>
    </row>
    <row r="381" customFormat="false" ht="15" hidden="false" customHeight="false" outlineLevel="0" collapsed="false">
      <c r="A381" s="7" t="s">
        <v>405</v>
      </c>
      <c r="B381" s="8" t="n">
        <v>98.61868</v>
      </c>
      <c r="C381" s="9" t="n">
        <f aca="false">IF(AND(ISNUMBER(B381),ISNUMBER(B380),B380&lt;&gt;0),B381/B380-1,"")</f>
        <v>-0.000239167240592475</v>
      </c>
      <c r="D381" s="9" t="n">
        <f aca="false">IF(ISNUMBER(C381),ABS(C381-BTC_Fit!$B$9),"")</f>
        <v>0.000229803980308363</v>
      </c>
    </row>
    <row r="382" customFormat="false" ht="15" hidden="false" customHeight="false" outlineLevel="0" collapsed="false">
      <c r="A382" s="7" t="s">
        <v>406</v>
      </c>
      <c r="B382" s="8" t="n">
        <v>98.673268</v>
      </c>
      <c r="C382" s="9" t="n">
        <f aca="false">IF(AND(ISNUMBER(B382),ISNUMBER(B381),B381&lt;&gt;0),B382/B381-1,"")</f>
        <v>0.000553525964857693</v>
      </c>
      <c r="D382" s="9" t="n">
        <f aca="false">IF(ISNUMBER(C382),ABS(C382-BTC_Fit!$B$9),"")</f>
        <v>0.000562889225141805</v>
      </c>
    </row>
    <row r="383" customFormat="false" ht="15" hidden="false" customHeight="false" outlineLevel="0" collapsed="false">
      <c r="A383" s="7" t="s">
        <v>407</v>
      </c>
      <c r="B383" s="8" t="n">
        <v>98.683217</v>
      </c>
      <c r="C383" s="9" t="n">
        <f aca="false">IF(AND(ISNUMBER(B383),ISNUMBER(B382),B382&lt;&gt;0),B383/B382-1,"")</f>
        <v>0.000100827713540363</v>
      </c>
      <c r="D383" s="9" t="n">
        <f aca="false">IF(ISNUMBER(C383),ABS(C383-BTC_Fit!$B$9),"")</f>
        <v>0.000110190973824476</v>
      </c>
    </row>
    <row r="384" customFormat="false" ht="15" hidden="false" customHeight="false" outlineLevel="0" collapsed="false">
      <c r="A384" s="7" t="s">
        <v>408</v>
      </c>
      <c r="B384" s="8" t="n">
        <v>98.865991</v>
      </c>
      <c r="C384" s="9" t="n">
        <f aca="false">IF(AND(ISNUMBER(B384),ISNUMBER(B383),B383&lt;&gt;0),B384/B383-1,"")</f>
        <v>0.00185212851340255</v>
      </c>
      <c r="D384" s="9" t="n">
        <f aca="false">IF(ISNUMBER(C384),ABS(C384-BTC_Fit!$B$9),"")</f>
        <v>0.00186149177368666</v>
      </c>
    </row>
    <row r="385" customFormat="false" ht="15" hidden="false" customHeight="false" outlineLevel="0" collapsed="false">
      <c r="A385" s="7" t="s">
        <v>409</v>
      </c>
      <c r="B385" s="8" t="n">
        <v>98.939163</v>
      </c>
      <c r="C385" s="9" t="n">
        <f aca="false">IF(AND(ISNUMBER(B385),ISNUMBER(B384),B384&lt;&gt;0),B385/B384-1,"")</f>
        <v>0.000740112947434035</v>
      </c>
      <c r="D385" s="9" t="n">
        <f aca="false">IF(ISNUMBER(C385),ABS(C385-BTC_Fit!$B$9),"")</f>
        <v>0.000749476207718147</v>
      </c>
    </row>
    <row r="386" customFormat="false" ht="15" hidden="false" customHeight="false" outlineLevel="0" collapsed="false">
      <c r="A386" s="7" t="s">
        <v>410</v>
      </c>
      <c r="B386" s="8" t="n">
        <v>98.935411</v>
      </c>
      <c r="C386" s="9" t="n">
        <f aca="false">IF(AND(ISNUMBER(B386),ISNUMBER(B385),B385&lt;&gt;0),B386/B385-1,"")</f>
        <v>-3.79222937230139E-005</v>
      </c>
      <c r="D386" s="9" t="n">
        <f aca="false">IF(ISNUMBER(C386),ABS(C386-BTC_Fit!$B$9),"")</f>
        <v>2.85590334389019E-005</v>
      </c>
    </row>
    <row r="387" customFormat="false" ht="15" hidden="false" customHeight="false" outlineLevel="0" collapsed="false">
      <c r="A387" s="7" t="s">
        <v>411</v>
      </c>
      <c r="B387" s="8" t="n">
        <v>98.910117</v>
      </c>
      <c r="C387" s="9" t="n">
        <f aca="false">IF(AND(ISNUMBER(B387),ISNUMBER(B386),B386&lt;&gt;0),B387/B386-1,"")</f>
        <v>-0.000255661746834002</v>
      </c>
      <c r="D387" s="9" t="n">
        <f aca="false">IF(ISNUMBER(C387),ABS(C387-BTC_Fit!$B$9),"")</f>
        <v>0.00024629848654989</v>
      </c>
    </row>
    <row r="388" customFormat="false" ht="15" hidden="false" customHeight="false" outlineLevel="0" collapsed="false">
      <c r="A388" s="7" t="s">
        <v>412</v>
      </c>
      <c r="B388" s="8" t="n">
        <v>99.232519</v>
      </c>
      <c r="C388" s="9" t="n">
        <f aca="false">IF(AND(ISNUMBER(B388),ISNUMBER(B387),B387&lt;&gt;0),B388/B387-1,"")</f>
        <v>0.00325954522933181</v>
      </c>
      <c r="D388" s="9" t="n">
        <f aca="false">IF(ISNUMBER(C388),ABS(C388-BTC_Fit!$B$9),"")</f>
        <v>0.00326890848961592</v>
      </c>
    </row>
    <row r="389" customFormat="false" ht="15" hidden="false" customHeight="false" outlineLevel="0" collapsed="false">
      <c r="A389" s="7" t="s">
        <v>413</v>
      </c>
      <c r="B389" s="8" t="n">
        <v>99.28359</v>
      </c>
      <c r="C389" s="9" t="n">
        <f aca="false">IF(AND(ISNUMBER(B389),ISNUMBER(B388),B388&lt;&gt;0),B389/B388-1,"")</f>
        <v>0.00051465991707822</v>
      </c>
      <c r="D389" s="9" t="n">
        <f aca="false">IF(ISNUMBER(C389),ABS(C389-BTC_Fit!$B$9),"")</f>
        <v>0.000524023177362332</v>
      </c>
    </row>
    <row r="390" customFormat="false" ht="15" hidden="false" customHeight="false" outlineLevel="0" collapsed="false">
      <c r="A390" s="7" t="s">
        <v>414</v>
      </c>
      <c r="B390" s="8" t="n">
        <v>99.491499</v>
      </c>
      <c r="C390" s="9" t="n">
        <f aca="false">IF(AND(ISNUMBER(B390),ISNUMBER(B389),B389&lt;&gt;0),B390/B389-1,"")</f>
        <v>0.00209409228655</v>
      </c>
      <c r="D390" s="9" t="n">
        <f aca="false">IF(ISNUMBER(C390),ABS(C390-BTC_Fit!$B$9),"")</f>
        <v>0.00210345554683411</v>
      </c>
    </row>
    <row r="391" customFormat="false" ht="15" hidden="false" customHeight="false" outlineLevel="0" collapsed="false">
      <c r="A391" s="7" t="s">
        <v>415</v>
      </c>
      <c r="B391" s="8" t="n">
        <v>99.362569</v>
      </c>
      <c r="C391" s="9" t="n">
        <f aca="false">IF(AND(ISNUMBER(B391),ISNUMBER(B390),B390&lt;&gt;0),B391/B390-1,"")</f>
        <v>-0.00129588961163418</v>
      </c>
      <c r="D391" s="9" t="n">
        <f aca="false">IF(ISNUMBER(C391),ABS(C391-BTC_Fit!$B$9),"")</f>
        <v>0.00128652635135007</v>
      </c>
    </row>
    <row r="392" customFormat="false" ht="15" hidden="false" customHeight="false" outlineLevel="0" collapsed="false">
      <c r="A392" s="7" t="s">
        <v>416</v>
      </c>
      <c r="B392" s="8" t="n">
        <v>99.470555</v>
      </c>
      <c r="C392" s="9" t="n">
        <f aca="false">IF(AND(ISNUMBER(B392),ISNUMBER(B391),B391&lt;&gt;0),B392/B391-1,"")</f>
        <v>0.00108678752056024</v>
      </c>
      <c r="D392" s="9" t="n">
        <f aca="false">IF(ISNUMBER(C392),ABS(C392-BTC_Fit!$B$9),"")</f>
        <v>0.00109615078084435</v>
      </c>
    </row>
    <row r="393" customFormat="false" ht="15" hidden="false" customHeight="false" outlineLevel="0" collapsed="false">
      <c r="A393" s="7" t="s">
        <v>417</v>
      </c>
      <c r="B393" s="8" t="n">
        <v>99.499239</v>
      </c>
      <c r="C393" s="9" t="n">
        <f aca="false">IF(AND(ISNUMBER(B393),ISNUMBER(B392),B392&lt;&gt;0),B393/B392-1,"")</f>
        <v>0.000288366743304014</v>
      </c>
      <c r="D393" s="9" t="n">
        <f aca="false">IF(ISNUMBER(C393),ABS(C393-BTC_Fit!$B$9),"")</f>
        <v>0.000297730003588126</v>
      </c>
    </row>
    <row r="394" customFormat="false" ht="15" hidden="false" customHeight="false" outlineLevel="0" collapsed="false">
      <c r="A394" s="7" t="s">
        <v>418</v>
      </c>
      <c r="B394" s="8" t="n">
        <v>99.372864</v>
      </c>
      <c r="C394" s="9" t="n">
        <f aca="false">IF(AND(ISNUMBER(B394),ISNUMBER(B393),B393&lt;&gt;0),B394/B393-1,"")</f>
        <v>-0.00127011021662182</v>
      </c>
      <c r="D394" s="9" t="n">
        <f aca="false">IF(ISNUMBER(C394),ABS(C394-BTC_Fit!$B$9),"")</f>
        <v>0.00126074695633771</v>
      </c>
    </row>
    <row r="395" customFormat="false" ht="15" hidden="false" customHeight="false" outlineLevel="0" collapsed="false">
      <c r="A395" s="7" t="s">
        <v>419</v>
      </c>
      <c r="B395" s="8" t="n">
        <v>99.390234</v>
      </c>
      <c r="C395" s="9" t="n">
        <f aca="false">IF(AND(ISNUMBER(B395),ISNUMBER(B394),B394&lt;&gt;0),B395/B394-1,"")</f>
        <v>0.000174796209959194</v>
      </c>
      <c r="D395" s="9" t="n">
        <f aca="false">IF(ISNUMBER(C395),ABS(C395-BTC_Fit!$B$9),"")</f>
        <v>0.000184159470243306</v>
      </c>
    </row>
    <row r="396" customFormat="false" ht="15" hidden="false" customHeight="false" outlineLevel="0" collapsed="false">
      <c r="A396" s="7" t="s">
        <v>420</v>
      </c>
      <c r="B396" s="8" t="n">
        <v>99.431875</v>
      </c>
      <c r="C396" s="9" t="n">
        <f aca="false">IF(AND(ISNUMBER(B396),ISNUMBER(B395),B395&lt;&gt;0),B396/B395-1,"")</f>
        <v>0.000418964704318903</v>
      </c>
      <c r="D396" s="9" t="n">
        <f aca="false">IF(ISNUMBER(C396),ABS(C396-BTC_Fit!$B$9),"")</f>
        <v>0.000428327964603015</v>
      </c>
    </row>
    <row r="397" customFormat="false" ht="15" hidden="false" customHeight="false" outlineLevel="0" collapsed="false">
      <c r="A397" s="7" t="s">
        <v>421</v>
      </c>
      <c r="B397" s="8" t="n">
        <v>99.100339</v>
      </c>
      <c r="C397" s="9" t="n">
        <f aca="false">IF(AND(ISNUMBER(B397),ISNUMBER(B396),B396&lt;&gt;0),B397/B396-1,"")</f>
        <v>-0.00333430300896975</v>
      </c>
      <c r="D397" s="9" t="n">
        <f aca="false">IF(ISNUMBER(C397),ABS(C397-BTC_Fit!$B$9),"")</f>
        <v>0.00332493974868564</v>
      </c>
    </row>
    <row r="398" customFormat="false" ht="15" hidden="false" customHeight="false" outlineLevel="0" collapsed="false">
      <c r="A398" s="7" t="s">
        <v>422</v>
      </c>
      <c r="B398" s="8" t="n">
        <v>99.091793</v>
      </c>
      <c r="C398" s="9" t="n">
        <f aca="false">IF(AND(ISNUMBER(B398),ISNUMBER(B397),B397&lt;&gt;0),B398/B397-1,"")</f>
        <v>-8.62358301317867E-005</v>
      </c>
      <c r="D398" s="9" t="n">
        <f aca="false">IF(ISNUMBER(C398),ABS(C398-BTC_Fit!$B$9),"")</f>
        <v>7.68725698476747E-005</v>
      </c>
    </row>
    <row r="399" customFormat="false" ht="15" hidden="false" customHeight="false" outlineLevel="0" collapsed="false">
      <c r="A399" s="7" t="s">
        <v>423</v>
      </c>
      <c r="B399" s="8" t="n">
        <v>99.185623</v>
      </c>
      <c r="C399" s="9" t="n">
        <f aca="false">IF(AND(ISNUMBER(B399),ISNUMBER(B398),B398&lt;&gt;0),B399/B398-1,"")</f>
        <v>0.00094689981036078</v>
      </c>
      <c r="D399" s="9" t="n">
        <f aca="false">IF(ISNUMBER(C399),ABS(C399-BTC_Fit!$B$9),"")</f>
        <v>0.000956263070644892</v>
      </c>
    </row>
    <row r="400" customFormat="false" ht="15" hidden="false" customHeight="false" outlineLevel="0" collapsed="false">
      <c r="A400" s="7" t="s">
        <v>424</v>
      </c>
      <c r="B400" s="8" t="n">
        <v>99.138631</v>
      </c>
      <c r="C400" s="9" t="n">
        <f aca="false">IF(AND(ISNUMBER(B400),ISNUMBER(B399),B399&lt;&gt;0),B400/B399-1,"")</f>
        <v>-0.000473778341847031</v>
      </c>
      <c r="D400" s="9" t="n">
        <f aca="false">IF(ISNUMBER(C400),ABS(C400-BTC_Fit!$B$9),"")</f>
        <v>0.000464415081562919</v>
      </c>
    </row>
    <row r="401" customFormat="false" ht="15" hidden="false" customHeight="false" outlineLevel="0" collapsed="false">
      <c r="A401" s="7" t="s">
        <v>425</v>
      </c>
      <c r="B401" s="8" t="n">
        <v>99.130909</v>
      </c>
      <c r="C401" s="9" t="n">
        <f aca="false">IF(AND(ISNUMBER(B401),ISNUMBER(B400),B400&lt;&gt;0),B401/B400-1,"")</f>
        <v>-7.78909283103424E-005</v>
      </c>
      <c r="D401" s="9" t="n">
        <f aca="false">IF(ISNUMBER(C401),ABS(C401-BTC_Fit!$B$9),"")</f>
        <v>6.85276680262303E-005</v>
      </c>
    </row>
    <row r="402" customFormat="false" ht="15" hidden="false" customHeight="false" outlineLevel="0" collapsed="false">
      <c r="A402" s="7" t="s">
        <v>426</v>
      </c>
      <c r="B402" s="8" t="n">
        <v>99.119972</v>
      </c>
      <c r="C402" s="9" t="n">
        <f aca="false">IF(AND(ISNUMBER(B402),ISNUMBER(B401),B401&lt;&gt;0),B402/B401-1,"")</f>
        <v>-0.000110328858176856</v>
      </c>
      <c r="D402" s="9" t="n">
        <f aca="false">IF(ISNUMBER(C402),ABS(C402-BTC_Fit!$B$9),"")</f>
        <v>0.000100965597892744</v>
      </c>
    </row>
    <row r="403" customFormat="false" ht="15" hidden="false" customHeight="false" outlineLevel="0" collapsed="false">
      <c r="A403" s="7" t="s">
        <v>427</v>
      </c>
      <c r="B403" s="8" t="n">
        <v>99.074974</v>
      </c>
      <c r="C403" s="9" t="n">
        <f aca="false">IF(AND(ISNUMBER(B403),ISNUMBER(B402),B402&lt;&gt;0),B403/B402-1,"")</f>
        <v>-0.000453975108064109</v>
      </c>
      <c r="D403" s="9" t="n">
        <f aca="false">IF(ISNUMBER(C403),ABS(C403-BTC_Fit!$B$9),"")</f>
        <v>0.000444611847779997</v>
      </c>
    </row>
    <row r="404" customFormat="false" ht="15" hidden="false" customHeight="false" outlineLevel="0" collapsed="false">
      <c r="A404" s="7" t="s">
        <v>428</v>
      </c>
      <c r="B404" s="8" t="n">
        <v>99.236661</v>
      </c>
      <c r="C404" s="9" t="n">
        <f aca="false">IF(AND(ISNUMBER(B404),ISNUMBER(B403),B403&lt;&gt;0),B404/B403-1,"")</f>
        <v>0.00163196611083638</v>
      </c>
      <c r="D404" s="9" t="n">
        <f aca="false">IF(ISNUMBER(C404),ABS(C404-BTC_Fit!$B$9),"")</f>
        <v>0.00164132937112049</v>
      </c>
    </row>
    <row r="405" customFormat="false" ht="15" hidden="false" customHeight="false" outlineLevel="0" collapsed="false">
      <c r="A405" s="7" t="s">
        <v>429</v>
      </c>
      <c r="B405" s="8" t="n">
        <v>99.310512</v>
      </c>
      <c r="C405" s="9" t="n">
        <f aca="false">IF(AND(ISNUMBER(B405),ISNUMBER(B404),B404&lt;&gt;0),B405/B404-1,"")</f>
        <v>0.000744190697830938</v>
      </c>
      <c r="D405" s="9" t="n">
        <f aca="false">IF(ISNUMBER(C405),ABS(C405-BTC_Fit!$B$9),"")</f>
        <v>0.00075355395811505</v>
      </c>
    </row>
    <row r="406" customFormat="false" ht="15" hidden="false" customHeight="false" outlineLevel="0" collapsed="false">
      <c r="A406" s="7" t="s">
        <v>430</v>
      </c>
      <c r="B406" s="8" t="n">
        <v>99.175657</v>
      </c>
      <c r="C406" s="9" t="n">
        <f aca="false">IF(AND(ISNUMBER(B406),ISNUMBER(B405),B405&lt;&gt;0),B406/B405-1,"")</f>
        <v>-0.00135791264473595</v>
      </c>
      <c r="D406" s="9" t="n">
        <f aca="false">IF(ISNUMBER(C406),ABS(C406-BTC_Fit!$B$9),"")</f>
        <v>0.00134854938445184</v>
      </c>
    </row>
    <row r="407" customFormat="false" ht="15" hidden="false" customHeight="false" outlineLevel="0" collapsed="false">
      <c r="A407" s="7" t="s">
        <v>431</v>
      </c>
      <c r="B407" s="8" t="n">
        <v>99.633338</v>
      </c>
      <c r="C407" s="9" t="n">
        <f aca="false">IF(AND(ISNUMBER(B407),ISNUMBER(B406),B406&lt;&gt;0),B407/B406-1,"")</f>
        <v>0.00461485221116309</v>
      </c>
      <c r="D407" s="9" t="n">
        <f aca="false">IF(ISNUMBER(C407),ABS(C407-BTC_Fit!$B$9),"")</f>
        <v>0.0046242154714472</v>
      </c>
    </row>
    <row r="408" customFormat="false" ht="15" hidden="false" customHeight="false" outlineLevel="0" collapsed="false">
      <c r="A408" s="7" t="s">
        <v>432</v>
      </c>
      <c r="B408" s="8" t="n">
        <v>99.760712</v>
      </c>
      <c r="C408" s="9" t="n">
        <f aca="false">IF(AND(ISNUMBER(B408),ISNUMBER(B407),B407&lt;&gt;0),B408/B407-1,"")</f>
        <v>0.001278427507869</v>
      </c>
      <c r="D408" s="9" t="n">
        <f aca="false">IF(ISNUMBER(C408),ABS(C408-BTC_Fit!$B$9),"")</f>
        <v>0.00128779076815311</v>
      </c>
    </row>
    <row r="409" customFormat="false" ht="15" hidden="false" customHeight="false" outlineLevel="0" collapsed="false">
      <c r="A409" s="7" t="s">
        <v>433</v>
      </c>
      <c r="B409" s="8" t="n">
        <v>99.709897</v>
      </c>
      <c r="C409" s="9" t="n">
        <f aca="false">IF(AND(ISNUMBER(B409),ISNUMBER(B408),B408&lt;&gt;0),B409/B408-1,"")</f>
        <v>-0.000509368858554238</v>
      </c>
      <c r="D409" s="9" t="n">
        <f aca="false">IF(ISNUMBER(C409),ABS(C409-BTC_Fit!$B$9),"")</f>
        <v>0.000500005598270126</v>
      </c>
    </row>
    <row r="410" customFormat="false" ht="15" hidden="false" customHeight="false" outlineLevel="0" collapsed="false">
      <c r="A410" s="7" t="s">
        <v>434</v>
      </c>
      <c r="B410" s="8" t="n">
        <v>99.810425</v>
      </c>
      <c r="C410" s="9" t="n">
        <f aca="false">IF(AND(ISNUMBER(B410),ISNUMBER(B409),B409&lt;&gt;0),B410/B409-1,"")</f>
        <v>0.00100820483246511</v>
      </c>
      <c r="D410" s="9" t="n">
        <f aca="false">IF(ISNUMBER(C410),ABS(C410-BTC_Fit!$B$9),"")</f>
        <v>0.00101756809274922</v>
      </c>
    </row>
    <row r="411" customFormat="false" ht="15" hidden="false" customHeight="false" outlineLevel="0" collapsed="false">
      <c r="A411" s="7" t="s">
        <v>435</v>
      </c>
      <c r="B411" s="8" t="n">
        <v>99.671439</v>
      </c>
      <c r="C411" s="9" t="n">
        <f aca="false">IF(AND(ISNUMBER(B411),ISNUMBER(B410),B410&lt;&gt;0),B411/B410-1,"")</f>
        <v>-0.00139249983155554</v>
      </c>
      <c r="D411" s="9" t="n">
        <f aca="false">IF(ISNUMBER(C411),ABS(C411-BTC_Fit!$B$9),"")</f>
        <v>0.00138313657127143</v>
      </c>
    </row>
    <row r="412" customFormat="false" ht="15" hidden="false" customHeight="false" outlineLevel="0" collapsed="false">
      <c r="A412" s="7" t="s">
        <v>436</v>
      </c>
      <c r="B412" s="8" t="n">
        <v>100.23884</v>
      </c>
      <c r="C412" s="9" t="n">
        <f aca="false">IF(AND(ISNUMBER(B412),ISNUMBER(B411),B411&lt;&gt;0),B412/B411-1,"")</f>
        <v>0.00569271403817084</v>
      </c>
      <c r="D412" s="9" t="n">
        <f aca="false">IF(ISNUMBER(C412),ABS(C412-BTC_Fit!$B$9),"")</f>
        <v>0.00570207729845496</v>
      </c>
    </row>
    <row r="413" customFormat="false" ht="15" hidden="false" customHeight="false" outlineLevel="0" collapsed="false">
      <c r="A413" s="7" t="s">
        <v>437</v>
      </c>
      <c r="B413" s="8" t="n">
        <v>100.275154</v>
      </c>
      <c r="C413" s="9" t="n">
        <f aca="false">IF(AND(ISNUMBER(B413),ISNUMBER(B412),B412&lt;&gt;0),B413/B412-1,"")</f>
        <v>0.000362274743003876</v>
      </c>
      <c r="D413" s="9" t="n">
        <f aca="false">IF(ISNUMBER(C413),ABS(C413-BTC_Fit!$B$9),"")</f>
        <v>0.000371638003287988</v>
      </c>
    </row>
    <row r="414" customFormat="false" ht="15" hidden="false" customHeight="false" outlineLevel="0" collapsed="false">
      <c r="A414" s="7" t="s">
        <v>438</v>
      </c>
      <c r="B414" s="8" t="n">
        <v>100.307375</v>
      </c>
      <c r="C414" s="9" t="n">
        <f aca="false">IF(AND(ISNUMBER(B414),ISNUMBER(B413),B413&lt;&gt;0),B414/B413-1,"")</f>
        <v>0.000321325859045762</v>
      </c>
      <c r="D414" s="9" t="n">
        <f aca="false">IF(ISNUMBER(C414),ABS(C414-BTC_Fit!$B$9),"")</f>
        <v>0.000330689119329874</v>
      </c>
    </row>
    <row r="415" customFormat="false" ht="15" hidden="false" customHeight="false" outlineLevel="0" collapsed="false">
      <c r="A415" s="7" t="s">
        <v>439</v>
      </c>
      <c r="B415" s="8" t="n">
        <v>100.15301</v>
      </c>
      <c r="C415" s="9" t="n">
        <f aca="false">IF(AND(ISNUMBER(B415),ISNUMBER(B414),B414&lt;&gt;0),B415/B414-1,"")</f>
        <v>-0.00153891974543241</v>
      </c>
      <c r="D415" s="9" t="n">
        <f aca="false">IF(ISNUMBER(C415),ABS(C415-BTC_Fit!$B$9),"")</f>
        <v>0.0015295564851483</v>
      </c>
    </row>
    <row r="416" customFormat="false" ht="15" hidden="false" customHeight="false" outlineLevel="0" collapsed="false">
      <c r="A416" s="7" t="s">
        <v>440</v>
      </c>
      <c r="B416" s="8" t="n">
        <v>100.295446</v>
      </c>
      <c r="C416" s="9" t="n">
        <f aca="false">IF(AND(ISNUMBER(B416),ISNUMBER(B415),B415&lt;&gt;0),B416/B415-1,"")</f>
        <v>0.00142218391638949</v>
      </c>
      <c r="D416" s="9" t="n">
        <f aca="false">IF(ISNUMBER(C416),ABS(C416-BTC_Fit!$B$9),"")</f>
        <v>0.0014315471766736</v>
      </c>
    </row>
    <row r="417" customFormat="false" ht="15" hidden="false" customHeight="false" outlineLevel="0" collapsed="false">
      <c r="A417" s="7" t="s">
        <v>441</v>
      </c>
      <c r="B417" s="8" t="n">
        <v>100.038429</v>
      </c>
      <c r="C417" s="9" t="n">
        <f aca="false">IF(AND(ISNUMBER(B417),ISNUMBER(B416),B416&lt;&gt;0),B417/B416-1,"")</f>
        <v>-0.00256259890404198</v>
      </c>
      <c r="D417" s="9" t="n">
        <f aca="false">IF(ISNUMBER(C417),ABS(C417-BTC_Fit!$B$9),"")</f>
        <v>0.00255323564375787</v>
      </c>
    </row>
    <row r="418" customFormat="false" ht="15" hidden="false" customHeight="false" outlineLevel="0" collapsed="false">
      <c r="A418" s="7" t="s">
        <v>442</v>
      </c>
      <c r="B418" s="8" t="n">
        <v>99.972657</v>
      </c>
      <c r="C418" s="9" t="n">
        <f aca="false">IF(AND(ISNUMBER(B418),ISNUMBER(B417),B417&lt;&gt;0),B418/B417-1,"")</f>
        <v>-0.000657467341875107</v>
      </c>
      <c r="D418" s="9" t="n">
        <f aca="false">IF(ISNUMBER(C418),ABS(C418-BTC_Fit!$B$9),"")</f>
        <v>0.000648104081590994</v>
      </c>
    </row>
    <row r="419" customFormat="false" ht="15" hidden="false" customHeight="false" outlineLevel="0" collapsed="false">
      <c r="A419" s="7" t="s">
        <v>443</v>
      </c>
      <c r="B419" s="8" t="n">
        <v>99.860043</v>
      </c>
      <c r="C419" s="9" t="n">
        <f aca="false">IF(AND(ISNUMBER(B419),ISNUMBER(B418),B418&lt;&gt;0),B419/B418-1,"")</f>
        <v>-0.00112644800467787</v>
      </c>
      <c r="D419" s="9" t="n">
        <f aca="false">IF(ISNUMBER(C419),ABS(C419-BTC_Fit!$B$9),"")</f>
        <v>0.00111708474439376</v>
      </c>
    </row>
    <row r="420" customFormat="false" ht="15" hidden="false" customHeight="false" outlineLevel="0" collapsed="false">
      <c r="A420" s="7" t="s">
        <v>444</v>
      </c>
      <c r="B420" s="8" t="n">
        <v>99.932517</v>
      </c>
      <c r="C420" s="9" t="n">
        <f aca="false">IF(AND(ISNUMBER(B420),ISNUMBER(B419),B419&lt;&gt;0),B420/B419-1,"")</f>
        <v>0.000725755745969448</v>
      </c>
      <c r="D420" s="9" t="n">
        <f aca="false">IF(ISNUMBER(C420),ABS(C420-BTC_Fit!$B$9),"")</f>
        <v>0.00073511900625356</v>
      </c>
    </row>
    <row r="421" customFormat="false" ht="15" hidden="false" customHeight="false" outlineLevel="0" collapsed="false">
      <c r="A421" s="7" t="s">
        <v>445</v>
      </c>
      <c r="B421" s="8" t="n">
        <v>99.849295</v>
      </c>
      <c r="C421" s="9" t="n">
        <f aca="false">IF(AND(ISNUMBER(B421),ISNUMBER(B420),B420&lt;&gt;0),B421/B420-1,"")</f>
        <v>-0.000832781986267905</v>
      </c>
      <c r="D421" s="9" t="n">
        <f aca="false">IF(ISNUMBER(C421),ABS(C421-BTC_Fit!$B$9),"")</f>
        <v>0.000823418725983793</v>
      </c>
    </row>
    <row r="422" customFormat="false" ht="15" hidden="false" customHeight="false" outlineLevel="0" collapsed="false">
      <c r="A422" s="7" t="s">
        <v>446</v>
      </c>
      <c r="B422" s="8" t="n">
        <v>100.004034</v>
      </c>
      <c r="C422" s="9" t="n">
        <f aca="false">IF(AND(ISNUMBER(B422),ISNUMBER(B421),B421&lt;&gt;0),B422/B421-1,"")</f>
        <v>0.0015497255138357</v>
      </c>
      <c r="D422" s="9" t="n">
        <f aca="false">IF(ISNUMBER(C422),ABS(C422-BTC_Fit!$B$9),"")</f>
        <v>0.00155908877411981</v>
      </c>
    </row>
    <row r="423" customFormat="false" ht="15" hidden="false" customHeight="false" outlineLevel="0" collapsed="false">
      <c r="A423" s="7" t="s">
        <v>447</v>
      </c>
      <c r="B423" s="8" t="n">
        <v>100.037763</v>
      </c>
      <c r="C423" s="9" t="n">
        <f aca="false">IF(AND(ISNUMBER(B423),ISNUMBER(B422),B422&lt;&gt;0),B423/B422-1,"")</f>
        <v>0.00033727639427017</v>
      </c>
      <c r="D423" s="9" t="n">
        <f aca="false">IF(ISNUMBER(C423),ABS(C423-BTC_Fit!$B$9),"")</f>
        <v>0.000346639654554282</v>
      </c>
    </row>
    <row r="424" customFormat="false" ht="15" hidden="false" customHeight="false" outlineLevel="0" collapsed="false">
      <c r="A424" s="7" t="s">
        <v>448</v>
      </c>
      <c r="B424" s="8" t="n">
        <v>99.801281</v>
      </c>
      <c r="C424" s="9" t="n">
        <f aca="false">IF(AND(ISNUMBER(B424),ISNUMBER(B423),B423&lt;&gt;0),B424/B423-1,"")</f>
        <v>-0.0023639273101298</v>
      </c>
      <c r="D424" s="9" t="n">
        <f aca="false">IF(ISNUMBER(C424),ABS(C424-BTC_Fit!$B$9),"")</f>
        <v>0.00235456404984569</v>
      </c>
    </row>
    <row r="425" customFormat="false" ht="15" hidden="false" customHeight="false" outlineLevel="0" collapsed="false">
      <c r="A425" s="7" t="s">
        <v>449</v>
      </c>
      <c r="B425" s="8" t="n">
        <v>99.395047</v>
      </c>
      <c r="C425" s="9" t="n">
        <f aca="false">IF(AND(ISNUMBER(B425),ISNUMBER(B424),B424&lt;&gt;0),B425/B424-1,"")</f>
        <v>-0.00407042871523866</v>
      </c>
      <c r="D425" s="9" t="n">
        <f aca="false">IF(ISNUMBER(C425),ABS(C425-BTC_Fit!$B$9),"")</f>
        <v>0.00406106545495455</v>
      </c>
    </row>
    <row r="426" customFormat="false" ht="15" hidden="false" customHeight="false" outlineLevel="0" collapsed="false">
      <c r="A426" s="7" t="s">
        <v>450</v>
      </c>
      <c r="B426" s="8" t="n">
        <v>99.191986</v>
      </c>
      <c r="C426" s="9" t="n">
        <f aca="false">IF(AND(ISNUMBER(B426),ISNUMBER(B425),B425&lt;&gt;0),B426/B425-1,"")</f>
        <v>-0.0020429690022683</v>
      </c>
      <c r="D426" s="9" t="n">
        <f aca="false">IF(ISNUMBER(C426),ABS(C426-BTC_Fit!$B$9),"")</f>
        <v>0.00203360574198419</v>
      </c>
    </row>
    <row r="427" customFormat="false" ht="15" hidden="false" customHeight="false" outlineLevel="0" collapsed="false">
      <c r="A427" s="7" t="s">
        <v>451</v>
      </c>
      <c r="B427" s="8" t="n">
        <v>99.213239</v>
      </c>
      <c r="C427" s="9" t="n">
        <f aca="false">IF(AND(ISNUMBER(B427),ISNUMBER(B426),B426&lt;&gt;0),B427/B426-1,"")</f>
        <v>0.000214261260985449</v>
      </c>
      <c r="D427" s="9" t="n">
        <f aca="false">IF(ISNUMBER(C427),ABS(C427-BTC_Fit!$B$9),"")</f>
        <v>0.000223624521269561</v>
      </c>
    </row>
    <row r="428" customFormat="false" ht="15" hidden="false" customHeight="false" outlineLevel="0" collapsed="false">
      <c r="A428" s="7" t="s">
        <v>452</v>
      </c>
      <c r="B428" s="8" t="n">
        <v>99.295721</v>
      </c>
      <c r="C428" s="9" t="n">
        <f aca="false">IF(AND(ISNUMBER(B428),ISNUMBER(B427),B427&lt;&gt;0),B428/B427-1,"")</f>
        <v>0.000831360822722393</v>
      </c>
      <c r="D428" s="9" t="n">
        <f aca="false">IF(ISNUMBER(C428),ABS(C428-BTC_Fit!$B$9),"")</f>
        <v>0.000840724083006506</v>
      </c>
    </row>
    <row r="429" customFormat="false" ht="15" hidden="false" customHeight="false" outlineLevel="0" collapsed="false">
      <c r="A429" s="7" t="s">
        <v>453</v>
      </c>
      <c r="B429" s="8" t="n">
        <v>99.229588</v>
      </c>
      <c r="C429" s="9" t="n">
        <f aca="false">IF(AND(ISNUMBER(B429),ISNUMBER(B428),B428&lt;&gt;0),B429/B428-1,"")</f>
        <v>-0.000666020643527943</v>
      </c>
      <c r="D429" s="9" t="n">
        <f aca="false">IF(ISNUMBER(C429),ABS(C429-BTC_Fit!$B$9),"")</f>
        <v>0.000656657383243831</v>
      </c>
    </row>
    <row r="430" customFormat="false" ht="15" hidden="false" customHeight="false" outlineLevel="0" collapsed="false">
      <c r="A430" s="7" t="s">
        <v>454</v>
      </c>
      <c r="B430" s="8" t="n">
        <v>99.33676</v>
      </c>
      <c r="C430" s="9" t="n">
        <f aca="false">IF(AND(ISNUMBER(B430),ISNUMBER(B429),B429&lt;&gt;0),B430/B429-1,"")</f>
        <v>0.00108004076364798</v>
      </c>
      <c r="D430" s="9" t="n">
        <f aca="false">IF(ISNUMBER(C430),ABS(C430-BTC_Fit!$B$9),"")</f>
        <v>0.00108940402393209</v>
      </c>
    </row>
    <row r="431" customFormat="false" ht="15" hidden="false" customHeight="false" outlineLevel="0" collapsed="false">
      <c r="A431" s="7" t="s">
        <v>455</v>
      </c>
      <c r="B431" s="8" t="n">
        <v>99.142979</v>
      </c>
      <c r="C431" s="9" t="n">
        <f aca="false">IF(AND(ISNUMBER(B431),ISNUMBER(B430),B430&lt;&gt;0),B431/B430-1,"")</f>
        <v>-0.00195074814197682</v>
      </c>
      <c r="D431" s="9" t="n">
        <f aca="false">IF(ISNUMBER(C431),ABS(C431-BTC_Fit!$B$9),"")</f>
        <v>0.00194138488169271</v>
      </c>
    </row>
    <row r="432" customFormat="false" ht="15" hidden="false" customHeight="false" outlineLevel="0" collapsed="false">
      <c r="A432" s="7" t="s">
        <v>456</v>
      </c>
      <c r="B432" s="8" t="n">
        <v>99.225169</v>
      </c>
      <c r="C432" s="9" t="n">
        <f aca="false">IF(AND(ISNUMBER(B432),ISNUMBER(B431),B431&lt;&gt;0),B432/B431-1,"")</f>
        <v>0.000829004744753448</v>
      </c>
      <c r="D432" s="9" t="n">
        <f aca="false">IF(ISNUMBER(C432),ABS(C432-BTC_Fit!$B$9),"")</f>
        <v>0.00083836800503756</v>
      </c>
    </row>
    <row r="433" customFormat="false" ht="15" hidden="false" customHeight="false" outlineLevel="0" collapsed="false">
      <c r="A433" s="7" t="s">
        <v>457</v>
      </c>
      <c r="B433" s="8" t="n">
        <v>99.397979</v>
      </c>
      <c r="C433" s="9" t="n">
        <f aca="false">IF(AND(ISNUMBER(B433),ISNUMBER(B432),B432&lt;&gt;0),B433/B432-1,"")</f>
        <v>0.0017415944134096</v>
      </c>
      <c r="D433" s="9" t="n">
        <f aca="false">IF(ISNUMBER(C433),ABS(C433-BTC_Fit!$B$9),"")</f>
        <v>0.00175095767369371</v>
      </c>
    </row>
    <row r="434" customFormat="false" ht="15" hidden="false" customHeight="false" outlineLevel="0" collapsed="false">
      <c r="A434" s="7" t="s">
        <v>458</v>
      </c>
      <c r="B434" s="8" t="n">
        <v>99.46827</v>
      </c>
      <c r="C434" s="9" t="n">
        <f aca="false">IF(AND(ISNUMBER(B434),ISNUMBER(B433),B433&lt;&gt;0),B434/B433-1,"")</f>
        <v>0.0007071672956247</v>
      </c>
      <c r="D434" s="9" t="n">
        <f aca="false">IF(ISNUMBER(C434),ABS(C434-BTC_Fit!$B$9),"")</f>
        <v>0.000716530555908812</v>
      </c>
    </row>
    <row r="435" customFormat="false" ht="15" hidden="false" customHeight="false" outlineLevel="0" collapsed="false">
      <c r="A435" s="7" t="s">
        <v>459</v>
      </c>
      <c r="B435" s="8" t="n">
        <v>99.513441</v>
      </c>
      <c r="C435" s="9" t="n">
        <f aca="false">IF(AND(ISNUMBER(B435),ISNUMBER(B434),B434&lt;&gt;0),B435/B434-1,"")</f>
        <v>0.000454124717359505</v>
      </c>
      <c r="D435" s="9" t="n">
        <f aca="false">IF(ISNUMBER(C435),ABS(C435-BTC_Fit!$B$9),"")</f>
        <v>0.000463487977643617</v>
      </c>
    </row>
    <row r="436" customFormat="false" ht="15" hidden="false" customHeight="false" outlineLevel="0" collapsed="false">
      <c r="A436" s="7" t="s">
        <v>460</v>
      </c>
      <c r="B436" s="8" t="n">
        <v>99.614367</v>
      </c>
      <c r="C436" s="9" t="n">
        <f aca="false">IF(AND(ISNUMBER(B436),ISNUMBER(B435),B435&lt;&gt;0),B436/B435-1,"")</f>
        <v>0.00101419465537322</v>
      </c>
      <c r="D436" s="9" t="n">
        <f aca="false">IF(ISNUMBER(C436),ABS(C436-BTC_Fit!$B$9),"")</f>
        <v>0.00102355791565734</v>
      </c>
    </row>
    <row r="437" customFormat="false" ht="15" hidden="false" customHeight="false" outlineLevel="0" collapsed="false">
      <c r="A437" s="7" t="s">
        <v>461</v>
      </c>
      <c r="B437" s="8" t="n">
        <v>99.388267</v>
      </c>
      <c r="C437" s="9" t="n">
        <f aca="false">IF(AND(ISNUMBER(B437),ISNUMBER(B436),B436&lt;&gt;0),B437/B436-1,"")</f>
        <v>-0.00226975291626363</v>
      </c>
      <c r="D437" s="9" t="n">
        <f aca="false">IF(ISNUMBER(C437),ABS(C437-BTC_Fit!$B$9),"")</f>
        <v>0.00226038965597952</v>
      </c>
    </row>
    <row r="438" customFormat="false" ht="15" hidden="false" customHeight="false" outlineLevel="0" collapsed="false">
      <c r="A438" s="7" t="s">
        <v>462</v>
      </c>
      <c r="B438" s="8" t="n">
        <v>99.307099</v>
      </c>
      <c r="C438" s="9" t="n">
        <f aca="false">IF(AND(ISNUMBER(B438),ISNUMBER(B437),B437&lt;&gt;0),B438/B437-1,"")</f>
        <v>-0.00081667587583556</v>
      </c>
      <c r="D438" s="9" t="n">
        <f aca="false">IF(ISNUMBER(C438),ABS(C438-BTC_Fit!$B$9),"")</f>
        <v>0.000807312615551448</v>
      </c>
    </row>
    <row r="439" customFormat="false" ht="15" hidden="false" customHeight="false" outlineLevel="0" collapsed="false">
      <c r="A439" s="7" t="s">
        <v>463</v>
      </c>
      <c r="B439" s="8" t="n">
        <v>99.183142</v>
      </c>
      <c r="C439" s="9" t="n">
        <f aca="false">IF(AND(ISNUMBER(B439),ISNUMBER(B438),B438&lt;&gt;0),B439/B438-1,"")</f>
        <v>-0.00124821892138838</v>
      </c>
      <c r="D439" s="9" t="n">
        <f aca="false">IF(ISNUMBER(C439),ABS(C439-BTC_Fit!$B$9),"")</f>
        <v>0.00123885566110427</v>
      </c>
    </row>
    <row r="440" customFormat="false" ht="15" hidden="false" customHeight="false" outlineLevel="0" collapsed="false">
      <c r="A440" s="7" t="s">
        <v>464</v>
      </c>
      <c r="B440" s="8" t="n">
        <v>99.183955</v>
      </c>
      <c r="C440" s="9" t="n">
        <f aca="false">IF(AND(ISNUMBER(B440),ISNUMBER(B439),B439&lt;&gt;0),B440/B439-1,"")</f>
        <v>8.19695750298166E-006</v>
      </c>
      <c r="D440" s="9" t="n">
        <f aca="false">IF(ISNUMBER(C440),ABS(C440-BTC_Fit!$B$9),"")</f>
        <v>1.75602177870937E-005</v>
      </c>
    </row>
    <row r="441" customFormat="false" ht="15" hidden="false" customHeight="false" outlineLevel="0" collapsed="false">
      <c r="A441" s="7" t="s">
        <v>465</v>
      </c>
      <c r="B441" s="8" t="n">
        <v>99.244127</v>
      </c>
      <c r="C441" s="9" t="n">
        <f aca="false">IF(AND(ISNUMBER(B441),ISNUMBER(B440),B440&lt;&gt;0),B441/B440-1,"")</f>
        <v>0.000606670705962653</v>
      </c>
      <c r="D441" s="9" t="n">
        <f aca="false">IF(ISNUMBER(C441),ABS(C441-BTC_Fit!$B$9),"")</f>
        <v>0.000616033966246765</v>
      </c>
    </row>
    <row r="442" customFormat="false" ht="15" hidden="false" customHeight="false" outlineLevel="0" collapsed="false">
      <c r="A442" s="7" t="s">
        <v>466</v>
      </c>
      <c r="B442" s="8" t="n">
        <v>99.271024</v>
      </c>
      <c r="C442" s="9" t="n">
        <f aca="false">IF(AND(ISNUMBER(B442),ISNUMBER(B441),B441&lt;&gt;0),B442/B441-1,"")</f>
        <v>0.000271018556090352</v>
      </c>
      <c r="D442" s="9" t="n">
        <f aca="false">IF(ISNUMBER(C442),ABS(C442-BTC_Fit!$B$9),"")</f>
        <v>0.000280381816374464</v>
      </c>
    </row>
    <row r="443" customFormat="false" ht="15" hidden="false" customHeight="false" outlineLevel="0" collapsed="false">
      <c r="A443" s="7" t="s">
        <v>467</v>
      </c>
      <c r="B443" s="8" t="n">
        <v>99.379268</v>
      </c>
      <c r="C443" s="9" t="n">
        <f aca="false">IF(AND(ISNUMBER(B443),ISNUMBER(B442),B442&lt;&gt;0),B443/B442-1,"")</f>
        <v>0.00109038867172351</v>
      </c>
      <c r="D443" s="9" t="n">
        <f aca="false">IF(ISNUMBER(C443),ABS(C443-BTC_Fit!$B$9),"")</f>
        <v>0.00109975193200762</v>
      </c>
    </row>
    <row r="444" customFormat="false" ht="15" hidden="false" customHeight="false" outlineLevel="0" collapsed="false">
      <c r="A444" s="7" t="s">
        <v>468</v>
      </c>
      <c r="B444" s="8" t="n">
        <v>99.274639</v>
      </c>
      <c r="C444" s="9" t="n">
        <f aca="false">IF(AND(ISNUMBER(B444),ISNUMBER(B443),B443&lt;&gt;0),B444/B443-1,"")</f>
        <v>-0.0010528252230636</v>
      </c>
      <c r="D444" s="9" t="n">
        <f aca="false">IF(ISNUMBER(C444),ABS(C444-BTC_Fit!$B$9),"")</f>
        <v>0.00104346196277949</v>
      </c>
    </row>
    <row r="445" customFormat="false" ht="15" hidden="false" customHeight="false" outlineLevel="0" collapsed="false">
      <c r="A445" s="7" t="s">
        <v>469</v>
      </c>
      <c r="B445" s="8" t="n">
        <v>99.331236</v>
      </c>
      <c r="C445" s="9" t="n">
        <f aca="false">IF(AND(ISNUMBER(B445),ISNUMBER(B444),B444&lt;&gt;0),B445/B444-1,"")</f>
        <v>0.000570105321662462</v>
      </c>
      <c r="D445" s="9" t="n">
        <f aca="false">IF(ISNUMBER(C445),ABS(C445-BTC_Fit!$B$9),"")</f>
        <v>0.000579468581946574</v>
      </c>
    </row>
    <row r="446" customFormat="false" ht="15" hidden="false" customHeight="false" outlineLevel="0" collapsed="false">
      <c r="A446" s="7" t="s">
        <v>470</v>
      </c>
      <c r="B446" s="8" t="n">
        <v>99.246155</v>
      </c>
      <c r="C446" s="9" t="n">
        <f aca="false">IF(AND(ISNUMBER(B446),ISNUMBER(B445),B445&lt;&gt;0),B446/B445-1,"")</f>
        <v>-0.000856538219256686</v>
      </c>
      <c r="D446" s="9" t="n">
        <f aca="false">IF(ISNUMBER(C446),ABS(C446-BTC_Fit!$B$9),"")</f>
        <v>0.000847174958972574</v>
      </c>
    </row>
    <row r="447" customFormat="false" ht="15" hidden="false" customHeight="false" outlineLevel="0" collapsed="false">
      <c r="A447" s="7" t="s">
        <v>471</v>
      </c>
      <c r="B447" s="8" t="n">
        <v>99.191367</v>
      </c>
      <c r="C447" s="9" t="n">
        <f aca="false">IF(AND(ISNUMBER(B447),ISNUMBER(B446),B446&lt;&gt;0),B447/B446-1,"")</f>
        <v>-0.000552041537528636</v>
      </c>
      <c r="D447" s="9" t="n">
        <f aca="false">IF(ISNUMBER(C447),ABS(C447-BTC_Fit!$B$9),"")</f>
        <v>0.000542678277244524</v>
      </c>
    </row>
    <row r="448" customFormat="false" ht="15" hidden="false" customHeight="false" outlineLevel="0" collapsed="false">
      <c r="A448" s="7" t="s">
        <v>472</v>
      </c>
      <c r="B448" s="8" t="n">
        <v>99.239967</v>
      </c>
      <c r="C448" s="9" t="n">
        <f aca="false">IF(AND(ISNUMBER(B448),ISNUMBER(B447),B447&lt;&gt;0),B448/B447-1,"")</f>
        <v>0.0004899619943739</v>
      </c>
      <c r="D448" s="9" t="n">
        <f aca="false">IF(ISNUMBER(C448),ABS(C448-BTC_Fit!$B$9),"")</f>
        <v>0.000499325254658012</v>
      </c>
    </row>
    <row r="449" customFormat="false" ht="15" hidden="false" customHeight="false" outlineLevel="0" collapsed="false">
      <c r="A449" s="7" t="s">
        <v>473</v>
      </c>
      <c r="B449" s="8" t="n">
        <v>99.528383</v>
      </c>
      <c r="C449" s="9" t="n">
        <f aca="false">IF(AND(ISNUMBER(B449),ISNUMBER(B448),B448&lt;&gt;0),B449/B448-1,"")</f>
        <v>0.00290624844726128</v>
      </c>
      <c r="D449" s="9" t="n">
        <f aca="false">IF(ISNUMBER(C449),ABS(C449-BTC_Fit!$B$9),"")</f>
        <v>0.0029156117075454</v>
      </c>
    </row>
    <row r="450" customFormat="false" ht="15" hidden="false" customHeight="false" outlineLevel="0" collapsed="false">
      <c r="A450" s="7" t="s">
        <v>474</v>
      </c>
      <c r="B450" s="8" t="n">
        <v>99.550995</v>
      </c>
      <c r="C450" s="9" t="n">
        <f aca="false">IF(AND(ISNUMBER(B450),ISNUMBER(B449),B449&lt;&gt;0),B450/B449-1,"")</f>
        <v>0.000227191473612054</v>
      </c>
      <c r="D450" s="9" t="n">
        <f aca="false">IF(ISNUMBER(C450),ABS(C450-BTC_Fit!$B$9),"")</f>
        <v>0.000236554733896166</v>
      </c>
    </row>
    <row r="451" customFormat="false" ht="15" hidden="false" customHeight="false" outlineLevel="0" collapsed="false">
      <c r="A451" s="7" t="s">
        <v>475</v>
      </c>
      <c r="B451" s="8" t="n">
        <v>99.352414</v>
      </c>
      <c r="C451" s="9" t="n">
        <f aca="false">IF(AND(ISNUMBER(B451),ISNUMBER(B450),B450&lt;&gt;0),B451/B450-1,"")</f>
        <v>-0.00199476660178033</v>
      </c>
      <c r="D451" s="9" t="n">
        <f aca="false">IF(ISNUMBER(C451),ABS(C451-BTC_Fit!$B$9),"")</f>
        <v>0.00198540334149622</v>
      </c>
    </row>
    <row r="452" customFormat="false" ht="15" hidden="false" customHeight="false" outlineLevel="0" collapsed="false">
      <c r="A452" s="7" t="s">
        <v>476</v>
      </c>
      <c r="B452" s="8" t="n">
        <v>99.376089</v>
      </c>
      <c r="C452" s="9" t="n">
        <f aca="false">IF(AND(ISNUMBER(B452),ISNUMBER(B451),B451&lt;&gt;0),B452/B451-1,"")</f>
        <v>0.000238293153098423</v>
      </c>
      <c r="D452" s="9" t="n">
        <f aca="false">IF(ISNUMBER(C452),ABS(C452-BTC_Fit!$B$9),"")</f>
        <v>0.000247656413382535</v>
      </c>
    </row>
    <row r="453" customFormat="false" ht="15" hidden="false" customHeight="false" outlineLevel="0" collapsed="false">
      <c r="A453" s="7" t="s">
        <v>477</v>
      </c>
      <c r="B453" s="8" t="n">
        <v>99.155299</v>
      </c>
      <c r="C453" s="9" t="n">
        <f aca="false">IF(AND(ISNUMBER(B453),ISNUMBER(B452),B452&lt;&gt;0),B453/B452-1,"")</f>
        <v>-0.00222176181636602</v>
      </c>
      <c r="D453" s="9" t="n">
        <f aca="false">IF(ISNUMBER(C453),ABS(C453-BTC_Fit!$B$9),"")</f>
        <v>0.00221239855608191</v>
      </c>
    </row>
    <row r="454" customFormat="false" ht="15" hidden="false" customHeight="false" outlineLevel="0" collapsed="false">
      <c r="A454" s="7" t="s">
        <v>478</v>
      </c>
      <c r="B454" s="8" t="n">
        <v>99.285792</v>
      </c>
      <c r="C454" s="9" t="n">
        <f aca="false">IF(AND(ISNUMBER(B454),ISNUMBER(B453),B453&lt;&gt;0),B454/B453-1,"")</f>
        <v>0.00131604665929141</v>
      </c>
      <c r="D454" s="9" t="n">
        <f aca="false">IF(ISNUMBER(C454),ABS(C454-BTC_Fit!$B$9),"")</f>
        <v>0.00132540991957553</v>
      </c>
    </row>
    <row r="455" customFormat="false" ht="15" hidden="false" customHeight="false" outlineLevel="0" collapsed="false">
      <c r="A455" s="7" t="s">
        <v>479</v>
      </c>
      <c r="B455" s="8" t="n">
        <v>99.334338</v>
      </c>
      <c r="C455" s="9" t="n">
        <f aca="false">IF(AND(ISNUMBER(B455),ISNUMBER(B454),B454&lt;&gt;0),B455/B454-1,"")</f>
        <v>0.00048895213526623</v>
      </c>
      <c r="D455" s="9" t="n">
        <f aca="false">IF(ISNUMBER(C455),ABS(C455-BTC_Fit!$B$9),"")</f>
        <v>0.000498315395550342</v>
      </c>
    </row>
    <row r="456" customFormat="false" ht="15" hidden="false" customHeight="false" outlineLevel="0" collapsed="false">
      <c r="A456" s="7" t="s">
        <v>480</v>
      </c>
      <c r="B456" s="8" t="n">
        <v>99.239521</v>
      </c>
      <c r="C456" s="9" t="n">
        <f aca="false">IF(AND(ISNUMBER(B456),ISNUMBER(B455),B455&lt;&gt;0),B456/B455-1,"")</f>
        <v>-0.000954523902902627</v>
      </c>
      <c r="D456" s="9" t="n">
        <f aca="false">IF(ISNUMBER(C456),ABS(C456-BTC_Fit!$B$9),"")</f>
        <v>0.000945160642618514</v>
      </c>
    </row>
    <row r="457" customFormat="false" ht="15" hidden="false" customHeight="false" outlineLevel="0" collapsed="false">
      <c r="A457" s="7" t="s">
        <v>481</v>
      </c>
      <c r="B457" s="8" t="n">
        <v>99.088055</v>
      </c>
      <c r="C457" s="9" t="n">
        <f aca="false">IF(AND(ISNUMBER(B457),ISNUMBER(B456),B456&lt;&gt;0),B457/B456-1,"")</f>
        <v>-0.00152626693955926</v>
      </c>
      <c r="D457" s="9" t="n">
        <f aca="false">IF(ISNUMBER(C457),ABS(C457-BTC_Fit!$B$9),"")</f>
        <v>0.00151690367927515</v>
      </c>
    </row>
    <row r="458" customFormat="false" ht="15" hidden="false" customHeight="false" outlineLevel="0" collapsed="false">
      <c r="A458" s="7" t="s">
        <v>482</v>
      </c>
      <c r="B458" s="8" t="n">
        <v>98.998678</v>
      </c>
      <c r="C458" s="9" t="n">
        <f aca="false">IF(AND(ISNUMBER(B458),ISNUMBER(B457),B457&lt;&gt;0),B458/B457-1,"")</f>
        <v>-0.000901995704729486</v>
      </c>
      <c r="D458" s="9" t="n">
        <f aca="false">IF(ISNUMBER(C458),ABS(C458-BTC_Fit!$B$9),"")</f>
        <v>0.000892632444445374</v>
      </c>
    </row>
    <row r="459" customFormat="false" ht="15" hidden="false" customHeight="false" outlineLevel="0" collapsed="false">
      <c r="A459" s="7" t="s">
        <v>483</v>
      </c>
      <c r="B459" s="8" t="n">
        <v>99.285597</v>
      </c>
      <c r="C459" s="9" t="n">
        <f aca="false">IF(AND(ISNUMBER(B459),ISNUMBER(B458),B458&lt;&gt;0),B459/B458-1,"")</f>
        <v>0.00289821041852689</v>
      </c>
      <c r="D459" s="9" t="n">
        <f aca="false">IF(ISNUMBER(C459),ABS(C459-BTC_Fit!$B$9),"")</f>
        <v>0.002907573678811</v>
      </c>
    </row>
    <row r="460" customFormat="false" ht="15" hidden="false" customHeight="false" outlineLevel="0" collapsed="false">
      <c r="A460" s="7" t="s">
        <v>484</v>
      </c>
      <c r="B460" s="8" t="n">
        <v>99.277866</v>
      </c>
      <c r="C460" s="9" t="n">
        <f aca="false">IF(AND(ISNUMBER(B460),ISNUMBER(B459),B459&lt;&gt;0),B460/B459-1,"")</f>
        <v>-7.78662790332785E-005</v>
      </c>
      <c r="D460" s="9" t="n">
        <f aca="false">IF(ISNUMBER(C460),ABS(C460-BTC_Fit!$B$9),"")</f>
        <v>6.85030187491664E-005</v>
      </c>
    </row>
    <row r="461" customFormat="false" ht="15" hidden="false" customHeight="false" outlineLevel="0" collapsed="false">
      <c r="A461" s="7" t="s">
        <v>485</v>
      </c>
      <c r="B461" s="8" t="n">
        <v>99.352894</v>
      </c>
      <c r="C461" s="9" t="n">
        <f aca="false">IF(AND(ISNUMBER(B461),ISNUMBER(B460),B460&lt;&gt;0),B461/B460-1,"")</f>
        <v>0.000755737436983317</v>
      </c>
      <c r="D461" s="9" t="n">
        <f aca="false">IF(ISNUMBER(C461),ABS(C461-BTC_Fit!$B$9),"")</f>
        <v>0.000765100697267429</v>
      </c>
    </row>
    <row r="462" customFormat="false" ht="15" hidden="false" customHeight="false" outlineLevel="0" collapsed="false">
      <c r="A462" s="7" t="s">
        <v>486</v>
      </c>
      <c r="B462" s="8" t="n">
        <v>99.38138</v>
      </c>
      <c r="C462" s="9" t="n">
        <f aca="false">IF(AND(ISNUMBER(B462),ISNUMBER(B461),B461&lt;&gt;0),B462/B461-1,"")</f>
        <v>0.000286715352247224</v>
      </c>
      <c r="D462" s="9" t="n">
        <f aca="false">IF(ISNUMBER(C462),ABS(C462-BTC_Fit!$B$9),"")</f>
        <v>0.000296078612531336</v>
      </c>
    </row>
    <row r="463" customFormat="false" ht="15" hidden="false" customHeight="false" outlineLevel="0" collapsed="false">
      <c r="A463" s="7" t="s">
        <v>487</v>
      </c>
      <c r="B463" s="8" t="n">
        <v>99.395374</v>
      </c>
      <c r="C463" s="9" t="n">
        <f aca="false">IF(AND(ISNUMBER(B463),ISNUMBER(B462),B462&lt;&gt;0),B463/B462-1,"")</f>
        <v>0.000140811085537429</v>
      </c>
      <c r="D463" s="9" t="n">
        <f aca="false">IF(ISNUMBER(C463),ABS(C463-BTC_Fit!$B$9),"")</f>
        <v>0.000150174345821541</v>
      </c>
    </row>
    <row r="464" customFormat="false" ht="15" hidden="false" customHeight="false" outlineLevel="0" collapsed="false">
      <c r="A464" s="7" t="s">
        <v>488</v>
      </c>
      <c r="B464" s="8" t="n">
        <v>99.284719</v>
      </c>
      <c r="C464" s="9" t="n">
        <f aca="false">IF(AND(ISNUMBER(B464),ISNUMBER(B463),B463&lt;&gt;0),B464/B463-1,"")</f>
        <v>-0.00111328118751286</v>
      </c>
      <c r="D464" s="9" t="n">
        <f aca="false">IF(ISNUMBER(C464),ABS(C464-BTC_Fit!$B$9),"")</f>
        <v>0.00110391792722875</v>
      </c>
    </row>
    <row r="465" customFormat="false" ht="15" hidden="false" customHeight="false" outlineLevel="0" collapsed="false">
      <c r="A465" s="7" t="s">
        <v>489</v>
      </c>
      <c r="B465" s="8" t="n">
        <v>99.483633</v>
      </c>
      <c r="C465" s="9" t="n">
        <f aca="false">IF(AND(ISNUMBER(B465),ISNUMBER(B464),B464&lt;&gt;0),B465/B464-1,"")</f>
        <v>0.00200347044342242</v>
      </c>
      <c r="D465" s="9" t="n">
        <f aca="false">IF(ISNUMBER(C465),ABS(C465-BTC_Fit!$B$9),"")</f>
        <v>0.00201283370370653</v>
      </c>
    </row>
    <row r="466" customFormat="false" ht="15" hidden="false" customHeight="false" outlineLevel="0" collapsed="false">
      <c r="A466" s="7" t="s">
        <v>490</v>
      </c>
      <c r="B466" s="8" t="n">
        <v>99.438296</v>
      </c>
      <c r="C466" s="9" t="n">
        <f aca="false">IF(AND(ISNUMBER(B466),ISNUMBER(B465),B465&lt;&gt;0),B466/B465-1,"")</f>
        <v>-0.000455723204238034</v>
      </c>
      <c r="D466" s="9" t="n">
        <f aca="false">IF(ISNUMBER(C466),ABS(C466-BTC_Fit!$B$9),"")</f>
        <v>0.000446359943953922</v>
      </c>
    </row>
    <row r="467" customFormat="false" ht="15" hidden="false" customHeight="false" outlineLevel="0" collapsed="false">
      <c r="A467" s="7" t="s">
        <v>491</v>
      </c>
      <c r="B467" s="8" t="n">
        <v>99.453478</v>
      </c>
      <c r="C467" s="9" t="n">
        <f aca="false">IF(AND(ISNUMBER(B467),ISNUMBER(B466),B466&lt;&gt;0),B467/B466-1,"")</f>
        <v>0.000152677596164885</v>
      </c>
      <c r="D467" s="9" t="n">
        <f aca="false">IF(ISNUMBER(C467),ABS(C467-BTC_Fit!$B$9),"")</f>
        <v>0.000162040856448997</v>
      </c>
    </row>
    <row r="468" customFormat="false" ht="15" hidden="false" customHeight="false" outlineLevel="0" collapsed="false">
      <c r="A468" s="7" t="s">
        <v>492</v>
      </c>
      <c r="B468" s="8" t="n">
        <v>99.499134</v>
      </c>
      <c r="C468" s="9" t="n">
        <f aca="false">IF(AND(ISNUMBER(B468),ISNUMBER(B467),B467&lt;&gt;0),B468/B467-1,"")</f>
        <v>0.000459068912602501</v>
      </c>
      <c r="D468" s="9" t="n">
        <f aca="false">IF(ISNUMBER(C468),ABS(C468-BTC_Fit!$B$9),"")</f>
        <v>0.000468432172886613</v>
      </c>
    </row>
    <row r="469" customFormat="false" ht="15" hidden="false" customHeight="false" outlineLevel="0" collapsed="false">
      <c r="A469" s="7" t="s">
        <v>493</v>
      </c>
      <c r="B469" s="8" t="n">
        <v>99.530878</v>
      </c>
      <c r="C469" s="9" t="n">
        <f aca="false">IF(AND(ISNUMBER(B469),ISNUMBER(B468),B468&lt;&gt;0),B469/B468-1,"")</f>
        <v>0.000319037952631884</v>
      </c>
      <c r="D469" s="9" t="n">
        <f aca="false">IF(ISNUMBER(C469),ABS(C469-BTC_Fit!$B$9),"")</f>
        <v>0.000328401212915996</v>
      </c>
    </row>
    <row r="470" customFormat="false" ht="15" hidden="false" customHeight="false" outlineLevel="0" collapsed="false">
      <c r="A470" s="7" t="s">
        <v>494</v>
      </c>
      <c r="B470" s="8" t="n">
        <v>99.721699</v>
      </c>
      <c r="C470" s="9" t="n">
        <f aca="false">IF(AND(ISNUMBER(B470),ISNUMBER(B469),B469&lt;&gt;0),B470/B469-1,"")</f>
        <v>0.00191720402587015</v>
      </c>
      <c r="D470" s="9" t="n">
        <f aca="false">IF(ISNUMBER(C470),ABS(C470-BTC_Fit!$B$9),"")</f>
        <v>0.00192656728615426</v>
      </c>
    </row>
    <row r="471" customFormat="false" ht="15" hidden="false" customHeight="false" outlineLevel="0" collapsed="false">
      <c r="A471" s="7" t="s">
        <v>495</v>
      </c>
      <c r="B471" s="8" t="n">
        <v>99.612704</v>
      </c>
      <c r="C471" s="9" t="n">
        <f aca="false">IF(AND(ISNUMBER(B471),ISNUMBER(B470),B470&lt;&gt;0),B471/B470-1,"")</f>
        <v>-0.00109299180712918</v>
      </c>
      <c r="D471" s="9" t="n">
        <f aca="false">IF(ISNUMBER(C471),ABS(C471-BTC_Fit!$B$9),"")</f>
        <v>0.00108362854684507</v>
      </c>
    </row>
    <row r="472" customFormat="false" ht="15" hidden="false" customHeight="false" outlineLevel="0" collapsed="false">
      <c r="A472" s="7" t="s">
        <v>496</v>
      </c>
      <c r="B472" s="8" t="n">
        <v>99.614214</v>
      </c>
      <c r="C472" s="9" t="n">
        <f aca="false">IF(AND(ISNUMBER(B472),ISNUMBER(B471),B471&lt;&gt;0),B472/B471-1,"")</f>
        <v>1.51587090739813E-005</v>
      </c>
      <c r="D472" s="9" t="n">
        <f aca="false">IF(ISNUMBER(C472),ABS(C472-BTC_Fit!$B$9),"")</f>
        <v>2.45219693580934E-005</v>
      </c>
    </row>
    <row r="473" customFormat="false" ht="15" hidden="false" customHeight="false" outlineLevel="0" collapsed="false">
      <c r="A473" s="7" t="s">
        <v>497</v>
      </c>
      <c r="B473" s="8" t="n">
        <v>99.595108</v>
      </c>
      <c r="C473" s="9" t="n">
        <f aca="false">IF(AND(ISNUMBER(B473),ISNUMBER(B472),B472&lt;&gt;0),B473/B472-1,"")</f>
        <v>-0.000191799937306225</v>
      </c>
      <c r="D473" s="9" t="n">
        <f aca="false">IF(ISNUMBER(C473),ABS(C473-BTC_Fit!$B$9),"")</f>
        <v>0.000182436677022113</v>
      </c>
    </row>
    <row r="474" customFormat="false" ht="15" hidden="false" customHeight="false" outlineLevel="0" collapsed="false">
      <c r="A474" s="7" t="s">
        <v>498</v>
      </c>
      <c r="B474" s="8" t="n">
        <v>99.590354</v>
      </c>
      <c r="C474" s="9" t="n">
        <f aca="false">IF(AND(ISNUMBER(B474),ISNUMBER(B473),B473&lt;&gt;0),B474/B473-1,"")</f>
        <v>-4.77332681840803E-005</v>
      </c>
      <c r="D474" s="9" t="n">
        <f aca="false">IF(ISNUMBER(C474),ABS(C474-BTC_Fit!$B$9),"")</f>
        <v>3.83700078999683E-005</v>
      </c>
    </row>
    <row r="475" customFormat="false" ht="15" hidden="false" customHeight="false" outlineLevel="0" collapsed="false">
      <c r="A475" s="7" t="s">
        <v>499</v>
      </c>
      <c r="B475" s="8" t="n">
        <v>99.461853</v>
      </c>
      <c r="C475" s="9" t="n">
        <f aca="false">IF(AND(ISNUMBER(B475),ISNUMBER(B474),B474&lt;&gt;0),B475/B474-1,"")</f>
        <v>-0.0012902956444959</v>
      </c>
      <c r="D475" s="9" t="n">
        <f aca="false">IF(ISNUMBER(C475),ABS(C475-BTC_Fit!$B$9),"")</f>
        <v>0.00128093238421179</v>
      </c>
    </row>
    <row r="476" customFormat="false" ht="15" hidden="false" customHeight="false" outlineLevel="0" collapsed="false">
      <c r="A476" s="7" t="s">
        <v>500</v>
      </c>
      <c r="B476" s="8" t="n">
        <v>99.344045</v>
      </c>
      <c r="C476" s="9" t="n">
        <f aca="false">IF(AND(ISNUMBER(B476),ISNUMBER(B475),B475&lt;&gt;0),B476/B475-1,"")</f>
        <v>-0.00118445410422841</v>
      </c>
      <c r="D476" s="9" t="n">
        <f aca="false">IF(ISNUMBER(C476),ABS(C476-BTC_Fit!$B$9),"")</f>
        <v>0.00117509084394429</v>
      </c>
    </row>
    <row r="477" customFormat="false" ht="15" hidden="false" customHeight="false" outlineLevel="0" collapsed="false">
      <c r="A477" s="7" t="s">
        <v>501</v>
      </c>
      <c r="B477" s="8" t="n">
        <v>99.291587</v>
      </c>
      <c r="C477" s="9" t="n">
        <f aca="false">IF(AND(ISNUMBER(B477),ISNUMBER(B476),B476&lt;&gt;0),B477/B476-1,"")</f>
        <v>-0.000528043729244088</v>
      </c>
      <c r="D477" s="9" t="n">
        <f aca="false">IF(ISNUMBER(C477),ABS(C477-BTC_Fit!$B$9),"")</f>
        <v>0.000518680468959976</v>
      </c>
    </row>
    <row r="478" customFormat="false" ht="15" hidden="false" customHeight="false" outlineLevel="0" collapsed="false">
      <c r="A478" s="7" t="s">
        <v>502</v>
      </c>
      <c r="B478" s="8" t="n">
        <v>99.247329</v>
      </c>
      <c r="C478" s="9" t="n">
        <f aca="false">IF(AND(ISNUMBER(B478),ISNUMBER(B477),B477&lt;&gt;0),B478/B477-1,"")</f>
        <v>-0.000445737663554602</v>
      </c>
      <c r="D478" s="9" t="n">
        <f aca="false">IF(ISNUMBER(C478),ABS(C478-BTC_Fit!$B$9),"")</f>
        <v>0.00043637440327049</v>
      </c>
    </row>
    <row r="479" customFormat="false" ht="15" hidden="false" customHeight="false" outlineLevel="0" collapsed="false">
      <c r="A479" s="7" t="s">
        <v>503</v>
      </c>
      <c r="B479" s="8" t="n">
        <v>99.23342</v>
      </c>
      <c r="C479" s="9" t="n">
        <f aca="false">IF(AND(ISNUMBER(B479),ISNUMBER(B478),B478&lt;&gt;0),B479/B478-1,"")</f>
        <v>-0.000140144829489541</v>
      </c>
      <c r="D479" s="9" t="n">
        <f aca="false">IF(ISNUMBER(C479),ABS(C479-BTC_Fit!$B$9),"")</f>
        <v>0.000130781569205429</v>
      </c>
    </row>
    <row r="480" customFormat="false" ht="15" hidden="false" customHeight="false" outlineLevel="0" collapsed="false">
      <c r="A480" s="7" t="s">
        <v>504</v>
      </c>
      <c r="B480" s="8" t="n">
        <v>99.255837</v>
      </c>
      <c r="C480" s="9" t="n">
        <f aca="false">IF(AND(ISNUMBER(B480),ISNUMBER(B479),B479&lt;&gt;0),B480/B479-1,"")</f>
        <v>0.000225901717385124</v>
      </c>
      <c r="D480" s="9" t="n">
        <f aca="false">IF(ISNUMBER(C480),ABS(C480-BTC_Fit!$B$9),"")</f>
        <v>0.000235264977669236</v>
      </c>
    </row>
    <row r="481" customFormat="false" ht="15" hidden="false" customHeight="false" outlineLevel="0" collapsed="false">
      <c r="A481" s="7" t="s">
        <v>505</v>
      </c>
      <c r="B481" s="8" t="n">
        <v>99.283859</v>
      </c>
      <c r="C481" s="9" t="n">
        <f aca="false">IF(AND(ISNUMBER(B481),ISNUMBER(B480),B480&lt;&gt;0),B481/B480-1,"")</f>
        <v>0.000282320927886603</v>
      </c>
      <c r="D481" s="9" t="n">
        <f aca="false">IF(ISNUMBER(C481),ABS(C481-BTC_Fit!$B$9),"")</f>
        <v>0.000291684188170716</v>
      </c>
    </row>
    <row r="482" customFormat="false" ht="15" hidden="false" customHeight="false" outlineLevel="0" collapsed="false">
      <c r="A482" s="7" t="s">
        <v>506</v>
      </c>
      <c r="B482" s="8" t="n">
        <v>99.26652</v>
      </c>
      <c r="C482" s="9" t="n">
        <f aca="false">IF(AND(ISNUMBER(B482),ISNUMBER(B481),B481&lt;&gt;0),B482/B481-1,"")</f>
        <v>-0.000174640673465398</v>
      </c>
      <c r="D482" s="9" t="n">
        <f aca="false">IF(ISNUMBER(C482),ABS(C482-BTC_Fit!$B$9),"")</f>
        <v>0.000165277413181286</v>
      </c>
    </row>
    <row r="483" customFormat="false" ht="15" hidden="false" customHeight="false" outlineLevel="0" collapsed="false">
      <c r="A483" s="7" t="s">
        <v>507</v>
      </c>
      <c r="B483" s="8" t="n">
        <v>99.248525</v>
      </c>
      <c r="C483" s="9" t="n">
        <f aca="false">IF(AND(ISNUMBER(B483),ISNUMBER(B482),B482&lt;&gt;0),B483/B482-1,"")</f>
        <v>-0.000181279649976607</v>
      </c>
      <c r="D483" s="9" t="n">
        <f aca="false">IF(ISNUMBER(C483),ABS(C483-BTC_Fit!$B$9),"")</f>
        <v>0.000171916389692495</v>
      </c>
    </row>
    <row r="484" customFormat="false" ht="15" hidden="false" customHeight="false" outlineLevel="0" collapsed="false">
      <c r="A484" s="7" t="s">
        <v>508</v>
      </c>
      <c r="B484" s="8" t="n">
        <v>99.174224</v>
      </c>
      <c r="C484" s="9" t="n">
        <f aca="false">IF(AND(ISNUMBER(B484),ISNUMBER(B483),B483&lt;&gt;0),B484/B483-1,"")</f>
        <v>-0.000748635810960519</v>
      </c>
      <c r="D484" s="9" t="n">
        <f aca="false">IF(ISNUMBER(C484),ABS(C484-BTC_Fit!$B$9),"")</f>
        <v>0.000739272550676406</v>
      </c>
    </row>
    <row r="485" customFormat="false" ht="15" hidden="false" customHeight="false" outlineLevel="0" collapsed="false">
      <c r="A485" s="7" t="s">
        <v>509</v>
      </c>
      <c r="B485" s="8" t="n">
        <v>99.191569</v>
      </c>
      <c r="C485" s="9" t="n">
        <f aca="false">IF(AND(ISNUMBER(B485),ISNUMBER(B484),B484&lt;&gt;0),B485/B484-1,"")</f>
        <v>0.00017489423461492</v>
      </c>
      <c r="D485" s="9" t="n">
        <f aca="false">IF(ISNUMBER(C485),ABS(C485-BTC_Fit!$B$9),"")</f>
        <v>0.000184257494899032</v>
      </c>
    </row>
    <row r="486" customFormat="false" ht="15" hidden="false" customHeight="false" outlineLevel="0" collapsed="false">
      <c r="A486" s="7" t="s">
        <v>510</v>
      </c>
      <c r="B486" s="8" t="n">
        <v>99.150899</v>
      </c>
      <c r="C486" s="9" t="n">
        <f aca="false">IF(AND(ISNUMBER(B486),ISNUMBER(B485),B485&lt;&gt;0),B486/B485-1,"")</f>
        <v>-0.0004100146858248</v>
      </c>
      <c r="D486" s="9" t="n">
        <f aca="false">IF(ISNUMBER(C486),ABS(C486-BTC_Fit!$B$9),"")</f>
        <v>0.000400651425540688</v>
      </c>
    </row>
    <row r="487" customFormat="false" ht="15" hidden="false" customHeight="false" outlineLevel="0" collapsed="false">
      <c r="A487" s="7" t="s">
        <v>511</v>
      </c>
      <c r="B487" s="8" t="n">
        <v>98.916259</v>
      </c>
      <c r="C487" s="9" t="n">
        <f aca="false">IF(AND(ISNUMBER(B487),ISNUMBER(B486),B486&lt;&gt;0),B487/B486-1,"")</f>
        <v>-0.00236649392356991</v>
      </c>
      <c r="D487" s="9" t="n">
        <f aca="false">IF(ISNUMBER(C487),ABS(C487-BTC_Fit!$B$9),"")</f>
        <v>0.0023571306632858</v>
      </c>
    </row>
    <row r="488" customFormat="false" ht="15" hidden="false" customHeight="false" outlineLevel="0" collapsed="false">
      <c r="A488" s="7" t="s">
        <v>512</v>
      </c>
      <c r="B488" s="8" t="n">
        <v>98.900398</v>
      </c>
      <c r="C488" s="9" t="n">
        <f aca="false">IF(AND(ISNUMBER(B488),ISNUMBER(B487),B487&lt;&gt;0),B488/B487-1,"")</f>
        <v>-0.000160347754356582</v>
      </c>
      <c r="D488" s="9" t="n">
        <f aca="false">IF(ISNUMBER(C488),ABS(C488-BTC_Fit!$B$9),"")</f>
        <v>0.00015098449407247</v>
      </c>
    </row>
    <row r="489" customFormat="false" ht="15" hidden="false" customHeight="false" outlineLevel="0" collapsed="false">
      <c r="A489" s="7" t="s">
        <v>513</v>
      </c>
      <c r="B489" s="8" t="n">
        <v>98.89567</v>
      </c>
      <c r="C489" s="9" t="n">
        <f aca="false">IF(AND(ISNUMBER(B489),ISNUMBER(B488),B488&lt;&gt;0),B489/B488-1,"")</f>
        <v>-4.78056721268105E-005</v>
      </c>
      <c r="D489" s="9" t="n">
        <f aca="false">IF(ISNUMBER(C489),ABS(C489-BTC_Fit!$B$9),"")</f>
        <v>3.84424118426985E-005</v>
      </c>
    </row>
    <row r="490" customFormat="false" ht="15" hidden="false" customHeight="false" outlineLevel="0" collapsed="false">
      <c r="A490" s="7" t="s">
        <v>514</v>
      </c>
      <c r="B490" s="8" t="n">
        <v>98.824832</v>
      </c>
      <c r="C490" s="9" t="n">
        <f aca="false">IF(AND(ISNUMBER(B490),ISNUMBER(B489),B489&lt;&gt;0),B490/B489-1,"")</f>
        <v>-0.000716290207650072</v>
      </c>
      <c r="D490" s="9" t="n">
        <f aca="false">IF(ISNUMBER(C490),ABS(C490-BTC_Fit!$B$9),"")</f>
        <v>0.00070692694736596</v>
      </c>
    </row>
    <row r="491" customFormat="false" ht="15" hidden="false" customHeight="false" outlineLevel="0" collapsed="false">
      <c r="A491" s="7" t="s">
        <v>515</v>
      </c>
      <c r="B491" s="8" t="n">
        <v>98.838756</v>
      </c>
      <c r="C491" s="9" t="n">
        <f aca="false">IF(AND(ISNUMBER(B491),ISNUMBER(B490),B490&lt;&gt;0),B491/B490-1,"")</f>
        <v>0.000140895761907345</v>
      </c>
      <c r="D491" s="9" t="n">
        <f aca="false">IF(ISNUMBER(C491),ABS(C491-BTC_Fit!$B$9),"")</f>
        <v>0.000150259022191457</v>
      </c>
    </row>
    <row r="492" customFormat="false" ht="15" hidden="false" customHeight="false" outlineLevel="0" collapsed="false">
      <c r="A492" s="7" t="s">
        <v>516</v>
      </c>
      <c r="B492" s="8" t="n">
        <v>98.851302</v>
      </c>
      <c r="C492" s="9" t="n">
        <f aca="false">IF(AND(ISNUMBER(B492),ISNUMBER(B491),B491&lt;&gt;0),B492/B491-1,"")</f>
        <v>0.000126934013617186</v>
      </c>
      <c r="D492" s="9" t="n">
        <f aca="false">IF(ISNUMBER(C492),ABS(C492-BTC_Fit!$B$9),"")</f>
        <v>0.000136297273901298</v>
      </c>
    </row>
    <row r="493" customFormat="false" ht="15" hidden="false" customHeight="false" outlineLevel="0" collapsed="false">
      <c r="A493" s="7" t="s">
        <v>517</v>
      </c>
      <c r="B493" s="8" t="n">
        <v>98.897344</v>
      </c>
      <c r="C493" s="9" t="n">
        <f aca="false">IF(AND(ISNUMBER(B493),ISNUMBER(B492),B492&lt;&gt;0),B493/B492-1,"")</f>
        <v>0.000465770294052481</v>
      </c>
      <c r="D493" s="9" t="n">
        <f aca="false">IF(ISNUMBER(C493),ABS(C493-BTC_Fit!$B$9),"")</f>
        <v>0.000475133554336593</v>
      </c>
    </row>
    <row r="494" customFormat="false" ht="15" hidden="false" customHeight="false" outlineLevel="0" collapsed="false">
      <c r="A494" s="7" t="s">
        <v>518</v>
      </c>
      <c r="B494" s="8" t="n">
        <v>98.928571</v>
      </c>
      <c r="C494" s="9" t="n">
        <f aca="false">IF(AND(ISNUMBER(B494),ISNUMBER(B493),B493&lt;&gt;0),B494/B493-1,"")</f>
        <v>0.000315751654564211</v>
      </c>
      <c r="D494" s="9" t="n">
        <f aca="false">IF(ISNUMBER(C494),ABS(C494-BTC_Fit!$B$9),"")</f>
        <v>0.000325114914848323</v>
      </c>
    </row>
    <row r="495" customFormat="false" ht="15" hidden="false" customHeight="false" outlineLevel="0" collapsed="false">
      <c r="A495" s="7" t="s">
        <v>519</v>
      </c>
      <c r="B495" s="8" t="n">
        <v>98.960949</v>
      </c>
      <c r="C495" s="9" t="n">
        <f aca="false">IF(AND(ISNUMBER(B495),ISNUMBER(B494),B494&lt;&gt;0),B495/B494-1,"")</f>
        <v>0.000327286644017155</v>
      </c>
      <c r="D495" s="9" t="n">
        <f aca="false">IF(ISNUMBER(C495),ABS(C495-BTC_Fit!$B$9),"")</f>
        <v>0.000336649904301267</v>
      </c>
    </row>
    <row r="496" customFormat="false" ht="15" hidden="false" customHeight="false" outlineLevel="0" collapsed="false">
      <c r="A496" s="7" t="s">
        <v>520</v>
      </c>
      <c r="B496" s="8" t="n">
        <v>98.92014</v>
      </c>
      <c r="C496" s="9" t="n">
        <f aca="false">IF(AND(ISNUMBER(B496),ISNUMBER(B495),B495&lt;&gt;0),B496/B495-1,"")</f>
        <v>-0.000412374784320213</v>
      </c>
      <c r="D496" s="9" t="n">
        <f aca="false">IF(ISNUMBER(C496),ABS(C496-BTC_Fit!$B$9),"")</f>
        <v>0.000403011524036101</v>
      </c>
    </row>
    <row r="497" customFormat="false" ht="15" hidden="false" customHeight="false" outlineLevel="0" collapsed="false">
      <c r="A497" s="7" t="s">
        <v>521</v>
      </c>
      <c r="B497" s="8" t="n">
        <v>98.99629</v>
      </c>
      <c r="C497" s="9" t="n">
        <f aca="false">IF(AND(ISNUMBER(B497),ISNUMBER(B496),B496&lt;&gt;0),B497/B496-1,"")</f>
        <v>0.000769812901599165</v>
      </c>
      <c r="D497" s="9" t="n">
        <f aca="false">IF(ISNUMBER(C497),ABS(C497-BTC_Fit!$B$9),"")</f>
        <v>0.000779176161883277</v>
      </c>
    </row>
    <row r="498" customFormat="false" ht="15" hidden="false" customHeight="false" outlineLevel="0" collapsed="false">
      <c r="A498" s="7" t="s">
        <v>522</v>
      </c>
      <c r="B498" s="8" t="n">
        <v>99.005508</v>
      </c>
      <c r="C498" s="9" t="n">
        <f aca="false">IF(AND(ISNUMBER(B498),ISNUMBER(B497),B497&lt;&gt;0),B498/B497-1,"")</f>
        <v>9.31146005573869E-005</v>
      </c>
      <c r="D498" s="9" t="n">
        <f aca="false">IF(ISNUMBER(C498),ABS(C498-BTC_Fit!$B$9),"")</f>
        <v>0.000102477860841499</v>
      </c>
    </row>
    <row r="499" customFormat="false" ht="15" hidden="false" customHeight="false" outlineLevel="0" collapsed="false">
      <c r="A499" s="7" t="s">
        <v>523</v>
      </c>
      <c r="B499" s="8" t="n">
        <v>98.992363</v>
      </c>
      <c r="C499" s="9" t="n">
        <f aca="false">IF(AND(ISNUMBER(B499),ISNUMBER(B498),B498&lt;&gt;0),B499/B498-1,"")</f>
        <v>-0.000132770390916082</v>
      </c>
      <c r="D499" s="9" t="n">
        <f aca="false">IF(ISNUMBER(C499),ABS(C499-BTC_Fit!$B$9),"")</f>
        <v>0.00012340713063197</v>
      </c>
    </row>
    <row r="500" customFormat="false" ht="15" hidden="false" customHeight="false" outlineLevel="0" collapsed="false">
      <c r="A500" s="7" t="s">
        <v>524</v>
      </c>
      <c r="B500" s="8" t="n">
        <v>99.018234</v>
      </c>
      <c r="C500" s="9" t="n">
        <f aca="false">IF(AND(ISNUMBER(B500),ISNUMBER(B499),B499&lt;&gt;0),B500/B499-1,"")</f>
        <v>0.000261343392722324</v>
      </c>
      <c r="D500" s="9" t="n">
        <f aca="false">IF(ISNUMBER(C500),ABS(C500-BTC_Fit!$B$9),"")</f>
        <v>0.000270706653006436</v>
      </c>
    </row>
    <row r="501" customFormat="false" ht="15" hidden="false" customHeight="false" outlineLevel="0" collapsed="false">
      <c r="A501" s="7" t="s">
        <v>525</v>
      </c>
      <c r="B501" s="8" t="n">
        <v>98.989121</v>
      </c>
      <c r="C501" s="9" t="n">
        <f aca="false">IF(AND(ISNUMBER(B501),ISNUMBER(B500),B500&lt;&gt;0),B501/B500-1,"")</f>
        <v>-0.000294016554567178</v>
      </c>
      <c r="D501" s="9" t="n">
        <f aca="false">IF(ISNUMBER(C501),ABS(C501-BTC_Fit!$B$9),"")</f>
        <v>0.000284653294283066</v>
      </c>
    </row>
    <row r="502" customFormat="false" ht="15" hidden="false" customHeight="false" outlineLevel="0" collapsed="false">
      <c r="A502" s="7" t="s">
        <v>526</v>
      </c>
      <c r="B502" s="8" t="n">
        <v>98.991421</v>
      </c>
      <c r="C502" s="9" t="n">
        <f aca="false">IF(AND(ISNUMBER(B502),ISNUMBER(B501),B501&lt;&gt;0),B502/B501-1,"")</f>
        <v>2.32348764870327E-005</v>
      </c>
      <c r="D502" s="9" t="n">
        <f aca="false">IF(ISNUMBER(C502),ABS(C502-BTC_Fit!$B$9),"")</f>
        <v>3.25981367711448E-005</v>
      </c>
    </row>
    <row r="503" customFormat="false" ht="15" hidden="false" customHeight="false" outlineLevel="0" collapsed="false">
      <c r="A503" s="7" t="s">
        <v>527</v>
      </c>
      <c r="B503" s="8" t="n">
        <v>99.048559</v>
      </c>
      <c r="C503" s="9" t="n">
        <f aca="false">IF(AND(ISNUMBER(B503),ISNUMBER(B502),B502&lt;&gt;0),B503/B502-1,"")</f>
        <v>0.000577201533453975</v>
      </c>
      <c r="D503" s="9" t="n">
        <f aca="false">IF(ISNUMBER(C503),ABS(C503-BTC_Fit!$B$9),"")</f>
        <v>0.000586564793738087</v>
      </c>
    </row>
    <row r="504" customFormat="false" ht="15" hidden="false" customHeight="false" outlineLevel="0" collapsed="false">
      <c r="A504" s="7" t="s">
        <v>528</v>
      </c>
      <c r="B504" s="8" t="n">
        <v>99.180665</v>
      </c>
      <c r="C504" s="9" t="n">
        <f aca="false">IF(AND(ISNUMBER(B504),ISNUMBER(B503),B503&lt;&gt;0),B504/B503-1,"")</f>
        <v>0.00133374984284229</v>
      </c>
      <c r="D504" s="9" t="n">
        <f aca="false">IF(ISNUMBER(C504),ABS(C504-BTC_Fit!$B$9),"")</f>
        <v>0.0013431131031264</v>
      </c>
    </row>
    <row r="505" customFormat="false" ht="15" hidden="false" customHeight="false" outlineLevel="0" collapsed="false">
      <c r="A505" s="7" t="s">
        <v>529</v>
      </c>
      <c r="B505" s="8" t="n">
        <v>99.345434</v>
      </c>
      <c r="C505" s="9" t="n">
        <f aca="false">IF(AND(ISNUMBER(B505),ISNUMBER(B504),B504&lt;&gt;0),B505/B504-1,"")</f>
        <v>0.00166130162567457</v>
      </c>
      <c r="D505" s="9" t="n">
        <f aca="false">IF(ISNUMBER(C505),ABS(C505-BTC_Fit!$B$9),"")</f>
        <v>0.00167066488595868</v>
      </c>
    </row>
    <row r="506" customFormat="false" ht="15" hidden="false" customHeight="false" outlineLevel="0" collapsed="false">
      <c r="A506" s="7" t="s">
        <v>530</v>
      </c>
      <c r="B506" s="8" t="n">
        <v>99.346086</v>
      </c>
      <c r="C506" s="9" t="n">
        <f aca="false">IF(AND(ISNUMBER(B506),ISNUMBER(B505),B505&lt;&gt;0),B506/B505-1,"")</f>
        <v>6.56295889767122E-006</v>
      </c>
      <c r="D506" s="9" t="n">
        <f aca="false">IF(ISNUMBER(C506),ABS(C506-BTC_Fit!$B$9),"")</f>
        <v>1.59262191817833E-005</v>
      </c>
    </row>
    <row r="507" customFormat="false" ht="15" hidden="false" customHeight="false" outlineLevel="0" collapsed="false">
      <c r="A507" s="7" t="s">
        <v>531</v>
      </c>
      <c r="B507" s="8" t="n">
        <v>99.349787</v>
      </c>
      <c r="C507" s="9" t="n">
        <f aca="false">IF(AND(ISNUMBER(B507),ISNUMBER(B506),B506&lt;&gt;0),B507/B506-1,"")</f>
        <v>3.7253606548715E-005</v>
      </c>
      <c r="D507" s="9" t="n">
        <f aca="false">IF(ISNUMBER(C507),ABS(C507-BTC_Fit!$B$9),"")</f>
        <v>4.66168668328271E-005</v>
      </c>
    </row>
    <row r="508" customFormat="false" ht="15" hidden="false" customHeight="false" outlineLevel="0" collapsed="false">
      <c r="A508" s="7" t="s">
        <v>532</v>
      </c>
      <c r="B508" s="8" t="n">
        <v>99.431659</v>
      </c>
      <c r="C508" s="9" t="n">
        <f aca="false">IF(AND(ISNUMBER(B508),ISNUMBER(B507),B507&lt;&gt;0),B508/B507-1,"")</f>
        <v>0.000824078264002548</v>
      </c>
      <c r="D508" s="9" t="n">
        <f aca="false">IF(ISNUMBER(C508),ABS(C508-BTC_Fit!$B$9),"")</f>
        <v>0.00083344152428666</v>
      </c>
    </row>
    <row r="509" customFormat="false" ht="15" hidden="false" customHeight="false" outlineLevel="0" collapsed="false">
      <c r="A509" s="7" t="s">
        <v>533</v>
      </c>
      <c r="B509" s="8" t="n">
        <v>99.390156</v>
      </c>
      <c r="C509" s="9" t="n">
        <f aca="false">IF(AND(ISNUMBER(B509),ISNUMBER(B508),B508&lt;&gt;0),B509/B508-1,"")</f>
        <v>-0.000417402268225175</v>
      </c>
      <c r="D509" s="9" t="n">
        <f aca="false">IF(ISNUMBER(C509),ABS(C509-BTC_Fit!$B$9),"")</f>
        <v>0.000408039007941063</v>
      </c>
    </row>
    <row r="510" customFormat="false" ht="15" hidden="false" customHeight="false" outlineLevel="0" collapsed="false">
      <c r="A510" s="7" t="s">
        <v>534</v>
      </c>
      <c r="B510" s="8" t="n">
        <v>99.490628</v>
      </c>
      <c r="C510" s="9" t="n">
        <f aca="false">IF(AND(ISNUMBER(B510),ISNUMBER(B509),B509&lt;&gt;0),B510/B509-1,"")</f>
        <v>0.00101088482042422</v>
      </c>
      <c r="D510" s="9" t="n">
        <f aca="false">IF(ISNUMBER(C510),ABS(C510-BTC_Fit!$B$9),"")</f>
        <v>0.00102024808070833</v>
      </c>
    </row>
    <row r="511" customFormat="false" ht="15" hidden="false" customHeight="false" outlineLevel="0" collapsed="false">
      <c r="A511" s="7" t="s">
        <v>535</v>
      </c>
      <c r="B511" s="8" t="n">
        <v>99.489573</v>
      </c>
      <c r="C511" s="9" t="n">
        <f aca="false">IF(AND(ISNUMBER(B511),ISNUMBER(B510),B510&lt;&gt;0),B511/B510-1,"")</f>
        <v>-1.06040138776464E-005</v>
      </c>
      <c r="D511" s="9" t="n">
        <f aca="false">IF(ISNUMBER(C511),ABS(C511-BTC_Fit!$B$9),"")</f>
        <v>1.24075359353437E-006</v>
      </c>
    </row>
    <row r="512" customFormat="false" ht="15" hidden="false" customHeight="false" outlineLevel="0" collapsed="false">
      <c r="A512" s="7" t="s">
        <v>536</v>
      </c>
      <c r="B512" s="8" t="n">
        <v>99.358642</v>
      </c>
      <c r="C512" s="9" t="n">
        <f aca="false">IF(AND(ISNUMBER(B512),ISNUMBER(B511),B511&lt;&gt;0),B512/B511-1,"")</f>
        <v>-0.00131602735896741</v>
      </c>
      <c r="D512" s="9" t="n">
        <f aca="false">IF(ISNUMBER(C512),ABS(C512-BTC_Fit!$B$9),"")</f>
        <v>0.0013066640986833</v>
      </c>
    </row>
    <row r="513" customFormat="false" ht="15" hidden="false" customHeight="false" outlineLevel="0" collapsed="false">
      <c r="A513" s="7" t="s">
        <v>537</v>
      </c>
      <c r="B513" s="8" t="n">
        <v>99.185419</v>
      </c>
      <c r="C513" s="9" t="n">
        <f aca="false">IF(AND(ISNUMBER(B513),ISNUMBER(B512),B512&lt;&gt;0),B513/B512-1,"")</f>
        <v>-0.00174341150918711</v>
      </c>
      <c r="D513" s="9" t="n">
        <f aca="false">IF(ISNUMBER(C513),ABS(C513-BTC_Fit!$B$9),"")</f>
        <v>0.001734048248903</v>
      </c>
    </row>
    <row r="514" customFormat="false" ht="15" hidden="false" customHeight="false" outlineLevel="0" collapsed="false">
      <c r="A514" s="7" t="s">
        <v>538</v>
      </c>
      <c r="B514" s="8" t="n">
        <v>99.288252</v>
      </c>
      <c r="C514" s="9" t="n">
        <f aca="false">IF(AND(ISNUMBER(B514),ISNUMBER(B513),B513&lt;&gt;0),B514/B513-1,"")</f>
        <v>0.00103677537521918</v>
      </c>
      <c r="D514" s="9" t="n">
        <f aca="false">IF(ISNUMBER(C514),ABS(C514-BTC_Fit!$B$9),"")</f>
        <v>0.00104613863550329</v>
      </c>
    </row>
    <row r="515" customFormat="false" ht="15" hidden="false" customHeight="false" outlineLevel="0" collapsed="false">
      <c r="A515" s="7" t="s">
        <v>539</v>
      </c>
      <c r="B515" s="8" t="n">
        <v>99.091929</v>
      </c>
      <c r="C515" s="9" t="n">
        <f aca="false">IF(AND(ISNUMBER(B515),ISNUMBER(B514),B514&lt;&gt;0),B515/B514-1,"")</f>
        <v>-0.00197730341752822</v>
      </c>
      <c r="D515" s="9" t="n">
        <f aca="false">IF(ISNUMBER(C515),ABS(C515-BTC_Fit!$B$9),"")</f>
        <v>0.00196794015724411</v>
      </c>
    </row>
    <row r="516" customFormat="false" ht="15" hidden="false" customHeight="false" outlineLevel="0" collapsed="false">
      <c r="A516" s="7" t="s">
        <v>540</v>
      </c>
      <c r="B516" s="8" t="n">
        <v>99.040413</v>
      </c>
      <c r="C516" s="9" t="n">
        <f aca="false">IF(AND(ISNUMBER(B516),ISNUMBER(B515),B515&lt;&gt;0),B516/B515-1,"")</f>
        <v>-0.000519880887574487</v>
      </c>
      <c r="D516" s="9" t="n">
        <f aca="false">IF(ISNUMBER(C516),ABS(C516-BTC_Fit!$B$9),"")</f>
        <v>0.000510517627290374</v>
      </c>
    </row>
    <row r="517" customFormat="false" ht="15" hidden="false" customHeight="false" outlineLevel="0" collapsed="false">
      <c r="A517" s="7" t="s">
        <v>541</v>
      </c>
      <c r="B517" s="8" t="n">
        <v>99.004485</v>
      </c>
      <c r="C517" s="9" t="n">
        <f aca="false">IF(AND(ISNUMBER(B517),ISNUMBER(B516),B516&lt;&gt;0),B517/B516-1,"")</f>
        <v>-0.000362761007468682</v>
      </c>
      <c r="D517" s="9" t="n">
        <f aca="false">IF(ISNUMBER(C517),ABS(C517-BTC_Fit!$B$9),"")</f>
        <v>0.00035339774718457</v>
      </c>
    </row>
    <row r="518" customFormat="false" ht="15" hidden="false" customHeight="false" outlineLevel="0" collapsed="false">
      <c r="A518" s="7" t="s">
        <v>542</v>
      </c>
      <c r="B518" s="8" t="n">
        <v>98.909914</v>
      </c>
      <c r="C518" s="9" t="n">
        <f aca="false">IF(AND(ISNUMBER(B518),ISNUMBER(B517),B517&lt;&gt;0),B518/B517-1,"")</f>
        <v>-0.000955219351931436</v>
      </c>
      <c r="D518" s="9" t="n">
        <f aca="false">IF(ISNUMBER(C518),ABS(C518-BTC_Fit!$B$9),"")</f>
        <v>0.000945856091647324</v>
      </c>
    </row>
    <row r="519" customFormat="false" ht="15" hidden="false" customHeight="false" outlineLevel="0" collapsed="false">
      <c r="A519" s="7" t="s">
        <v>543</v>
      </c>
      <c r="B519" s="8" t="n">
        <v>98.868471</v>
      </c>
      <c r="C519" s="9" t="n">
        <f aca="false">IF(AND(ISNUMBER(B519),ISNUMBER(B518),B518&lt;&gt;0),B519/B518-1,"")</f>
        <v>-0.00041899743235041</v>
      </c>
      <c r="D519" s="9" t="n">
        <f aca="false">IF(ISNUMBER(C519),ABS(C519-BTC_Fit!$B$9),"")</f>
        <v>0.000409634172066298</v>
      </c>
    </row>
    <row r="520" customFormat="false" ht="15" hidden="false" customHeight="false" outlineLevel="0" collapsed="false">
      <c r="A520" s="7" t="s">
        <v>544</v>
      </c>
      <c r="B520" s="8" t="n">
        <v>98.927585</v>
      </c>
      <c r="C520" s="9" t="n">
        <f aca="false">IF(AND(ISNUMBER(B520),ISNUMBER(B519),B519&lt;&gt;0),B520/B519-1,"")</f>
        <v>0.000597905473828986</v>
      </c>
      <c r="D520" s="9" t="n">
        <f aca="false">IF(ISNUMBER(C520),ABS(C520-BTC_Fit!$B$9),"")</f>
        <v>0.000607268734113098</v>
      </c>
    </row>
    <row r="521" customFormat="false" ht="15" hidden="false" customHeight="false" outlineLevel="0" collapsed="false">
      <c r="A521" s="7" t="s">
        <v>545</v>
      </c>
      <c r="B521" s="8" t="n">
        <v>98.613476</v>
      </c>
      <c r="C521" s="9" t="n">
        <f aca="false">IF(AND(ISNUMBER(B521),ISNUMBER(B520),B520&lt;&gt;0),B521/B520-1,"")</f>
        <v>-0.00317514068497671</v>
      </c>
      <c r="D521" s="9" t="n">
        <f aca="false">IF(ISNUMBER(C521),ABS(C521-BTC_Fit!$B$9),"")</f>
        <v>0.0031657774246926</v>
      </c>
    </row>
    <row r="522" customFormat="false" ht="15" hidden="false" customHeight="false" outlineLevel="0" collapsed="false">
      <c r="A522" s="7" t="s">
        <v>546</v>
      </c>
      <c r="B522" s="8" t="n">
        <v>98.707759</v>
      </c>
      <c r="C522" s="9" t="n">
        <f aca="false">IF(AND(ISNUMBER(B522),ISNUMBER(B521),B521&lt;&gt;0),B522/B521-1,"")</f>
        <v>0.000956086366938225</v>
      </c>
      <c r="D522" s="9" t="n">
        <f aca="false">IF(ISNUMBER(C522),ABS(C522-BTC_Fit!$B$9),"")</f>
        <v>0.000965449627222337</v>
      </c>
    </row>
    <row r="523" customFormat="false" ht="15" hidden="false" customHeight="false" outlineLevel="0" collapsed="false">
      <c r="A523" s="7" t="s">
        <v>547</v>
      </c>
      <c r="B523" s="8" t="n">
        <v>98.818682</v>
      </c>
      <c r="C523" s="9" t="n">
        <f aca="false">IF(AND(ISNUMBER(B523),ISNUMBER(B522),B522&lt;&gt;0),B523/B522-1,"")</f>
        <v>0.00112375157863731</v>
      </c>
      <c r="D523" s="9" t="n">
        <f aca="false">IF(ISNUMBER(C523),ABS(C523-BTC_Fit!$B$9),"")</f>
        <v>0.00113311483892142</v>
      </c>
    </row>
    <row r="524" customFormat="false" ht="15" hidden="false" customHeight="false" outlineLevel="0" collapsed="false">
      <c r="A524" s="7" t="s">
        <v>548</v>
      </c>
      <c r="B524" s="8" t="n">
        <v>98.792445</v>
      </c>
      <c r="C524" s="9" t="n">
        <f aca="false">IF(AND(ISNUMBER(B524),ISNUMBER(B523),B523&lt;&gt;0),B524/B523-1,"")</f>
        <v>-0.000265506475789601</v>
      </c>
      <c r="D524" s="9" t="n">
        <f aca="false">IF(ISNUMBER(C524),ABS(C524-BTC_Fit!$B$9),"")</f>
        <v>0.000256143215505489</v>
      </c>
    </row>
    <row r="525" customFormat="false" ht="15" hidden="false" customHeight="false" outlineLevel="0" collapsed="false">
      <c r="A525" s="7" t="s">
        <v>549</v>
      </c>
      <c r="B525" s="8" t="n">
        <v>98.687512</v>
      </c>
      <c r="C525" s="9" t="n">
        <f aca="false">IF(AND(ISNUMBER(B525),ISNUMBER(B524),B524&lt;&gt;0),B525/B524-1,"")</f>
        <v>-0.00106215611932681</v>
      </c>
      <c r="D525" s="9" t="n">
        <f aca="false">IF(ISNUMBER(C525),ABS(C525-BTC_Fit!$B$9),"")</f>
        <v>0.0010527928590427</v>
      </c>
    </row>
    <row r="526" customFormat="false" ht="15" hidden="false" customHeight="false" outlineLevel="0" collapsed="false">
      <c r="A526" s="7" t="s">
        <v>550</v>
      </c>
      <c r="B526" s="8" t="n">
        <v>98.707518</v>
      </c>
      <c r="C526" s="9" t="n">
        <f aca="false">IF(AND(ISNUMBER(B526),ISNUMBER(B525),B525&lt;&gt;0),B526/B525-1,"")</f>
        <v>0.000202720684659541</v>
      </c>
      <c r="D526" s="9" t="n">
        <f aca="false">IF(ISNUMBER(C526),ABS(C526-BTC_Fit!$B$9),"")</f>
        <v>0.000212083944943653</v>
      </c>
    </row>
    <row r="527" customFormat="false" ht="15" hidden="false" customHeight="false" outlineLevel="0" collapsed="false">
      <c r="A527" s="7" t="s">
        <v>551</v>
      </c>
      <c r="B527" s="8" t="n">
        <v>98.580495</v>
      </c>
      <c r="C527" s="9" t="n">
        <f aca="false">IF(AND(ISNUMBER(B527),ISNUMBER(B526),B526&lt;&gt;0),B527/B526-1,"")</f>
        <v>-0.00128686246573428</v>
      </c>
      <c r="D527" s="9" t="n">
        <f aca="false">IF(ISNUMBER(C527),ABS(C527-BTC_Fit!$B$9),"")</f>
        <v>0.00127749920545017</v>
      </c>
    </row>
    <row r="528" customFormat="false" ht="15" hidden="false" customHeight="false" outlineLevel="0" collapsed="false">
      <c r="A528" s="7" t="s">
        <v>552</v>
      </c>
      <c r="B528" s="8" t="n">
        <v>98.552553</v>
      </c>
      <c r="C528" s="9" t="n">
        <f aca="false">IF(AND(ISNUMBER(B528),ISNUMBER(B527),B527&lt;&gt;0),B528/B527-1,"")</f>
        <v>-0.000283443494577651</v>
      </c>
      <c r="D528" s="9" t="n">
        <f aca="false">IF(ISNUMBER(C528),ABS(C528-BTC_Fit!$B$9),"")</f>
        <v>0.000274080234293539</v>
      </c>
    </row>
    <row r="529" customFormat="false" ht="15" hidden="false" customHeight="false" outlineLevel="0" collapsed="false">
      <c r="A529" s="7" t="s">
        <v>553</v>
      </c>
      <c r="B529" s="8" t="n">
        <v>98.773162</v>
      </c>
      <c r="C529" s="9" t="n">
        <f aca="false">IF(AND(ISNUMBER(B529),ISNUMBER(B528),B528&lt;&gt;0),B529/B528-1,"")</f>
        <v>0.0022384909703963</v>
      </c>
      <c r="D529" s="9" t="n">
        <f aca="false">IF(ISNUMBER(C529),ABS(C529-BTC_Fit!$B$9),"")</f>
        <v>0.00224785423068041</v>
      </c>
    </row>
    <row r="530" customFormat="false" ht="15" hidden="false" customHeight="false" outlineLevel="0" collapsed="false">
      <c r="A530" s="7" t="s">
        <v>554</v>
      </c>
      <c r="B530" s="8" t="n">
        <v>99.191209</v>
      </c>
      <c r="C530" s="9" t="n">
        <f aca="false">IF(AND(ISNUMBER(B530),ISNUMBER(B529),B529&lt;&gt;0),B530/B529-1,"")</f>
        <v>0.00423239462557645</v>
      </c>
      <c r="D530" s="9" t="n">
        <f aca="false">IF(ISNUMBER(C530),ABS(C530-BTC_Fit!$B$9),"")</f>
        <v>0.00424175788586056</v>
      </c>
    </row>
    <row r="531" customFormat="false" ht="15" hidden="false" customHeight="false" outlineLevel="0" collapsed="false">
      <c r="A531" s="7" t="s">
        <v>555</v>
      </c>
      <c r="B531" s="8" t="n">
        <v>99.261353</v>
      </c>
      <c r="C531" s="9" t="n">
        <f aca="false">IF(AND(ISNUMBER(B531),ISNUMBER(B530),B530&lt;&gt;0),B531/B530-1,"")</f>
        <v>0.000707159441921901</v>
      </c>
      <c r="D531" s="9" t="n">
        <f aca="false">IF(ISNUMBER(C531),ABS(C531-BTC_Fit!$B$9),"")</f>
        <v>0.000716522702206013</v>
      </c>
    </row>
    <row r="532" customFormat="false" ht="15" hidden="false" customHeight="false" outlineLevel="0" collapsed="false">
      <c r="A532" s="7" t="s">
        <v>556</v>
      </c>
      <c r="B532" s="8" t="n">
        <v>99.218924</v>
      </c>
      <c r="C532" s="9" t="n">
        <f aca="false">IF(AND(ISNUMBER(B532),ISNUMBER(B531),B531&lt;&gt;0),B532/B531-1,"")</f>
        <v>-0.000427447326856401</v>
      </c>
      <c r="D532" s="9" t="n">
        <f aca="false">IF(ISNUMBER(C532),ABS(C532-BTC_Fit!$B$9),"")</f>
        <v>0.000418084066572288</v>
      </c>
    </row>
    <row r="533" customFormat="false" ht="15" hidden="false" customHeight="false" outlineLevel="0" collapsed="false">
      <c r="A533" s="7" t="s">
        <v>557</v>
      </c>
      <c r="B533" s="8" t="n">
        <v>99.260941</v>
      </c>
      <c r="C533" s="9" t="n">
        <f aca="false">IF(AND(ISNUMBER(B533),ISNUMBER(B532),B532&lt;&gt;0),B533/B532-1,"")</f>
        <v>0.000423477682543805</v>
      </c>
      <c r="D533" s="9" t="n">
        <f aca="false">IF(ISNUMBER(C533),ABS(C533-BTC_Fit!$B$9),"")</f>
        <v>0.000432840942827917</v>
      </c>
    </row>
    <row r="534" customFormat="false" ht="15" hidden="false" customHeight="false" outlineLevel="0" collapsed="false">
      <c r="A534" s="7" t="s">
        <v>558</v>
      </c>
      <c r="B534" s="8" t="n">
        <v>99.3082</v>
      </c>
      <c r="C534" s="9" t="n">
        <f aca="false">IF(AND(ISNUMBER(B534),ISNUMBER(B533),B533&lt;&gt;0),B534/B533-1,"")</f>
        <v>0.0004761087243772</v>
      </c>
      <c r="D534" s="9" t="n">
        <f aca="false">IF(ISNUMBER(C534),ABS(C534-BTC_Fit!$B$9),"")</f>
        <v>0.000485471984661312</v>
      </c>
    </row>
    <row r="535" customFormat="false" ht="15" hidden="false" customHeight="false" outlineLevel="0" collapsed="false">
      <c r="A535" s="7" t="s">
        <v>559</v>
      </c>
      <c r="B535" s="8" t="n">
        <v>99.285497</v>
      </c>
      <c r="C535" s="9" t="n">
        <f aca="false">IF(AND(ISNUMBER(B535),ISNUMBER(B534),B534&lt;&gt;0),B535/B534-1,"")</f>
        <v>-0.000228611534596301</v>
      </c>
      <c r="D535" s="9" t="n">
        <f aca="false">IF(ISNUMBER(C535),ABS(C535-BTC_Fit!$B$9),"")</f>
        <v>0.000219248274312189</v>
      </c>
    </row>
    <row r="536" customFormat="false" ht="15" hidden="false" customHeight="false" outlineLevel="0" collapsed="false">
      <c r="A536" s="7" t="s">
        <v>560</v>
      </c>
      <c r="B536" s="8" t="n">
        <v>99.315072</v>
      </c>
      <c r="C536" s="9" t="n">
        <f aca="false">IF(AND(ISNUMBER(B536),ISNUMBER(B535),B535&lt;&gt;0),B536/B535-1,"")</f>
        <v>0.000297878349745151</v>
      </c>
      <c r="D536" s="9" t="n">
        <f aca="false">IF(ISNUMBER(C536),ABS(C536-BTC_Fit!$B$9),"")</f>
        <v>0.000307241610029263</v>
      </c>
    </row>
    <row r="537" customFormat="false" ht="15" hidden="false" customHeight="false" outlineLevel="0" collapsed="false">
      <c r="A537" s="7" t="s">
        <v>561</v>
      </c>
      <c r="B537" s="8" t="n">
        <v>98.97168</v>
      </c>
      <c r="C537" s="9" t="n">
        <f aca="false">IF(AND(ISNUMBER(B537),ISNUMBER(B536),B536&lt;&gt;0),B537/B536-1,"")</f>
        <v>-0.00345760208480739</v>
      </c>
      <c r="D537" s="9" t="n">
        <f aca="false">IF(ISNUMBER(C537),ABS(C537-BTC_Fit!$B$9),"")</f>
        <v>0.00344823882452328</v>
      </c>
    </row>
    <row r="538" customFormat="false" ht="15" hidden="false" customHeight="false" outlineLevel="0" collapsed="false">
      <c r="A538" s="7" t="s">
        <v>562</v>
      </c>
      <c r="B538" s="8" t="n">
        <v>98.894007</v>
      </c>
      <c r="C538" s="9" t="n">
        <f aca="false">IF(AND(ISNUMBER(B538),ISNUMBER(B537),B537&lt;&gt;0),B538/B537-1,"")</f>
        <v>-0.000784800258013196</v>
      </c>
      <c r="D538" s="9" t="n">
        <f aca="false">IF(ISNUMBER(C538),ABS(C538-BTC_Fit!$B$9),"")</f>
        <v>0.000775436997729084</v>
      </c>
    </row>
    <row r="539" customFormat="false" ht="15" hidden="false" customHeight="false" outlineLevel="0" collapsed="false">
      <c r="A539" s="7" t="s">
        <v>563</v>
      </c>
      <c r="B539" s="8" t="n">
        <v>98.898589</v>
      </c>
      <c r="C539" s="9" t="n">
        <f aca="false">IF(AND(ISNUMBER(B539),ISNUMBER(B538),B538&lt;&gt;0),B539/B538-1,"")</f>
        <v>4.63324334709636E-005</v>
      </c>
      <c r="D539" s="9" t="n">
        <f aca="false">IF(ISNUMBER(C539),ABS(C539-BTC_Fit!$B$9),"")</f>
        <v>5.56956937550757E-005</v>
      </c>
    </row>
    <row r="540" customFormat="false" ht="15" hidden="false" customHeight="false" outlineLevel="0" collapsed="false">
      <c r="A540" s="7" t="s">
        <v>564</v>
      </c>
      <c r="B540" s="8" t="n">
        <v>98.799232</v>
      </c>
      <c r="C540" s="9" t="n">
        <f aca="false">IF(AND(ISNUMBER(B540),ISNUMBER(B539),B539&lt;&gt;0),B540/B539-1,"")</f>
        <v>-0.00100463516218618</v>
      </c>
      <c r="D540" s="9" t="n">
        <f aca="false">IF(ISNUMBER(C540),ABS(C540-BTC_Fit!$B$9),"")</f>
        <v>0.000995271901902073</v>
      </c>
    </row>
    <row r="541" customFormat="false" ht="15" hidden="false" customHeight="false" outlineLevel="0" collapsed="false">
      <c r="A541" s="7" t="s">
        <v>565</v>
      </c>
      <c r="B541" s="8" t="n">
        <v>98.701138</v>
      </c>
      <c r="C541" s="9" t="n">
        <f aca="false">IF(AND(ISNUMBER(B541),ISNUMBER(B540),B540&lt;&gt;0),B541/B540-1,"")</f>
        <v>-0.000992861968805658</v>
      </c>
      <c r="D541" s="9" t="n">
        <f aca="false">IF(ISNUMBER(C541),ABS(C541-BTC_Fit!$B$9),"")</f>
        <v>0.000983498708521546</v>
      </c>
    </row>
    <row r="542" customFormat="false" ht="15" hidden="false" customHeight="false" outlineLevel="0" collapsed="false">
      <c r="A542" s="7" t="s">
        <v>566</v>
      </c>
      <c r="B542" s="8" t="n">
        <v>98.800327</v>
      </c>
      <c r="C542" s="9" t="n">
        <f aca="false">IF(AND(ISNUMBER(B542),ISNUMBER(B541),B541&lt;&gt;0),B542/B541-1,"")</f>
        <v>0.00100494282041597</v>
      </c>
      <c r="D542" s="9" t="n">
        <f aca="false">IF(ISNUMBER(C542),ABS(C542-BTC_Fit!$B$9),"")</f>
        <v>0.00101430608070008</v>
      </c>
    </row>
    <row r="543" customFormat="false" ht="15" hidden="false" customHeight="false" outlineLevel="0" collapsed="false">
      <c r="A543" s="7" t="s">
        <v>567</v>
      </c>
      <c r="B543" s="8" t="n">
        <v>99.140791</v>
      </c>
      <c r="C543" s="9" t="n">
        <f aca="false">IF(AND(ISNUMBER(B543),ISNUMBER(B542),B542&lt;&gt;0),B543/B542-1,"")</f>
        <v>0.00344598049761502</v>
      </c>
      <c r="D543" s="9" t="n">
        <f aca="false">IF(ISNUMBER(C543),ABS(C543-BTC_Fit!$B$9),"")</f>
        <v>0.00345534375789913</v>
      </c>
    </row>
    <row r="544" customFormat="false" ht="15" hidden="false" customHeight="false" outlineLevel="0" collapsed="false">
      <c r="A544" s="7" t="s">
        <v>568</v>
      </c>
      <c r="B544" s="8" t="n">
        <v>99.151384</v>
      </c>
      <c r="C544" s="9" t="n">
        <f aca="false">IF(AND(ISNUMBER(B544),ISNUMBER(B543),B543&lt;&gt;0),B544/B543-1,"")</f>
        <v>0.000106848048045061</v>
      </c>
      <c r="D544" s="9" t="n">
        <f aca="false">IF(ISNUMBER(C544),ABS(C544-BTC_Fit!$B$9),"")</f>
        <v>0.000116211308329173</v>
      </c>
    </row>
    <row r="545" customFormat="false" ht="15" hidden="false" customHeight="false" outlineLevel="0" collapsed="false">
      <c r="A545" s="7" t="s">
        <v>569</v>
      </c>
      <c r="B545" s="8" t="n">
        <v>99.252545</v>
      </c>
      <c r="C545" s="9" t="n">
        <f aca="false">IF(AND(ISNUMBER(B545),ISNUMBER(B544),B544&lt;&gt;0),B545/B544-1,"")</f>
        <v>0.00102026815883893</v>
      </c>
      <c r="D545" s="9" t="n">
        <f aca="false">IF(ISNUMBER(C545),ABS(C545-BTC_Fit!$B$9),"")</f>
        <v>0.00102963141912305</v>
      </c>
    </row>
    <row r="546" customFormat="false" ht="15" hidden="false" customHeight="false" outlineLevel="0" collapsed="false">
      <c r="A546" s="7" t="s">
        <v>570</v>
      </c>
      <c r="B546" s="8" t="n">
        <v>99.604916</v>
      </c>
      <c r="C546" s="9" t="n">
        <f aca="false">IF(AND(ISNUMBER(B546),ISNUMBER(B545),B545&lt;&gt;0),B546/B545-1,"")</f>
        <v>0.00355024649493885</v>
      </c>
      <c r="D546" s="9" t="n">
        <f aca="false">IF(ISNUMBER(C546),ABS(C546-BTC_Fit!$B$9),"")</f>
        <v>0.00355960975522296</v>
      </c>
    </row>
    <row r="547" customFormat="false" ht="15" hidden="false" customHeight="false" outlineLevel="0" collapsed="false">
      <c r="A547" s="7" t="s">
        <v>571</v>
      </c>
      <c r="B547" s="8" t="n">
        <v>99.491818</v>
      </c>
      <c r="C547" s="9" t="n">
        <f aca="false">IF(AND(ISNUMBER(B547),ISNUMBER(B546),B546&lt;&gt;0),B547/B546-1,"")</f>
        <v>-0.00113546604466797</v>
      </c>
      <c r="D547" s="9" t="n">
        <f aca="false">IF(ISNUMBER(C547),ABS(C547-BTC_Fit!$B$9),"")</f>
        <v>0.00112610278438385</v>
      </c>
    </row>
    <row r="548" customFormat="false" ht="15" hidden="false" customHeight="false" outlineLevel="0" collapsed="false">
      <c r="A548" s="7" t="s">
        <v>572</v>
      </c>
      <c r="B548" s="8" t="n">
        <v>99.482034</v>
      </c>
      <c r="C548" s="9" t="n">
        <f aca="false">IF(AND(ISNUMBER(B548),ISNUMBER(B547),B547&lt;&gt;0),B548/B547-1,"")</f>
        <v>-9.83397448822698E-005</v>
      </c>
      <c r="D548" s="9" t="n">
        <f aca="false">IF(ISNUMBER(C548),ABS(C548-BTC_Fit!$B$9),"")</f>
        <v>8.89764845981578E-005</v>
      </c>
    </row>
    <row r="549" customFormat="false" ht="15" hidden="false" customHeight="false" outlineLevel="0" collapsed="false">
      <c r="A549" s="7" t="s">
        <v>573</v>
      </c>
      <c r="B549" s="8" t="n">
        <v>99.460377</v>
      </c>
      <c r="C549" s="9" t="n">
        <f aca="false">IF(AND(ISNUMBER(B549),ISNUMBER(B548),B548&lt;&gt;0),B549/B548-1,"")</f>
        <v>-0.000217697599548483</v>
      </c>
      <c r="D549" s="9" t="n">
        <f aca="false">IF(ISNUMBER(C549),ABS(C549-BTC_Fit!$B$9),"")</f>
        <v>0.000208334339264371</v>
      </c>
    </row>
    <row r="550" customFormat="false" ht="15" hidden="false" customHeight="false" outlineLevel="0" collapsed="false">
      <c r="A550" s="7" t="s">
        <v>574</v>
      </c>
      <c r="B550" s="8" t="n">
        <v>99.29639</v>
      </c>
      <c r="C550" s="9" t="n">
        <f aca="false">IF(AND(ISNUMBER(B550),ISNUMBER(B549),B549&lt;&gt;0),B550/B549-1,"")</f>
        <v>-0.00164876712663165</v>
      </c>
      <c r="D550" s="9" t="n">
        <f aca="false">IF(ISNUMBER(C550),ABS(C550-BTC_Fit!$B$9),"")</f>
        <v>0.00163940386634753</v>
      </c>
    </row>
    <row r="551" customFormat="false" ht="15" hidden="false" customHeight="false" outlineLevel="0" collapsed="false">
      <c r="A551" s="7" t="s">
        <v>575</v>
      </c>
      <c r="B551" s="8" t="n">
        <v>99.36026</v>
      </c>
      <c r="C551" s="9" t="n">
        <f aca="false">IF(AND(ISNUMBER(B551),ISNUMBER(B550),B550&lt;&gt;0),B551/B550-1,"")</f>
        <v>0.000643225801058689</v>
      </c>
      <c r="D551" s="9" t="n">
        <f aca="false">IF(ISNUMBER(C551),ABS(C551-BTC_Fit!$B$9),"")</f>
        <v>0.000652589061342801</v>
      </c>
    </row>
    <row r="552" customFormat="false" ht="15" hidden="false" customHeight="false" outlineLevel="0" collapsed="false">
      <c r="A552" s="7" t="s">
        <v>576</v>
      </c>
      <c r="B552" s="8" t="n">
        <v>99.347556</v>
      </c>
      <c r="C552" s="9" t="n">
        <f aca="false">IF(AND(ISNUMBER(B552),ISNUMBER(B551),B551&lt;&gt;0),B552/B551-1,"")</f>
        <v>-0.000127857958503674</v>
      </c>
      <c r="D552" s="9" t="n">
        <f aca="false">IF(ISNUMBER(C552),ABS(C552-BTC_Fit!$B$9),"")</f>
        <v>0.000118494698219562</v>
      </c>
    </row>
    <row r="553" customFormat="false" ht="15" hidden="false" customHeight="false" outlineLevel="0" collapsed="false">
      <c r="A553" s="7" t="s">
        <v>577</v>
      </c>
      <c r="B553" s="8" t="n">
        <v>99.341895</v>
      </c>
      <c r="C553" s="9" t="n">
        <f aca="false">IF(AND(ISNUMBER(B553),ISNUMBER(B552),B552&lt;&gt;0),B553/B552-1,"")</f>
        <v>-5.69817741666867E-005</v>
      </c>
      <c r="D553" s="9" t="n">
        <f aca="false">IF(ISNUMBER(C553),ABS(C553-BTC_Fit!$B$9),"")</f>
        <v>4.76185138825747E-005</v>
      </c>
    </row>
    <row r="554" customFormat="false" ht="15" hidden="false" customHeight="false" outlineLevel="0" collapsed="false">
      <c r="A554" s="7" t="s">
        <v>578</v>
      </c>
      <c r="B554" s="8" t="n">
        <v>99.234651</v>
      </c>
      <c r="C554" s="9" t="n">
        <f aca="false">IF(AND(ISNUMBER(B554),ISNUMBER(B553),B553&lt;&gt;0),B554/B553-1,"")</f>
        <v>-0.00107954453657233</v>
      </c>
      <c r="D554" s="9" t="n">
        <f aca="false">IF(ISNUMBER(C554),ABS(C554-BTC_Fit!$B$9),"")</f>
        <v>0.00107018127628822</v>
      </c>
    </row>
    <row r="555" customFormat="false" ht="15" hidden="false" customHeight="false" outlineLevel="0" collapsed="false">
      <c r="A555" s="7" t="s">
        <v>579</v>
      </c>
      <c r="B555" s="8" t="n">
        <v>99.143864</v>
      </c>
      <c r="C555" s="9" t="n">
        <f aca="false">IF(AND(ISNUMBER(B555),ISNUMBER(B554),B554&lt;&gt;0),B555/B554-1,"")</f>
        <v>-0.000914871963423436</v>
      </c>
      <c r="D555" s="9" t="n">
        <f aca="false">IF(ISNUMBER(C555),ABS(C555-BTC_Fit!$B$9),"")</f>
        <v>0.000905508703139324</v>
      </c>
    </row>
    <row r="556" customFormat="false" ht="15" hidden="false" customHeight="false" outlineLevel="0" collapsed="false">
      <c r="A556" s="7" t="s">
        <v>580</v>
      </c>
      <c r="B556" s="8" t="n">
        <v>99.294049</v>
      </c>
      <c r="C556" s="9" t="n">
        <f aca="false">IF(AND(ISNUMBER(B556),ISNUMBER(B555),B555&lt;&gt;0),B556/B555-1,"")</f>
        <v>0.00151481891002359</v>
      </c>
      <c r="D556" s="9" t="n">
        <f aca="false">IF(ISNUMBER(C556),ABS(C556-BTC_Fit!$B$9),"")</f>
        <v>0.0015241821703077</v>
      </c>
    </row>
    <row r="557" customFormat="false" ht="15" hidden="false" customHeight="false" outlineLevel="0" collapsed="false">
      <c r="A557" s="7" t="s">
        <v>581</v>
      </c>
      <c r="B557" s="8" t="n">
        <v>99.078164</v>
      </c>
      <c r="C557" s="9" t="n">
        <f aca="false">IF(AND(ISNUMBER(B557),ISNUMBER(B556),B556&lt;&gt;0),B557/B556-1,"")</f>
        <v>-0.00217419877801539</v>
      </c>
      <c r="D557" s="9" t="n">
        <f aca="false">IF(ISNUMBER(C557),ABS(C557-BTC_Fit!$B$9),"")</f>
        <v>0.00216483551773128</v>
      </c>
    </row>
    <row r="558" customFormat="false" ht="15" hidden="false" customHeight="false" outlineLevel="0" collapsed="false">
      <c r="A558" s="7" t="s">
        <v>582</v>
      </c>
      <c r="B558" s="8" t="n">
        <v>99.01002</v>
      </c>
      <c r="C558" s="9" t="n">
        <f aca="false">IF(AND(ISNUMBER(B558),ISNUMBER(B557),B557&lt;&gt;0),B558/B557-1,"")</f>
        <v>-0.000687780205535504</v>
      </c>
      <c r="D558" s="9" t="n">
        <f aca="false">IF(ISNUMBER(C558),ABS(C558-BTC_Fit!$B$9),"")</f>
        <v>0.000678416945251392</v>
      </c>
    </row>
    <row r="559" customFormat="false" ht="15" hidden="false" customHeight="false" outlineLevel="0" collapsed="false">
      <c r="A559" s="7" t="s">
        <v>583</v>
      </c>
      <c r="B559" s="8" t="n">
        <v>98.96211</v>
      </c>
      <c r="C559" s="9" t="n">
        <f aca="false">IF(AND(ISNUMBER(B559),ISNUMBER(B558),B558&lt;&gt;0),B559/B558-1,"")</f>
        <v>-0.000483890418363719</v>
      </c>
      <c r="D559" s="9" t="n">
        <f aca="false">IF(ISNUMBER(C559),ABS(C559-BTC_Fit!$B$9),"")</f>
        <v>0.000474527158079607</v>
      </c>
    </row>
    <row r="560" customFormat="false" ht="15" hidden="false" customHeight="false" outlineLevel="0" collapsed="false">
      <c r="A560" s="7" t="s">
        <v>584</v>
      </c>
      <c r="B560" s="8" t="n">
        <v>98.960347</v>
      </c>
      <c r="C560" s="9" t="n">
        <f aca="false">IF(AND(ISNUMBER(B560),ISNUMBER(B559),B559&lt;&gt;0),B560/B559-1,"")</f>
        <v>-1.78148990557236E-005</v>
      </c>
      <c r="D560" s="9" t="n">
        <f aca="false">IF(ISNUMBER(C560),ABS(C560-BTC_Fit!$B$9),"")</f>
        <v>8.45163877161159E-006</v>
      </c>
    </row>
    <row r="561" customFormat="false" ht="15" hidden="false" customHeight="false" outlineLevel="0" collapsed="false">
      <c r="A561" s="7" t="s">
        <v>585</v>
      </c>
      <c r="B561" s="8" t="n">
        <v>98.977253</v>
      </c>
      <c r="C561" s="9" t="n">
        <f aca="false">IF(AND(ISNUMBER(B561),ISNUMBER(B560),B560&lt;&gt;0),B561/B560-1,"")</f>
        <v>0.000170836102666438</v>
      </c>
      <c r="D561" s="9" t="n">
        <f aca="false">IF(ISNUMBER(C561),ABS(C561-BTC_Fit!$B$9),"")</f>
        <v>0.000180199362950551</v>
      </c>
    </row>
    <row r="562" customFormat="false" ht="15" hidden="false" customHeight="false" outlineLevel="0" collapsed="false">
      <c r="A562" s="7" t="s">
        <v>586</v>
      </c>
      <c r="B562" s="8" t="n">
        <v>98.976049</v>
      </c>
      <c r="C562" s="9" t="n">
        <f aca="false">IF(AND(ISNUMBER(B562),ISNUMBER(B561),B561&lt;&gt;0),B562/B561-1,"")</f>
        <v>-1.21644111501507E-005</v>
      </c>
      <c r="D562" s="9" t="n">
        <f aca="false">IF(ISNUMBER(C562),ABS(C562-BTC_Fit!$B$9),"")</f>
        <v>2.8011508660386E-006</v>
      </c>
    </row>
    <row r="563" customFormat="false" ht="15" hidden="false" customHeight="false" outlineLevel="0" collapsed="false">
      <c r="A563" s="7" t="s">
        <v>587</v>
      </c>
      <c r="B563" s="8" t="n">
        <v>98.817274</v>
      </c>
      <c r="C563" s="9" t="n">
        <f aca="false">IF(AND(ISNUMBER(B563),ISNUMBER(B562),B562&lt;&gt;0),B563/B562-1,"")</f>
        <v>-0.00160417597594753</v>
      </c>
      <c r="D563" s="9" t="n">
        <f aca="false">IF(ISNUMBER(C563),ABS(C563-BTC_Fit!$B$9),"")</f>
        <v>0.00159481271566342</v>
      </c>
    </row>
    <row r="564" customFormat="false" ht="15" hidden="false" customHeight="false" outlineLevel="0" collapsed="false">
      <c r="A564" s="7" t="s">
        <v>588</v>
      </c>
      <c r="B564" s="8" t="n">
        <v>98.753347</v>
      </c>
      <c r="C564" s="9" t="n">
        <f aca="false">IF(AND(ISNUMBER(B564),ISNUMBER(B563),B563&lt;&gt;0),B564/B563-1,"")</f>
        <v>-0.000646921306491355</v>
      </c>
      <c r="D564" s="9" t="n">
        <f aca="false">IF(ISNUMBER(C564),ABS(C564-BTC_Fit!$B$9),"")</f>
        <v>0.000637558046207243</v>
      </c>
    </row>
    <row r="565" customFormat="false" ht="15" hidden="false" customHeight="false" outlineLevel="0" collapsed="false">
      <c r="A565" s="7" t="s">
        <v>589</v>
      </c>
      <c r="B565" s="8" t="n">
        <v>98.856633</v>
      </c>
      <c r="C565" s="9" t="n">
        <f aca="false">IF(AND(ISNUMBER(B565),ISNUMBER(B564),B564&lt;&gt;0),B565/B564-1,"")</f>
        <v>0.00104589872786787</v>
      </c>
      <c r="D565" s="9" t="n">
        <f aca="false">IF(ISNUMBER(C565),ABS(C565-BTC_Fit!$B$9),"")</f>
        <v>0.00105526198815198</v>
      </c>
    </row>
    <row r="566" customFormat="false" ht="15" hidden="false" customHeight="false" outlineLevel="0" collapsed="false">
      <c r="A566" s="7" t="s">
        <v>590</v>
      </c>
      <c r="B566" s="8" t="n">
        <v>98.885267</v>
      </c>
      <c r="C566" s="9" t="n">
        <f aca="false">IF(AND(ISNUMBER(B566),ISNUMBER(B565),B565&lt;&gt;0),B566/B565-1,"")</f>
        <v>0.000289651782900524</v>
      </c>
      <c r="D566" s="9" t="n">
        <f aca="false">IF(ISNUMBER(C566),ABS(C566-BTC_Fit!$B$9),"")</f>
        <v>0.000299015043184636</v>
      </c>
    </row>
    <row r="567" customFormat="false" ht="15" hidden="false" customHeight="false" outlineLevel="0" collapsed="false">
      <c r="A567" s="7" t="s">
        <v>591</v>
      </c>
      <c r="B567" s="8" t="n">
        <v>98.916793</v>
      </c>
      <c r="C567" s="9" t="n">
        <f aca="false">IF(AND(ISNUMBER(B567),ISNUMBER(B566),B566&lt;&gt;0),B567/B566-1,"")</f>
        <v>0.000318813924019556</v>
      </c>
      <c r="D567" s="9" t="n">
        <f aca="false">IF(ISNUMBER(C567),ABS(C567-BTC_Fit!$B$9),"")</f>
        <v>0.000328177184303669</v>
      </c>
    </row>
    <row r="568" customFormat="false" ht="15" hidden="false" customHeight="false" outlineLevel="0" collapsed="false">
      <c r="A568" s="7" t="s">
        <v>592</v>
      </c>
      <c r="B568" s="8" t="n">
        <v>98.95384</v>
      </c>
      <c r="C568" s="9" t="n">
        <f aca="false">IF(AND(ISNUMBER(B568),ISNUMBER(B567),B567&lt;&gt;0),B568/B567-1,"")</f>
        <v>0.000374526901615102</v>
      </c>
      <c r="D568" s="9" t="n">
        <f aca="false">IF(ISNUMBER(C568),ABS(C568-BTC_Fit!$B$9),"")</f>
        <v>0.000383890161899214</v>
      </c>
    </row>
    <row r="569" customFormat="false" ht="15" hidden="false" customHeight="false" outlineLevel="0" collapsed="false">
      <c r="A569" s="7" t="s">
        <v>593</v>
      </c>
      <c r="B569" s="8" t="n">
        <v>99.02029</v>
      </c>
      <c r="C569" s="9" t="n">
        <f aca="false">IF(AND(ISNUMBER(B569),ISNUMBER(B568),B568&lt;&gt;0),B569/B568-1,"")</f>
        <v>0.000671525228328695</v>
      </c>
      <c r="D569" s="9" t="n">
        <f aca="false">IF(ISNUMBER(C569),ABS(C569-BTC_Fit!$B$9),"")</f>
        <v>0.000680888488612808</v>
      </c>
    </row>
    <row r="570" customFormat="false" ht="15" hidden="false" customHeight="false" outlineLevel="0" collapsed="false">
      <c r="A570" s="7" t="s">
        <v>594</v>
      </c>
      <c r="B570" s="8" t="n">
        <v>98.828481</v>
      </c>
      <c r="C570" s="9" t="n">
        <f aca="false">IF(AND(ISNUMBER(B570),ISNUMBER(B569),B569&lt;&gt;0),B570/B569-1,"")</f>
        <v>-0.00193706764542911</v>
      </c>
      <c r="D570" s="9" t="n">
        <f aca="false">IF(ISNUMBER(C570),ABS(C570-BTC_Fit!$B$9),"")</f>
        <v>0.001927704385145</v>
      </c>
    </row>
    <row r="571" customFormat="false" ht="15" hidden="false" customHeight="false" outlineLevel="0" collapsed="false">
      <c r="A571" s="7" t="s">
        <v>595</v>
      </c>
      <c r="B571" s="8" t="n">
        <v>98.80088</v>
      </c>
      <c r="C571" s="9" t="n">
        <f aca="false">IF(AND(ISNUMBER(B571),ISNUMBER(B570),B570&lt;&gt;0),B571/B570-1,"")</f>
        <v>-0.000279281839816958</v>
      </c>
      <c r="D571" s="9" t="n">
        <f aca="false">IF(ISNUMBER(C571),ABS(C571-BTC_Fit!$B$9),"")</f>
        <v>0.000269918579532846</v>
      </c>
    </row>
    <row r="572" customFormat="false" ht="15" hidden="false" customHeight="false" outlineLevel="0" collapsed="false">
      <c r="A572" s="7" t="s">
        <v>596</v>
      </c>
      <c r="B572" s="8" t="n">
        <v>98.808203</v>
      </c>
      <c r="C572" s="9" t="n">
        <f aca="false">IF(AND(ISNUMBER(B572),ISNUMBER(B571),B571&lt;&gt;0),B572/B571-1,"")</f>
        <v>7.41187730310955E-005</v>
      </c>
      <c r="D572" s="9" t="n">
        <f aca="false">IF(ISNUMBER(C572),ABS(C572-BTC_Fit!$B$9),"")</f>
        <v>8.34820333152075E-005</v>
      </c>
    </row>
    <row r="573" customFormat="false" ht="15" hidden="false" customHeight="false" outlineLevel="0" collapsed="false">
      <c r="A573" s="7" t="s">
        <v>597</v>
      </c>
      <c r="B573" s="8" t="n">
        <v>98.773502</v>
      </c>
      <c r="C573" s="9" t="n">
        <f aca="false">IF(AND(ISNUMBER(B573),ISNUMBER(B572),B572&lt;&gt;0),B573/B572-1,"")</f>
        <v>-0.000351195537884763</v>
      </c>
      <c r="D573" s="9" t="n">
        <f aca="false">IF(ISNUMBER(C573),ABS(C573-BTC_Fit!$B$9),"")</f>
        <v>0.000341832277600651</v>
      </c>
    </row>
    <row r="574" customFormat="false" ht="15" hidden="false" customHeight="false" outlineLevel="0" collapsed="false">
      <c r="A574" s="7" t="s">
        <v>598</v>
      </c>
      <c r="B574" s="8" t="n">
        <v>98.877317</v>
      </c>
      <c r="C574" s="9" t="n">
        <f aca="false">IF(AND(ISNUMBER(B574),ISNUMBER(B573),B573&lt;&gt;0),B574/B573-1,"")</f>
        <v>0.0010510409968052</v>
      </c>
      <c r="D574" s="9" t="n">
        <f aca="false">IF(ISNUMBER(C574),ABS(C574-BTC_Fit!$B$9),"")</f>
        <v>0.00106040425708931</v>
      </c>
    </row>
    <row r="575" customFormat="false" ht="15" hidden="false" customHeight="false" outlineLevel="0" collapsed="false">
      <c r="A575" s="7" t="s">
        <v>599</v>
      </c>
      <c r="B575" s="8" t="n">
        <v>98.87416</v>
      </c>
      <c r="C575" s="9" t="n">
        <f aca="false">IF(AND(ISNUMBER(B575),ISNUMBER(B574),B574&lt;&gt;0),B575/B574-1,"")</f>
        <v>-3.19284553402799E-005</v>
      </c>
      <c r="D575" s="9" t="n">
        <f aca="false">IF(ISNUMBER(C575),ABS(C575-BTC_Fit!$B$9),"")</f>
        <v>2.25651950561678E-005</v>
      </c>
    </row>
    <row r="576" customFormat="false" ht="15" hidden="false" customHeight="false" outlineLevel="0" collapsed="false">
      <c r="A576" s="7" t="s">
        <v>600</v>
      </c>
      <c r="B576" s="8" t="n">
        <v>98.942732</v>
      </c>
      <c r="C576" s="9" t="n">
        <f aca="false">IF(AND(ISNUMBER(B576),ISNUMBER(B575),B575&lt;&gt;0),B576/B575-1,"")</f>
        <v>0.000693528015813349</v>
      </c>
      <c r="D576" s="9" t="n">
        <f aca="false">IF(ISNUMBER(C576),ABS(C576-BTC_Fit!$B$9),"")</f>
        <v>0.000702891276097462</v>
      </c>
    </row>
    <row r="577" customFormat="false" ht="15" hidden="false" customHeight="false" outlineLevel="0" collapsed="false">
      <c r="A577" s="7" t="s">
        <v>601</v>
      </c>
      <c r="B577" s="8" t="n">
        <v>99.051148</v>
      </c>
      <c r="C577" s="9" t="n">
        <f aca="false">IF(AND(ISNUMBER(B577),ISNUMBER(B576),B576&lt;&gt;0),B577/B576-1,"")</f>
        <v>0.00109574496083242</v>
      </c>
      <c r="D577" s="9" t="n">
        <f aca="false">IF(ISNUMBER(C577),ABS(C577-BTC_Fit!$B$9),"")</f>
        <v>0.00110510822111654</v>
      </c>
    </row>
    <row r="578" customFormat="false" ht="15" hidden="false" customHeight="false" outlineLevel="0" collapsed="false">
      <c r="A578" s="7" t="s">
        <v>602</v>
      </c>
      <c r="B578" s="8" t="n">
        <v>99.052007</v>
      </c>
      <c r="C578" s="9" t="n">
        <f aca="false">IF(AND(ISNUMBER(B578),ISNUMBER(B577),B577&lt;&gt;0),B578/B577-1,"")</f>
        <v>8.67228717038593E-006</v>
      </c>
      <c r="D578" s="9" t="n">
        <f aca="false">IF(ISNUMBER(C578),ABS(C578-BTC_Fit!$B$9),"")</f>
        <v>1.8035547454498E-005</v>
      </c>
    </row>
    <row r="579" customFormat="false" ht="15" hidden="false" customHeight="false" outlineLevel="0" collapsed="false">
      <c r="A579" s="7" t="s">
        <v>603</v>
      </c>
      <c r="B579" s="8" t="n">
        <v>99.204433</v>
      </c>
      <c r="C579" s="9" t="n">
        <f aca="false">IF(AND(ISNUMBER(B579),ISNUMBER(B578),B578&lt;&gt;0),B579/B578-1,"")</f>
        <v>0.00153884817296013</v>
      </c>
      <c r="D579" s="9" t="n">
        <f aca="false">IF(ISNUMBER(C579),ABS(C579-BTC_Fit!$B$9),"")</f>
        <v>0.00154821143324424</v>
      </c>
    </row>
    <row r="580" customFormat="false" ht="15" hidden="false" customHeight="false" outlineLevel="0" collapsed="false">
      <c r="A580" s="7" t="s">
        <v>604</v>
      </c>
      <c r="B580" s="8" t="n">
        <v>99.221527</v>
      </c>
      <c r="C580" s="9" t="n">
        <f aca="false">IF(AND(ISNUMBER(B580),ISNUMBER(B579),B579&lt;&gt;0),B580/B579-1,"")</f>
        <v>0.000172310848246093</v>
      </c>
      <c r="D580" s="9" t="n">
        <f aca="false">IF(ISNUMBER(C580),ABS(C580-BTC_Fit!$B$9),"")</f>
        <v>0.000181674108530205</v>
      </c>
    </row>
    <row r="581" customFormat="false" ht="15" hidden="false" customHeight="false" outlineLevel="0" collapsed="false">
      <c r="A581" s="7" t="s">
        <v>605</v>
      </c>
      <c r="B581" s="8" t="n">
        <v>99.329205</v>
      </c>
      <c r="C581" s="9" t="n">
        <f aca="false">IF(AND(ISNUMBER(B581),ISNUMBER(B580),B580&lt;&gt;0),B581/B580-1,"")</f>
        <v>0.00108522820859225</v>
      </c>
      <c r="D581" s="9" t="n">
        <f aca="false">IF(ISNUMBER(C581),ABS(C581-BTC_Fit!$B$9),"")</f>
        <v>0.00109459146887636</v>
      </c>
    </row>
    <row r="582" customFormat="false" ht="15" hidden="false" customHeight="false" outlineLevel="0" collapsed="false">
      <c r="A582" s="7" t="s">
        <v>606</v>
      </c>
      <c r="B582" s="8" t="n">
        <v>99.294883</v>
      </c>
      <c r="C582" s="9" t="n">
        <f aca="false">IF(AND(ISNUMBER(B582),ISNUMBER(B581),B581&lt;&gt;0),B582/B581-1,"")</f>
        <v>-0.000345537850625077</v>
      </c>
      <c r="D582" s="9" t="n">
        <f aca="false">IF(ISNUMBER(C582),ABS(C582-BTC_Fit!$B$9),"")</f>
        <v>0.000336174590340965</v>
      </c>
    </row>
    <row r="583" customFormat="false" ht="15" hidden="false" customHeight="false" outlineLevel="0" collapsed="false">
      <c r="A583" s="7" t="s">
        <v>607</v>
      </c>
      <c r="B583" s="8" t="n">
        <v>99.294672</v>
      </c>
      <c r="C583" s="9" t="n">
        <f aca="false">IF(AND(ISNUMBER(B583),ISNUMBER(B582),B582&lt;&gt;0),B583/B582-1,"")</f>
        <v>-2.12498362073266E-006</v>
      </c>
      <c r="D583" s="9" t="n">
        <f aca="false">IF(ISNUMBER(C583),ABS(C583-BTC_Fit!$B$9),"")</f>
        <v>7.2382766633794E-006</v>
      </c>
    </row>
    <row r="584" customFormat="false" ht="15" hidden="false" customHeight="false" outlineLevel="0" collapsed="false">
      <c r="A584" s="7" t="s">
        <v>608</v>
      </c>
      <c r="B584" s="8" t="n">
        <v>99.30047</v>
      </c>
      <c r="C584" s="9" t="n">
        <f aca="false">IF(AND(ISNUMBER(B584),ISNUMBER(B583),B583&lt;&gt;0),B584/B583-1,"")</f>
        <v>5.83918540966177E-005</v>
      </c>
      <c r="D584" s="9" t="n">
        <f aca="false">IF(ISNUMBER(C584),ABS(C584-BTC_Fit!$B$9),"")</f>
        <v>6.77551143807298E-005</v>
      </c>
    </row>
    <row r="585" customFormat="false" ht="15" hidden="false" customHeight="false" outlineLevel="0" collapsed="false">
      <c r="A585" s="7" t="s">
        <v>609</v>
      </c>
      <c r="B585" s="8" t="n">
        <v>99.160977</v>
      </c>
      <c r="C585" s="9" t="n">
        <f aca="false">IF(AND(ISNUMBER(B585),ISNUMBER(B584),B584&lt;&gt;0),B585/B584-1,"")</f>
        <v>-0.00140475669450513</v>
      </c>
      <c r="D585" s="9" t="n">
        <f aca="false">IF(ISNUMBER(C585),ABS(C585-BTC_Fit!$B$9),"")</f>
        <v>0.00139539343422102</v>
      </c>
    </row>
    <row r="586" customFormat="false" ht="15" hidden="false" customHeight="false" outlineLevel="0" collapsed="false">
      <c r="A586" s="7" t="s">
        <v>610</v>
      </c>
      <c r="B586" s="8" t="n">
        <v>99.140739</v>
      </c>
      <c r="C586" s="9" t="n">
        <f aca="false">IF(AND(ISNUMBER(B586),ISNUMBER(B585),B585&lt;&gt;0),B586/B585-1,"")</f>
        <v>-0.000204092382026566</v>
      </c>
      <c r="D586" s="9" t="n">
        <f aca="false">IF(ISNUMBER(C586),ABS(C586-BTC_Fit!$B$9),"")</f>
        <v>0.000194729121742454</v>
      </c>
    </row>
    <row r="587" customFormat="false" ht="15" hidden="false" customHeight="false" outlineLevel="0" collapsed="false">
      <c r="A587" s="7" t="s">
        <v>611</v>
      </c>
      <c r="B587" s="8" t="n">
        <v>99.301333</v>
      </c>
      <c r="C587" s="9" t="n">
        <f aca="false">IF(AND(ISNUMBER(B587),ISNUMBER(B586),B586&lt;&gt;0),B587/B586-1,"")</f>
        <v>0.00161985881505289</v>
      </c>
      <c r="D587" s="9" t="n">
        <f aca="false">IF(ISNUMBER(C587),ABS(C587-BTC_Fit!$B$9),"")</f>
        <v>0.001629222075337</v>
      </c>
    </row>
    <row r="588" customFormat="false" ht="15" hidden="false" customHeight="false" outlineLevel="0" collapsed="false">
      <c r="A588" s="7" t="s">
        <v>612</v>
      </c>
      <c r="B588" s="8" t="n">
        <v>99.328444</v>
      </c>
      <c r="C588" s="9" t="n">
        <f aca="false">IF(AND(ISNUMBER(B588),ISNUMBER(B587),B587&lt;&gt;0),B588/B587-1,"")</f>
        <v>0.000273017483058302</v>
      </c>
      <c r="D588" s="9" t="n">
        <f aca="false">IF(ISNUMBER(C588),ABS(C588-BTC_Fit!$B$9),"")</f>
        <v>0.000282380743342414</v>
      </c>
    </row>
    <row r="589" customFormat="false" ht="15" hidden="false" customHeight="false" outlineLevel="0" collapsed="false">
      <c r="A589" s="7" t="s">
        <v>613</v>
      </c>
      <c r="B589" s="8" t="n">
        <v>99.235866</v>
      </c>
      <c r="C589" s="9" t="n">
        <f aca="false">IF(AND(ISNUMBER(B589),ISNUMBER(B588),B588&lt;&gt;0),B589/B588-1,"")</f>
        <v>-0.000932039164934451</v>
      </c>
      <c r="D589" s="9" t="n">
        <f aca="false">IF(ISNUMBER(C589),ABS(C589-BTC_Fit!$B$9),"")</f>
        <v>0.000922675904650339</v>
      </c>
    </row>
    <row r="590" customFormat="false" ht="15" hidden="false" customHeight="false" outlineLevel="0" collapsed="false">
      <c r="A590" s="7" t="s">
        <v>614</v>
      </c>
      <c r="B590" s="8" t="n">
        <v>99.201121</v>
      </c>
      <c r="C590" s="9" t="n">
        <f aca="false">IF(AND(ISNUMBER(B590),ISNUMBER(B589),B589&lt;&gt;0),B590/B589-1,"")</f>
        <v>-0.000350125427433623</v>
      </c>
      <c r="D590" s="9" t="n">
        <f aca="false">IF(ISNUMBER(C590),ABS(C590-BTC_Fit!$B$9),"")</f>
        <v>0.000340762167149511</v>
      </c>
    </row>
    <row r="591" customFormat="false" ht="15" hidden="false" customHeight="false" outlineLevel="0" collapsed="false">
      <c r="A591" s="7" t="s">
        <v>615</v>
      </c>
      <c r="B591" s="8" t="n">
        <v>99.115484</v>
      </c>
      <c r="C591" s="9" t="n">
        <f aca="false">IF(AND(ISNUMBER(B591),ISNUMBER(B590),B590&lt;&gt;0),B591/B590-1,"")</f>
        <v>-0.000863266454418477</v>
      </c>
      <c r="D591" s="9" t="n">
        <f aca="false">IF(ISNUMBER(C591),ABS(C591-BTC_Fit!$B$9),"")</f>
        <v>0.000853903194134364</v>
      </c>
    </row>
    <row r="592" customFormat="false" ht="15" hidden="false" customHeight="false" outlineLevel="0" collapsed="false">
      <c r="A592" s="7" t="s">
        <v>616</v>
      </c>
      <c r="B592" s="8" t="n">
        <v>98.847619</v>
      </c>
      <c r="C592" s="9" t="n">
        <f aca="false">IF(AND(ISNUMBER(B592),ISNUMBER(B591),B591&lt;&gt;0),B592/B591-1,"")</f>
        <v>-0.00270255452720181</v>
      </c>
      <c r="D592" s="9" t="n">
        <f aca="false">IF(ISNUMBER(C592),ABS(C592-BTC_Fit!$B$9),"")</f>
        <v>0.00269319126691769</v>
      </c>
    </row>
    <row r="593" customFormat="false" ht="15" hidden="false" customHeight="false" outlineLevel="0" collapsed="false">
      <c r="A593" s="7" t="s">
        <v>617</v>
      </c>
      <c r="B593" s="8" t="n">
        <v>99.01936</v>
      </c>
      <c r="C593" s="9" t="n">
        <f aca="false">IF(AND(ISNUMBER(B593),ISNUMBER(B592),B592&lt;&gt;0),B593/B592-1,"")</f>
        <v>0.00173743183434705</v>
      </c>
      <c r="D593" s="9" t="n">
        <f aca="false">IF(ISNUMBER(C593),ABS(C593-BTC_Fit!$B$9),"")</f>
        <v>0.00174679509463116</v>
      </c>
    </row>
    <row r="594" customFormat="false" ht="15" hidden="false" customHeight="false" outlineLevel="0" collapsed="false">
      <c r="A594" s="7" t="s">
        <v>618</v>
      </c>
      <c r="B594" s="8" t="n">
        <v>99.009615</v>
      </c>
      <c r="C594" s="9" t="n">
        <f aca="false">IF(AND(ISNUMBER(B594),ISNUMBER(B593),B593&lt;&gt;0),B594/B593-1,"")</f>
        <v>-9.84150978152742E-005</v>
      </c>
      <c r="D594" s="9" t="n">
        <f aca="false">IF(ISNUMBER(C594),ABS(C594-BTC_Fit!$B$9),"")</f>
        <v>8.90518375311622E-005</v>
      </c>
    </row>
    <row r="595" customFormat="false" ht="15" hidden="false" customHeight="false" outlineLevel="0" collapsed="false">
      <c r="A595" s="7" t="s">
        <v>619</v>
      </c>
      <c r="B595" s="8" t="n">
        <v>98.966306</v>
      </c>
      <c r="C595" s="9" t="n">
        <f aca="false">IF(AND(ISNUMBER(B595),ISNUMBER(B594),B594&lt;&gt;0),B595/B594-1,"")</f>
        <v>-0.00043742216349385</v>
      </c>
      <c r="D595" s="9" t="n">
        <f aca="false">IF(ISNUMBER(C595),ABS(C595-BTC_Fit!$B$9),"")</f>
        <v>0.000428058903209738</v>
      </c>
    </row>
    <row r="596" customFormat="false" ht="15" hidden="false" customHeight="false" outlineLevel="0" collapsed="false">
      <c r="A596" s="7" t="s">
        <v>620</v>
      </c>
      <c r="B596" s="8" t="n">
        <v>98.985843</v>
      </c>
      <c r="C596" s="9" t="n">
        <f aca="false">IF(AND(ISNUMBER(B596),ISNUMBER(B595),B595&lt;&gt;0),B596/B595-1,"")</f>
        <v>0.000197410621752381</v>
      </c>
      <c r="D596" s="9" t="n">
        <f aca="false">IF(ISNUMBER(C596),ABS(C596-BTC_Fit!$B$9),"")</f>
        <v>0.000206773882036493</v>
      </c>
    </row>
    <row r="597" customFormat="false" ht="15" hidden="false" customHeight="false" outlineLevel="0" collapsed="false">
      <c r="A597" s="7" t="s">
        <v>621</v>
      </c>
      <c r="B597" s="8" t="n">
        <v>98.609471</v>
      </c>
      <c r="C597" s="9" t="n">
        <f aca="false">IF(AND(ISNUMBER(B597),ISNUMBER(B596),B596&lt;&gt;0),B597/B596-1,"")</f>
        <v>-0.00380228109993475</v>
      </c>
      <c r="D597" s="9" t="n">
        <f aca="false">IF(ISNUMBER(C597),ABS(C597-BTC_Fit!$B$9),"")</f>
        <v>0.00379291783965063</v>
      </c>
    </row>
    <row r="598" customFormat="false" ht="15" hidden="false" customHeight="false" outlineLevel="0" collapsed="false">
      <c r="A598" s="7" t="s">
        <v>622</v>
      </c>
      <c r="B598" s="8" t="n">
        <v>98.557384</v>
      </c>
      <c r="C598" s="9" t="n">
        <f aca="false">IF(AND(ISNUMBER(B598),ISNUMBER(B597),B597&lt;&gt;0),B598/B597-1,"")</f>
        <v>-0.000528214982514208</v>
      </c>
      <c r="D598" s="9" t="n">
        <f aca="false">IF(ISNUMBER(C598),ABS(C598-BTC_Fit!$B$9),"")</f>
        <v>0.000518851722230096</v>
      </c>
    </row>
    <row r="599" customFormat="false" ht="15" hidden="false" customHeight="false" outlineLevel="0" collapsed="false">
      <c r="A599" s="7" t="s">
        <v>623</v>
      </c>
      <c r="B599" s="8" t="n">
        <v>98.603597</v>
      </c>
      <c r="C599" s="9" t="n">
        <f aca="false">IF(AND(ISNUMBER(B599),ISNUMBER(B598),B598&lt;&gt;0),B599/B598-1,"")</f>
        <v>0.000468894344841653</v>
      </c>
      <c r="D599" s="9" t="n">
        <f aca="false">IF(ISNUMBER(C599),ABS(C599-BTC_Fit!$B$9),"")</f>
        <v>0.000478257605125765</v>
      </c>
    </row>
    <row r="600" customFormat="false" ht="15" hidden="false" customHeight="false" outlineLevel="0" collapsed="false">
      <c r="A600" s="7" t="s">
        <v>624</v>
      </c>
      <c r="B600" s="8" t="n">
        <v>98.631227</v>
      </c>
      <c r="C600" s="9" t="n">
        <f aca="false">IF(AND(ISNUMBER(B600),ISNUMBER(B599),B599&lt;&gt;0),B600/B599-1,"")</f>
        <v>0.000280212901361043</v>
      </c>
      <c r="D600" s="9" t="n">
        <f aca="false">IF(ISNUMBER(C600),ABS(C600-BTC_Fit!$B$9),"")</f>
        <v>0.000289576161645155</v>
      </c>
    </row>
    <row r="601" customFormat="false" ht="15" hidden="false" customHeight="false" outlineLevel="0" collapsed="false">
      <c r="A601" s="7" t="s">
        <v>625</v>
      </c>
      <c r="B601" s="8" t="n">
        <v>98.925361</v>
      </c>
      <c r="C601" s="9" t="n">
        <f aca="false">IF(AND(ISNUMBER(B601),ISNUMBER(B600),B600&lt;&gt;0),B601/B600-1,"")</f>
        <v>0.00298215898703158</v>
      </c>
      <c r="D601" s="9" t="n">
        <f aca="false">IF(ISNUMBER(C601),ABS(C601-BTC_Fit!$B$9),"")</f>
        <v>0.00299152224731569</v>
      </c>
    </row>
    <row r="602" customFormat="false" ht="15" hidden="false" customHeight="false" outlineLevel="0" collapsed="false">
      <c r="A602" s="7" t="s">
        <v>626</v>
      </c>
      <c r="B602" s="8" t="n">
        <v>98.949879</v>
      </c>
      <c r="C602" s="9" t="n">
        <f aca="false">IF(AND(ISNUMBER(B602),ISNUMBER(B601),B601&lt;&gt;0),B602/B601-1,"")</f>
        <v>0.000247843422072513</v>
      </c>
      <c r="D602" s="9" t="n">
        <f aca="false">IF(ISNUMBER(C602),ABS(C602-BTC_Fit!$B$9),"")</f>
        <v>0.000257206682356625</v>
      </c>
    </row>
    <row r="603" customFormat="false" ht="15" hidden="false" customHeight="false" outlineLevel="0" collapsed="false">
      <c r="A603" s="7" t="s">
        <v>627</v>
      </c>
      <c r="B603" s="8" t="n">
        <v>98.945779</v>
      </c>
      <c r="C603" s="9" t="n">
        <f aca="false">IF(AND(ISNUMBER(B603),ISNUMBER(B602),B602&lt;&gt;0),B603/B602-1,"")</f>
        <v>-4.14351188847695E-005</v>
      </c>
      <c r="D603" s="9" t="n">
        <f aca="false">IF(ISNUMBER(C603),ABS(C603-BTC_Fit!$B$9),"")</f>
        <v>3.20718586006574E-005</v>
      </c>
    </row>
    <row r="604" customFormat="false" ht="15" hidden="false" customHeight="false" outlineLevel="0" collapsed="false">
      <c r="A604" s="7" t="s">
        <v>628</v>
      </c>
      <c r="B604" s="8" t="n">
        <v>99.011673</v>
      </c>
      <c r="C604" s="9" t="n">
        <f aca="false">IF(AND(ISNUMBER(B604),ISNUMBER(B603),B603&lt;&gt;0),B604/B603-1,"")</f>
        <v>0.000665960697525003</v>
      </c>
      <c r="D604" s="9" t="n">
        <f aca="false">IF(ISNUMBER(C604),ABS(C604-BTC_Fit!$B$9),"")</f>
        <v>0.000675323957809115</v>
      </c>
    </row>
    <row r="605" customFormat="false" ht="15" hidden="false" customHeight="false" outlineLevel="0" collapsed="false">
      <c r="A605" s="7" t="s">
        <v>629</v>
      </c>
      <c r="B605" s="8" t="n">
        <v>99.158107</v>
      </c>
      <c r="C605" s="9" t="n">
        <f aca="false">IF(AND(ISNUMBER(B605),ISNUMBER(B604),B604&lt;&gt;0),B605/B604-1,"")</f>
        <v>0.00147895693066413</v>
      </c>
      <c r="D605" s="9" t="n">
        <f aca="false">IF(ISNUMBER(C605),ABS(C605-BTC_Fit!$B$9),"")</f>
        <v>0.00148832019094824</v>
      </c>
    </row>
    <row r="606" customFormat="false" ht="15" hidden="false" customHeight="false" outlineLevel="0" collapsed="false">
      <c r="A606" s="7" t="s">
        <v>630</v>
      </c>
      <c r="B606" s="8" t="n">
        <v>99.210074</v>
      </c>
      <c r="C606" s="9" t="n">
        <f aca="false">IF(AND(ISNUMBER(B606),ISNUMBER(B605),B605&lt;&gt;0),B606/B605-1,"")</f>
        <v>0.000524082211452503</v>
      </c>
      <c r="D606" s="9" t="n">
        <f aca="false">IF(ISNUMBER(C606),ABS(C606-BTC_Fit!$B$9),"")</f>
        <v>0.000533445471736616</v>
      </c>
    </row>
    <row r="607" customFormat="false" ht="15" hidden="false" customHeight="false" outlineLevel="0" collapsed="false">
      <c r="A607" s="7" t="s">
        <v>631</v>
      </c>
      <c r="B607" s="8" t="n">
        <v>99.443066</v>
      </c>
      <c r="C607" s="9" t="n">
        <f aca="false">IF(AND(ISNUMBER(B607),ISNUMBER(B606),B606&lt;&gt;0),B607/B606-1,"")</f>
        <v>0.00234847118448878</v>
      </c>
      <c r="D607" s="9" t="n">
        <f aca="false">IF(ISNUMBER(C607),ABS(C607-BTC_Fit!$B$9),"")</f>
        <v>0.00235783444477289</v>
      </c>
    </row>
    <row r="608" customFormat="false" ht="15" hidden="false" customHeight="false" outlineLevel="0" collapsed="false">
      <c r="A608" s="7" t="s">
        <v>632</v>
      </c>
      <c r="B608" s="8" t="n">
        <v>99.517362</v>
      </c>
      <c r="C608" s="9" t="n">
        <f aca="false">IF(AND(ISNUMBER(B608),ISNUMBER(B607),B607&lt;&gt;0),B608/B607-1,"")</f>
        <v>0.00074712097070706</v>
      </c>
      <c r="D608" s="9" t="n">
        <f aca="false">IF(ISNUMBER(C608),ABS(C608-BTC_Fit!$B$9),"")</f>
        <v>0.000756484230991172</v>
      </c>
    </row>
    <row r="609" customFormat="false" ht="15" hidden="false" customHeight="false" outlineLevel="0" collapsed="false">
      <c r="A609" s="7" t="s">
        <v>633</v>
      </c>
      <c r="B609" s="8" t="n">
        <v>99.635836</v>
      </c>
      <c r="C609" s="9" t="n">
        <f aca="false">IF(AND(ISNUMBER(B609),ISNUMBER(B608),B608&lt;&gt;0),B609/B608-1,"")</f>
        <v>0.00119048573654901</v>
      </c>
      <c r="D609" s="9" t="n">
        <f aca="false">IF(ISNUMBER(C609),ABS(C609-BTC_Fit!$B$9),"")</f>
        <v>0.00119984899683312</v>
      </c>
    </row>
    <row r="610" customFormat="false" ht="15" hidden="false" customHeight="false" outlineLevel="0" collapsed="false">
      <c r="A610" s="7" t="s">
        <v>634</v>
      </c>
      <c r="B610" s="8" t="n">
        <v>99.503346</v>
      </c>
      <c r="C610" s="9" t="n">
        <f aca="false">IF(AND(ISNUMBER(B610),ISNUMBER(B609),B609&lt;&gt;0),B610/B609-1,"")</f>
        <v>-0.00132974244327111</v>
      </c>
      <c r="D610" s="9" t="n">
        <f aca="false">IF(ISNUMBER(C610),ABS(C610-BTC_Fit!$B$9),"")</f>
        <v>0.001320379182987</v>
      </c>
    </row>
    <row r="611" customFormat="false" ht="15" hidden="false" customHeight="false" outlineLevel="0" collapsed="false">
      <c r="A611" s="7" t="s">
        <v>635</v>
      </c>
      <c r="B611" s="8" t="n">
        <v>99.559331</v>
      </c>
      <c r="C611" s="9" t="n">
        <f aca="false">IF(AND(ISNUMBER(B611),ISNUMBER(B610),B610&lt;&gt;0),B611/B610-1,"")</f>
        <v>0.000562644395898149</v>
      </c>
      <c r="D611" s="9" t="n">
        <f aca="false">IF(ISNUMBER(C611),ABS(C611-BTC_Fit!$B$9),"")</f>
        <v>0.000572007656182261</v>
      </c>
    </row>
    <row r="612" customFormat="false" ht="15" hidden="false" customHeight="false" outlineLevel="0" collapsed="false">
      <c r="A612" s="7" t="s">
        <v>636</v>
      </c>
      <c r="B612" s="8" t="n">
        <v>99.547895</v>
      </c>
      <c r="C612" s="9" t="n">
        <f aca="false">IF(AND(ISNUMBER(B612),ISNUMBER(B611),B611&lt;&gt;0),B612/B611-1,"")</f>
        <v>-0.000114866179645179</v>
      </c>
      <c r="D612" s="9" t="n">
        <f aca="false">IF(ISNUMBER(C612),ABS(C612-BTC_Fit!$B$9),"")</f>
        <v>0.000105502919361067</v>
      </c>
    </row>
    <row r="613" customFormat="false" ht="15" hidden="false" customHeight="false" outlineLevel="0" collapsed="false">
      <c r="A613" s="7" t="s">
        <v>637</v>
      </c>
      <c r="B613" s="8" t="n">
        <v>99.557955</v>
      </c>
      <c r="C613" s="9" t="n">
        <f aca="false">IF(AND(ISNUMBER(B613),ISNUMBER(B612),B612&lt;&gt;0),B613/B612-1,"")</f>
        <v>0.000101056883222039</v>
      </c>
      <c r="D613" s="9" t="n">
        <f aca="false">IF(ISNUMBER(C613),ABS(C613-BTC_Fit!$B$9),"")</f>
        <v>0.000110420143506151</v>
      </c>
    </row>
    <row r="614" customFormat="false" ht="15" hidden="false" customHeight="false" outlineLevel="0" collapsed="false">
      <c r="A614" s="7" t="s">
        <v>638</v>
      </c>
      <c r="B614" s="8" t="n">
        <v>99.59097</v>
      </c>
      <c r="C614" s="9" t="n">
        <f aca="false">IF(AND(ISNUMBER(B614),ISNUMBER(B613),B613&lt;&gt;0),B614/B613-1,"")</f>
        <v>0.000331615891467463</v>
      </c>
      <c r="D614" s="9" t="n">
        <f aca="false">IF(ISNUMBER(C614),ABS(C614-BTC_Fit!$B$9),"")</f>
        <v>0.000340979151751575</v>
      </c>
    </row>
    <row r="615" customFormat="false" ht="15" hidden="false" customHeight="false" outlineLevel="0" collapsed="false">
      <c r="A615" s="7" t="s">
        <v>639</v>
      </c>
      <c r="B615" s="8" t="n">
        <v>99.842591</v>
      </c>
      <c r="C615" s="9" t="n">
        <f aca="false">IF(AND(ISNUMBER(B615),ISNUMBER(B614),B614&lt;&gt;0),B615/B614-1,"")</f>
        <v>0.00252654432424948</v>
      </c>
      <c r="D615" s="9" t="n">
        <f aca="false">IF(ISNUMBER(C615),ABS(C615-BTC_Fit!$B$9),"")</f>
        <v>0.00253590758453359</v>
      </c>
    </row>
    <row r="616" customFormat="false" ht="15" hidden="false" customHeight="false" outlineLevel="0" collapsed="false">
      <c r="A616" s="7" t="s">
        <v>640</v>
      </c>
      <c r="B616" s="8" t="n">
        <v>100.155192</v>
      </c>
      <c r="C616" s="9" t="n">
        <f aca="false">IF(AND(ISNUMBER(B616),ISNUMBER(B615),B615&lt;&gt;0),B616/B615-1,"")</f>
        <v>0.00313093837879275</v>
      </c>
      <c r="D616" s="9" t="n">
        <f aca="false">IF(ISNUMBER(C616),ABS(C616-BTC_Fit!$B$9),"")</f>
        <v>0.00314030163907686</v>
      </c>
    </row>
    <row r="617" customFormat="false" ht="15" hidden="false" customHeight="false" outlineLevel="0" collapsed="false">
      <c r="A617" s="7" t="s">
        <v>641</v>
      </c>
      <c r="B617" s="8" t="n">
        <v>100.105538</v>
      </c>
      <c r="C617" s="9" t="n">
        <f aca="false">IF(AND(ISNUMBER(B617),ISNUMBER(B616),B616&lt;&gt;0),B617/B616-1,"")</f>
        <v>-0.000495770603684775</v>
      </c>
      <c r="D617" s="9" t="n">
        <f aca="false">IF(ISNUMBER(C617),ABS(C617-BTC_Fit!$B$9),"")</f>
        <v>0.000486407343400663</v>
      </c>
    </row>
    <row r="618" customFormat="false" ht="15" hidden="false" customHeight="false" outlineLevel="0" collapsed="false">
      <c r="A618" s="7" t="s">
        <v>642</v>
      </c>
      <c r="B618" s="8" t="n">
        <v>100.162314</v>
      </c>
      <c r="C618" s="9" t="n">
        <f aca="false">IF(AND(ISNUMBER(B618),ISNUMBER(B617),B617&lt;&gt;0),B618/B617-1,"")</f>
        <v>0.000567161429170904</v>
      </c>
      <c r="D618" s="9" t="n">
        <f aca="false">IF(ISNUMBER(C618),ABS(C618-BTC_Fit!$B$9),"")</f>
        <v>0.000576524689455016</v>
      </c>
    </row>
    <row r="619" customFormat="false" ht="15" hidden="false" customHeight="false" outlineLevel="0" collapsed="false">
      <c r="A619" s="7" t="s">
        <v>643</v>
      </c>
      <c r="B619" s="8" t="n">
        <v>100.224793</v>
      </c>
      <c r="C619" s="9" t="n">
        <f aca="false">IF(AND(ISNUMBER(B619),ISNUMBER(B618),B618&lt;&gt;0),B619/B618-1,"")</f>
        <v>0.000623777521753466</v>
      </c>
      <c r="D619" s="9" t="n">
        <f aca="false">IF(ISNUMBER(C619),ABS(C619-BTC_Fit!$B$9),"")</f>
        <v>0.000633140782037578</v>
      </c>
    </row>
    <row r="620" customFormat="false" ht="15" hidden="false" customHeight="false" outlineLevel="0" collapsed="false">
      <c r="A620" s="7" t="s">
        <v>644</v>
      </c>
      <c r="B620" s="8" t="n">
        <v>100.191711</v>
      </c>
      <c r="C620" s="9" t="n">
        <f aca="false">IF(AND(ISNUMBER(B620),ISNUMBER(B619),B619&lt;&gt;0),B620/B619-1,"")</f>
        <v>-0.000330078007744095</v>
      </c>
      <c r="D620" s="9" t="n">
        <f aca="false">IF(ISNUMBER(C620),ABS(C620-BTC_Fit!$B$9),"")</f>
        <v>0.000320714747459983</v>
      </c>
    </row>
    <row r="621" customFormat="false" ht="15" hidden="false" customHeight="false" outlineLevel="0" collapsed="false">
      <c r="A621" s="7" t="s">
        <v>645</v>
      </c>
      <c r="B621" s="8" t="n">
        <v>100.065887</v>
      </c>
      <c r="C621" s="9" t="n">
        <f aca="false">IF(AND(ISNUMBER(B621),ISNUMBER(B620),B620&lt;&gt;0),B621/B620-1,"")</f>
        <v>-0.00125583243108796</v>
      </c>
      <c r="D621" s="9" t="n">
        <f aca="false">IF(ISNUMBER(C621),ABS(C621-BTC_Fit!$B$9),"")</f>
        <v>0.00124646917080384</v>
      </c>
    </row>
    <row r="622" customFormat="false" ht="15" hidden="false" customHeight="false" outlineLevel="0" collapsed="false">
      <c r="A622" s="7" t="s">
        <v>646</v>
      </c>
      <c r="B622" s="8" t="n">
        <v>99.840529</v>
      </c>
      <c r="C622" s="9" t="n">
        <f aca="false">IF(AND(ISNUMBER(B622),ISNUMBER(B621),B621&lt;&gt;0),B622/B621-1,"")</f>
        <v>-0.0022520961614021</v>
      </c>
      <c r="D622" s="9" t="n">
        <f aca="false">IF(ISNUMBER(C622),ABS(C622-BTC_Fit!$B$9),"")</f>
        <v>0.00224273290111798</v>
      </c>
    </row>
    <row r="623" customFormat="false" ht="15" hidden="false" customHeight="false" outlineLevel="0" collapsed="false">
      <c r="A623" s="7" t="s">
        <v>647</v>
      </c>
      <c r="B623" s="8" t="n">
        <v>99.91322</v>
      </c>
      <c r="C623" s="9" t="n">
        <f aca="false">IF(AND(ISNUMBER(B623),ISNUMBER(B622),B622&lt;&gt;0),B623/B622-1,"")</f>
        <v>0.000728071062203517</v>
      </c>
      <c r="D623" s="9" t="n">
        <f aca="false">IF(ISNUMBER(C623),ABS(C623-BTC_Fit!$B$9),"")</f>
        <v>0.000737434322487629</v>
      </c>
    </row>
    <row r="624" customFormat="false" ht="15" hidden="false" customHeight="false" outlineLevel="0" collapsed="false">
      <c r="A624" s="7" t="s">
        <v>648</v>
      </c>
      <c r="B624" s="8" t="n">
        <v>99.911348</v>
      </c>
      <c r="C624" s="9" t="n">
        <f aca="false">IF(AND(ISNUMBER(B624),ISNUMBER(B623),B623&lt;&gt;0),B624/B623-1,"")</f>
        <v>-1.87362593258023E-005</v>
      </c>
      <c r="D624" s="9" t="n">
        <f aca="false">IF(ISNUMBER(C624),ABS(C624-BTC_Fit!$B$9),"")</f>
        <v>9.3729990416902E-006</v>
      </c>
    </row>
    <row r="625" customFormat="false" ht="15" hidden="false" customHeight="false" outlineLevel="0" collapsed="false">
      <c r="A625" s="7" t="s">
        <v>649</v>
      </c>
      <c r="B625" s="8" t="n">
        <v>100.229957</v>
      </c>
      <c r="C625" s="9" t="n">
        <f aca="false">IF(AND(ISNUMBER(B625),ISNUMBER(B624),B624&lt;&gt;0),B625/B624-1,"")</f>
        <v>0.00318891703873314</v>
      </c>
      <c r="D625" s="9" t="n">
        <f aca="false">IF(ISNUMBER(C625),ABS(C625-BTC_Fit!$B$9),"")</f>
        <v>0.00319828029901725</v>
      </c>
    </row>
    <row r="626" customFormat="false" ht="15" hidden="false" customHeight="false" outlineLevel="0" collapsed="false">
      <c r="A626" s="7" t="s">
        <v>650</v>
      </c>
      <c r="B626" s="8" t="n">
        <v>100.223405</v>
      </c>
      <c r="C626" s="9" t="n">
        <f aca="false">IF(AND(ISNUMBER(B626),ISNUMBER(B625),B625&lt;&gt;0),B626/B625-1,"")</f>
        <v>-6.53696778498691E-005</v>
      </c>
      <c r="D626" s="9" t="n">
        <f aca="false">IF(ISNUMBER(C626),ABS(C626-BTC_Fit!$B$9),"")</f>
        <v>5.60064175657571E-005</v>
      </c>
    </row>
    <row r="627" customFormat="false" ht="15" hidden="false" customHeight="false" outlineLevel="0" collapsed="false">
      <c r="A627" s="7" t="s">
        <v>651</v>
      </c>
      <c r="B627" s="8" t="n">
        <v>100.504814</v>
      </c>
      <c r="C627" s="9" t="n">
        <f aca="false">IF(AND(ISNUMBER(B627),ISNUMBER(B626),B626&lt;&gt;0),B627/B626-1,"")</f>
        <v>0.00280781719599332</v>
      </c>
      <c r="D627" s="9" t="n">
        <f aca="false">IF(ISNUMBER(C627),ABS(C627-BTC_Fit!$B$9),"")</f>
        <v>0.00281718045627744</v>
      </c>
    </row>
    <row r="628" customFormat="false" ht="15" hidden="false" customHeight="false" outlineLevel="0" collapsed="false">
      <c r="A628" s="7" t="s">
        <v>652</v>
      </c>
      <c r="B628" s="8" t="n">
        <v>100.487211</v>
      </c>
      <c r="C628" s="9" t="n">
        <f aca="false">IF(AND(ISNUMBER(B628),ISNUMBER(B627),B627&lt;&gt;0),B628/B627-1,"")</f>
        <v>-0.000175145839282798</v>
      </c>
      <c r="D628" s="9" t="n">
        <f aca="false">IF(ISNUMBER(C628),ABS(C628-BTC_Fit!$B$9),"")</f>
        <v>0.000165782578998686</v>
      </c>
    </row>
    <row r="629" customFormat="false" ht="15" hidden="false" customHeight="false" outlineLevel="0" collapsed="false">
      <c r="A629" s="7" t="s">
        <v>653</v>
      </c>
      <c r="B629" s="8" t="n">
        <v>100.567266</v>
      </c>
      <c r="C629" s="9" t="n">
        <f aca="false">IF(AND(ISNUMBER(B629),ISNUMBER(B628),B628&lt;&gt;0),B629/B628-1,"")</f>
        <v>0.000796668543223911</v>
      </c>
      <c r="D629" s="9" t="n">
        <f aca="false">IF(ISNUMBER(C629),ABS(C629-BTC_Fit!$B$9),"")</f>
        <v>0.000806031803508023</v>
      </c>
    </row>
    <row r="630" customFormat="false" ht="15" hidden="false" customHeight="false" outlineLevel="0" collapsed="false">
      <c r="A630" s="7" t="s">
        <v>654</v>
      </c>
      <c r="B630" s="8" t="n">
        <v>100.406693</v>
      </c>
      <c r="C630" s="9" t="n">
        <f aca="false">IF(AND(ISNUMBER(B630),ISNUMBER(B629),B629&lt;&gt;0),B630/B629-1,"")</f>
        <v>-0.00159667261910057</v>
      </c>
      <c r="D630" s="9" t="n">
        <f aca="false">IF(ISNUMBER(C630),ABS(C630-BTC_Fit!$B$9),"")</f>
        <v>0.00158730935881646</v>
      </c>
    </row>
    <row r="631" customFormat="false" ht="15" hidden="false" customHeight="false" outlineLevel="0" collapsed="false">
      <c r="A631" s="7" t="s">
        <v>655</v>
      </c>
      <c r="B631" s="8" t="n">
        <v>100.417317</v>
      </c>
      <c r="C631" s="9" t="n">
        <f aca="false">IF(AND(ISNUMBER(B631),ISNUMBER(B630),B630&lt;&gt;0),B631/B630-1,"")</f>
        <v>0.000105809679440405</v>
      </c>
      <c r="D631" s="9" t="n">
        <f aca="false">IF(ISNUMBER(C631),ABS(C631-BTC_Fit!$B$9),"")</f>
        <v>0.000115172939724517</v>
      </c>
    </row>
    <row r="632" customFormat="false" ht="15" hidden="false" customHeight="false" outlineLevel="0" collapsed="false">
      <c r="A632" s="7" t="s">
        <v>656</v>
      </c>
      <c r="B632" s="8" t="n">
        <v>100.501063</v>
      </c>
      <c r="C632" s="9" t="n">
        <f aca="false">IF(AND(ISNUMBER(B632),ISNUMBER(B631),B631&lt;&gt;0),B632/B631-1,"")</f>
        <v>0.000833979661097661</v>
      </c>
      <c r="D632" s="9" t="n">
        <f aca="false">IF(ISNUMBER(C632),ABS(C632-BTC_Fit!$B$9),"")</f>
        <v>0.000843342921381773</v>
      </c>
    </row>
    <row r="633" customFormat="false" ht="15" hidden="false" customHeight="false" outlineLevel="0" collapsed="false">
      <c r="A633" s="7" t="s">
        <v>657</v>
      </c>
      <c r="B633" s="8" t="n">
        <v>100.6723</v>
      </c>
      <c r="C633" s="9" t="n">
        <f aca="false">IF(AND(ISNUMBER(B633),ISNUMBER(B632),B632&lt;&gt;0),B633/B632-1,"")</f>
        <v>0.00170383272463503</v>
      </c>
      <c r="D633" s="9" t="n">
        <f aca="false">IF(ISNUMBER(C633),ABS(C633-BTC_Fit!$B$9),"")</f>
        <v>0.00171319598491915</v>
      </c>
    </row>
    <row r="634" customFormat="false" ht="15" hidden="false" customHeight="false" outlineLevel="0" collapsed="false">
      <c r="A634" s="7" t="s">
        <v>658</v>
      </c>
      <c r="B634" s="8" t="n">
        <v>100.766177</v>
      </c>
      <c r="C634" s="9" t="n">
        <f aca="false">IF(AND(ISNUMBER(B634),ISNUMBER(B633),B633&lt;&gt;0),B634/B633-1,"")</f>
        <v>0.000932500797140801</v>
      </c>
      <c r="D634" s="9" t="n">
        <f aca="false">IF(ISNUMBER(C634),ABS(C634-BTC_Fit!$B$9),"")</f>
        <v>0.000941864057424913</v>
      </c>
    </row>
    <row r="635" customFormat="false" ht="15" hidden="false" customHeight="false" outlineLevel="0" collapsed="false">
      <c r="A635" s="7" t="s">
        <v>659</v>
      </c>
      <c r="B635" s="8" t="n">
        <v>100.529977</v>
      </c>
      <c r="C635" s="9" t="n">
        <f aca="false">IF(AND(ISNUMBER(B635),ISNUMBER(B634),B634&lt;&gt;0),B635/B634-1,"")</f>
        <v>-0.00234404050081205</v>
      </c>
      <c r="D635" s="9" t="n">
        <f aca="false">IF(ISNUMBER(C635),ABS(C635-BTC_Fit!$B$9),"")</f>
        <v>0.00233467724052794</v>
      </c>
    </row>
    <row r="636" customFormat="false" ht="15" hidden="false" customHeight="false" outlineLevel="0" collapsed="false">
      <c r="A636" s="7" t="s">
        <v>660</v>
      </c>
      <c r="B636" s="8" t="n">
        <v>100.503393</v>
      </c>
      <c r="C636" s="9" t="n">
        <f aca="false">IF(AND(ISNUMBER(B636),ISNUMBER(B635),B635&lt;&gt;0),B636/B635-1,"")</f>
        <v>-0.000264438536576983</v>
      </c>
      <c r="D636" s="9" t="n">
        <f aca="false">IF(ISNUMBER(C636),ABS(C636-BTC_Fit!$B$9),"")</f>
        <v>0.000255075276292871</v>
      </c>
    </row>
    <row r="637" customFormat="false" ht="15" hidden="false" customHeight="false" outlineLevel="0" collapsed="false">
      <c r="A637" s="7" t="s">
        <v>661</v>
      </c>
      <c r="B637" s="8" t="n">
        <v>100.292731</v>
      </c>
      <c r="C637" s="9" t="n">
        <f aca="false">IF(AND(ISNUMBER(B637),ISNUMBER(B636),B636&lt;&gt;0),B637/B636-1,"")</f>
        <v>-0.00209606853770594</v>
      </c>
      <c r="D637" s="9" t="n">
        <f aca="false">IF(ISNUMBER(C637),ABS(C637-BTC_Fit!$B$9),"")</f>
        <v>0.00208670527742183</v>
      </c>
    </row>
    <row r="638" customFormat="false" ht="15" hidden="false" customHeight="false" outlineLevel="0" collapsed="false">
      <c r="A638" s="7" t="s">
        <v>662</v>
      </c>
      <c r="B638" s="8" t="n">
        <v>100.15547</v>
      </c>
      <c r="C638" s="9" t="n">
        <f aca="false">IF(AND(ISNUMBER(B638),ISNUMBER(B637),B637&lt;&gt;0),B638/B637-1,"")</f>
        <v>-0.00136860367278269</v>
      </c>
      <c r="D638" s="9" t="n">
        <f aca="false">IF(ISNUMBER(C638),ABS(C638-BTC_Fit!$B$9),"")</f>
        <v>0.00135924041249857</v>
      </c>
    </row>
    <row r="639" customFormat="false" ht="15" hidden="false" customHeight="false" outlineLevel="0" collapsed="false">
      <c r="A639" s="7" t="s">
        <v>663</v>
      </c>
      <c r="B639" s="8" t="n">
        <v>100.194385</v>
      </c>
      <c r="C639" s="9" t="n">
        <f aca="false">IF(AND(ISNUMBER(B639),ISNUMBER(B638),B638&lt;&gt;0),B639/B638-1,"")</f>
        <v>0.000388545927646256</v>
      </c>
      <c r="D639" s="9" t="n">
        <f aca="false">IF(ISNUMBER(C639),ABS(C639-BTC_Fit!$B$9),"")</f>
        <v>0.000397909187930368</v>
      </c>
    </row>
    <row r="640" customFormat="false" ht="15" hidden="false" customHeight="false" outlineLevel="0" collapsed="false">
      <c r="A640" s="7" t="s">
        <v>664</v>
      </c>
      <c r="B640" s="8" t="n">
        <v>100.244525</v>
      </c>
      <c r="C640" s="9" t="n">
        <f aca="false">IF(AND(ISNUMBER(B640),ISNUMBER(B639),B639&lt;&gt;0),B640/B639-1,"")</f>
        <v>0.000500427244500834</v>
      </c>
      <c r="D640" s="9" t="n">
        <f aca="false">IF(ISNUMBER(C640),ABS(C640-BTC_Fit!$B$9),"")</f>
        <v>0.000509790504784946</v>
      </c>
    </row>
    <row r="641" customFormat="false" ht="15" hidden="false" customHeight="false" outlineLevel="0" collapsed="false">
      <c r="A641" s="7" t="s">
        <v>665</v>
      </c>
      <c r="B641" s="8" t="n">
        <v>100.316055</v>
      </c>
      <c r="C641" s="9" t="n">
        <f aca="false">IF(AND(ISNUMBER(B641),ISNUMBER(B640),B640&lt;&gt;0),B641/B640-1,"")</f>
        <v>0.000713555179198133</v>
      </c>
      <c r="D641" s="9" t="n">
        <f aca="false">IF(ISNUMBER(C641),ABS(C641-BTC_Fit!$B$9),"")</f>
        <v>0.000722918439482245</v>
      </c>
    </row>
    <row r="642" customFormat="false" ht="15" hidden="false" customHeight="false" outlineLevel="0" collapsed="false">
      <c r="A642" s="7" t="s">
        <v>666</v>
      </c>
      <c r="B642" s="8" t="n">
        <v>100.434573</v>
      </c>
      <c r="C642" s="9" t="n">
        <f aca="false">IF(AND(ISNUMBER(B642),ISNUMBER(B641),B641&lt;&gt;0),B642/B641-1,"")</f>
        <v>0.00118144598090497</v>
      </c>
      <c r="D642" s="9" t="n">
        <f aca="false">IF(ISNUMBER(C642),ABS(C642-BTC_Fit!$B$9),"")</f>
        <v>0.00119080924118908</v>
      </c>
    </row>
    <row r="643" customFormat="false" ht="15" hidden="false" customHeight="false" outlineLevel="0" collapsed="false">
      <c r="A643" s="7" t="s">
        <v>667</v>
      </c>
      <c r="B643" s="8" t="n">
        <v>100.493485</v>
      </c>
      <c r="C643" s="9" t="n">
        <f aca="false">IF(AND(ISNUMBER(B643),ISNUMBER(B642),B642&lt;&gt;0),B643/B642-1,"")</f>
        <v>0.000586570921150997</v>
      </c>
      <c r="D643" s="9" t="n">
        <f aca="false">IF(ISNUMBER(C643),ABS(C643-BTC_Fit!$B$9),"")</f>
        <v>0.000595934181435109</v>
      </c>
    </row>
    <row r="644" customFormat="false" ht="15" hidden="false" customHeight="false" outlineLevel="0" collapsed="false">
      <c r="A644" s="7" t="s">
        <v>668</v>
      </c>
      <c r="B644" s="8" t="n">
        <v>100.576753</v>
      </c>
      <c r="C644" s="9" t="n">
        <f aca="false">IF(AND(ISNUMBER(B644),ISNUMBER(B643),B643&lt;&gt;0),B644/B643-1,"")</f>
        <v>0.000828591027567605</v>
      </c>
      <c r="D644" s="9" t="n">
        <f aca="false">IF(ISNUMBER(C644),ABS(C644-BTC_Fit!$B$9),"")</f>
        <v>0.000837954287851717</v>
      </c>
    </row>
    <row r="645" customFormat="false" ht="15" hidden="false" customHeight="false" outlineLevel="0" collapsed="false">
      <c r="A645" s="7" t="s">
        <v>669</v>
      </c>
      <c r="B645" s="8" t="n">
        <v>100.366429</v>
      </c>
      <c r="C645" s="9" t="n">
        <f aca="false">IF(AND(ISNUMBER(B645),ISNUMBER(B644),B644&lt;&gt;0),B645/B644-1,"")</f>
        <v>-0.00209117906202438</v>
      </c>
      <c r="D645" s="9" t="n">
        <f aca="false">IF(ISNUMBER(C645),ABS(C645-BTC_Fit!$B$9),"")</f>
        <v>0.00208181580174027</v>
      </c>
    </row>
    <row r="646" customFormat="false" ht="15" hidden="false" customHeight="false" outlineLevel="0" collapsed="false">
      <c r="A646" s="7" t="s">
        <v>670</v>
      </c>
      <c r="B646" s="8" t="n">
        <v>100.298049</v>
      </c>
      <c r="C646" s="9" t="n">
        <f aca="false">IF(AND(ISNUMBER(B646),ISNUMBER(B645),B645&lt;&gt;0),B646/B645-1,"")</f>
        <v>-0.00068130350637452</v>
      </c>
      <c r="D646" s="9" t="n">
        <f aca="false">IF(ISNUMBER(C646),ABS(C646-BTC_Fit!$B$9),"")</f>
        <v>0.000671940246090408</v>
      </c>
    </row>
    <row r="647" customFormat="false" ht="15" hidden="false" customHeight="false" outlineLevel="0" collapsed="false">
      <c r="A647" s="7" t="s">
        <v>671</v>
      </c>
      <c r="B647" s="8" t="n">
        <v>100.323274</v>
      </c>
      <c r="C647" s="9" t="n">
        <f aca="false">IF(AND(ISNUMBER(B647),ISNUMBER(B646),B646&lt;&gt;0),B647/B646-1,"")</f>
        <v>0.000251500405556104</v>
      </c>
      <c r="D647" s="9" t="n">
        <f aca="false">IF(ISNUMBER(C647),ABS(C647-BTC_Fit!$B$9),"")</f>
        <v>0.000260863665840216</v>
      </c>
    </row>
    <row r="648" customFormat="false" ht="15" hidden="false" customHeight="false" outlineLevel="0" collapsed="false">
      <c r="A648" s="7" t="s">
        <v>672</v>
      </c>
      <c r="B648" s="8" t="n">
        <v>100.437011</v>
      </c>
      <c r="C648" s="9" t="n">
        <f aca="false">IF(AND(ISNUMBER(B648),ISNUMBER(B647),B647&lt;&gt;0),B648/B647-1,"")</f>
        <v>0.00113370502641286</v>
      </c>
      <c r="D648" s="9" t="n">
        <f aca="false">IF(ISNUMBER(C648),ABS(C648-BTC_Fit!$B$9),"")</f>
        <v>0.00114306828669697</v>
      </c>
    </row>
    <row r="649" customFormat="false" ht="15" hidden="false" customHeight="false" outlineLevel="0" collapsed="false">
      <c r="A649" s="7" t="s">
        <v>673</v>
      </c>
      <c r="B649" s="8" t="n">
        <v>100.011213</v>
      </c>
      <c r="C649" s="9" t="n">
        <f aca="false">IF(AND(ISNUMBER(B649),ISNUMBER(B648),B648&lt;&gt;0),B649/B648-1,"")</f>
        <v>-0.00423945312351037</v>
      </c>
      <c r="D649" s="9" t="n">
        <f aca="false">IF(ISNUMBER(C649),ABS(C649-BTC_Fit!$B$9),"")</f>
        <v>0.00423008986322626</v>
      </c>
    </row>
    <row r="650" customFormat="false" ht="15" hidden="false" customHeight="false" outlineLevel="0" collapsed="false">
      <c r="A650" s="7" t="s">
        <v>674</v>
      </c>
      <c r="B650" s="8" t="n">
        <v>100.013886</v>
      </c>
      <c r="C650" s="9" t="n">
        <f aca="false">IF(AND(ISNUMBER(B650),ISNUMBER(B649),B649&lt;&gt;0),B650/B649-1,"")</f>
        <v>2.67270031011346E-005</v>
      </c>
      <c r="D650" s="9" t="n">
        <f aca="false">IF(ISNUMBER(C650),ABS(C650-BTC_Fit!$B$9),"")</f>
        <v>3.60902633852467E-005</v>
      </c>
    </row>
    <row r="651" customFormat="false" ht="15" hidden="false" customHeight="false" outlineLevel="0" collapsed="false">
      <c r="A651" s="7" t="s">
        <v>675</v>
      </c>
      <c r="B651" s="8" t="n">
        <v>100.053297</v>
      </c>
      <c r="C651" s="9" t="n">
        <f aca="false">IF(AND(ISNUMBER(B651),ISNUMBER(B650),B650&lt;&gt;0),B651/B650-1,"")</f>
        <v>0.000394055281483618</v>
      </c>
      <c r="D651" s="9" t="n">
        <f aca="false">IF(ISNUMBER(C651),ABS(C651-BTC_Fit!$B$9),"")</f>
        <v>0.000403418541767731</v>
      </c>
    </row>
    <row r="652" customFormat="false" ht="15" hidden="false" customHeight="false" outlineLevel="0" collapsed="false">
      <c r="A652" s="7" t="s">
        <v>676</v>
      </c>
      <c r="B652" s="8" t="n">
        <v>99.798769</v>
      </c>
      <c r="C652" s="9" t="n">
        <f aca="false">IF(AND(ISNUMBER(B652),ISNUMBER(B651),B651&lt;&gt;0),B652/B651-1,"")</f>
        <v>-0.00254392416473803</v>
      </c>
      <c r="D652" s="9" t="n">
        <f aca="false">IF(ISNUMBER(C652),ABS(C652-BTC_Fit!$B$9),"")</f>
        <v>0.00253456090445392</v>
      </c>
    </row>
    <row r="653" customFormat="false" ht="15" hidden="false" customHeight="false" outlineLevel="0" collapsed="false">
      <c r="A653" s="7" t="s">
        <v>677</v>
      </c>
      <c r="B653" s="8" t="n">
        <v>99.77903</v>
      </c>
      <c r="C653" s="9" t="n">
        <f aca="false">IF(AND(ISNUMBER(B653),ISNUMBER(B652),B652&lt;&gt;0),B653/B652-1,"")</f>
        <v>-0.000197788010791844</v>
      </c>
      <c r="D653" s="9" t="n">
        <f aca="false">IF(ISNUMBER(C653),ABS(C653-BTC_Fit!$B$9),"")</f>
        <v>0.000188424750507732</v>
      </c>
    </row>
    <row r="654" customFormat="false" ht="15" hidden="false" customHeight="false" outlineLevel="0" collapsed="false">
      <c r="A654" s="7" t="s">
        <v>678</v>
      </c>
      <c r="B654" s="8" t="n">
        <v>99.919723</v>
      </c>
      <c r="C654" s="9" t="n">
        <f aca="false">IF(AND(ISNUMBER(B654),ISNUMBER(B653),B653&lt;&gt;0),B654/B653-1,"")</f>
        <v>0.00141004577815607</v>
      </c>
      <c r="D654" s="9" t="n">
        <f aca="false">IF(ISNUMBER(C654),ABS(C654-BTC_Fit!$B$9),"")</f>
        <v>0.00141940903844018</v>
      </c>
    </row>
    <row r="655" customFormat="false" ht="15" hidden="false" customHeight="false" outlineLevel="0" collapsed="false">
      <c r="A655" s="7" t="s">
        <v>679</v>
      </c>
      <c r="B655" s="8" t="n">
        <v>99.95753</v>
      </c>
      <c r="C655" s="9" t="n">
        <f aca="false">IF(AND(ISNUMBER(B655),ISNUMBER(B654),B654&lt;&gt;0),B655/B654-1,"")</f>
        <v>0.000378373747093042</v>
      </c>
      <c r="D655" s="9" t="n">
        <f aca="false">IF(ISNUMBER(C655),ABS(C655-BTC_Fit!$B$9),"")</f>
        <v>0.000387737007377154</v>
      </c>
    </row>
    <row r="656" customFormat="false" ht="15" hidden="false" customHeight="false" outlineLevel="0" collapsed="false">
      <c r="A656" s="7" t="s">
        <v>680</v>
      </c>
      <c r="B656" s="8" t="n">
        <v>99.890618</v>
      </c>
      <c r="C656" s="9" t="n">
        <f aca="false">IF(AND(ISNUMBER(B656),ISNUMBER(B655),B655&lt;&gt;0),B656/B655-1,"")</f>
        <v>-0.000669404296004483</v>
      </c>
      <c r="D656" s="9" t="n">
        <f aca="false">IF(ISNUMBER(C656),ABS(C656-BTC_Fit!$B$9),"")</f>
        <v>0.000660041035720371</v>
      </c>
    </row>
    <row r="657" customFormat="false" ht="15" hidden="false" customHeight="false" outlineLevel="0" collapsed="false">
      <c r="A657" s="7" t="s">
        <v>681</v>
      </c>
      <c r="B657" s="8" t="n">
        <v>100.00054</v>
      </c>
      <c r="C657" s="9" t="n">
        <f aca="false">IF(AND(ISNUMBER(B657),ISNUMBER(B656),B656&lt;&gt;0),B657/B656-1,"")</f>
        <v>0.00110042366541374</v>
      </c>
      <c r="D657" s="9" t="n">
        <f aca="false">IF(ISNUMBER(C657),ABS(C657-BTC_Fit!$B$9),"")</f>
        <v>0.00110978692569785</v>
      </c>
    </row>
    <row r="658" customFormat="false" ht="15" hidden="false" customHeight="false" outlineLevel="0" collapsed="false">
      <c r="A658" s="7" t="s">
        <v>682</v>
      </c>
      <c r="B658" s="8" t="n">
        <v>99.967931</v>
      </c>
      <c r="C658" s="9" t="n">
        <f aca="false">IF(AND(ISNUMBER(B658),ISNUMBER(B657),B657&lt;&gt;0),B658/B657-1,"")</f>
        <v>-0.000326088239123612</v>
      </c>
      <c r="D658" s="9" t="n">
        <f aca="false">IF(ISNUMBER(C658),ABS(C658-BTC_Fit!$B$9),"")</f>
        <v>0.0003167249788395</v>
      </c>
    </row>
    <row r="659" customFormat="false" ht="15" hidden="false" customHeight="false" outlineLevel="0" collapsed="false">
      <c r="A659" s="7" t="s">
        <v>683</v>
      </c>
      <c r="B659" s="8" t="n">
        <v>100.078283</v>
      </c>
      <c r="C659" s="9" t="n">
        <f aca="false">IF(AND(ISNUMBER(B659),ISNUMBER(B658),B658&lt;&gt;0),B659/B658-1,"")</f>
        <v>0.00110387400135359</v>
      </c>
      <c r="D659" s="9" t="n">
        <f aca="false">IF(ISNUMBER(C659),ABS(C659-BTC_Fit!$B$9),"")</f>
        <v>0.0011132372616377</v>
      </c>
    </row>
    <row r="660" customFormat="false" ht="15" hidden="false" customHeight="false" outlineLevel="0" collapsed="false">
      <c r="A660" s="7" t="s">
        <v>684</v>
      </c>
      <c r="B660" s="8" t="n">
        <v>100.031955</v>
      </c>
      <c r="C660" s="9" t="n">
        <f aca="false">IF(AND(ISNUMBER(B660),ISNUMBER(B659),B659&lt;&gt;0),B660/B659-1,"")</f>
        <v>-0.000462917614204139</v>
      </c>
      <c r="D660" s="9" t="n">
        <f aca="false">IF(ISNUMBER(C660),ABS(C660-BTC_Fit!$B$9),"")</f>
        <v>0.000453554353920027</v>
      </c>
    </row>
    <row r="661" customFormat="false" ht="15" hidden="false" customHeight="false" outlineLevel="0" collapsed="false">
      <c r="A661" s="7" t="s">
        <v>685</v>
      </c>
      <c r="B661" s="8" t="n">
        <v>100.049892</v>
      </c>
      <c r="C661" s="9" t="n">
        <f aca="false">IF(AND(ISNUMBER(B661),ISNUMBER(B660),B660&lt;&gt;0),B661/B660-1,"")</f>
        <v>0.000179312700626655</v>
      </c>
      <c r="D661" s="9" t="n">
        <f aca="false">IF(ISNUMBER(C661),ABS(C661-BTC_Fit!$B$9),"")</f>
        <v>0.000188675960910767</v>
      </c>
    </row>
    <row r="662" customFormat="false" ht="15" hidden="false" customHeight="false" outlineLevel="0" collapsed="false">
      <c r="A662" s="7" t="s">
        <v>686</v>
      </c>
      <c r="B662" s="8" t="n">
        <v>100.029107</v>
      </c>
      <c r="C662" s="9" t="n">
        <f aca="false">IF(AND(ISNUMBER(B662),ISNUMBER(B661),B661&lt;&gt;0),B662/B661-1,"")</f>
        <v>-0.000207746351190474</v>
      </c>
      <c r="D662" s="9" t="n">
        <f aca="false">IF(ISNUMBER(C662),ABS(C662-BTC_Fit!$B$9),"")</f>
        <v>0.000198383090906362</v>
      </c>
    </row>
    <row r="663" customFormat="false" ht="15" hidden="false" customHeight="false" outlineLevel="0" collapsed="false">
      <c r="A663" s="7" t="s">
        <v>687</v>
      </c>
      <c r="B663" s="8" t="n">
        <v>99.975229</v>
      </c>
      <c r="C663" s="9" t="n">
        <f aca="false">IF(AND(ISNUMBER(B663),ISNUMBER(B662),B662&lt;&gt;0),B663/B662-1,"")</f>
        <v>-0.000538623222938517</v>
      </c>
      <c r="D663" s="9" t="n">
        <f aca="false">IF(ISNUMBER(C663),ABS(C663-BTC_Fit!$B$9),"")</f>
        <v>0.000529259962654405</v>
      </c>
    </row>
    <row r="664" customFormat="false" ht="15" hidden="false" customHeight="false" outlineLevel="0" collapsed="false">
      <c r="A664" s="7" t="s">
        <v>688</v>
      </c>
      <c r="B664" s="8" t="n">
        <v>100.108694</v>
      </c>
      <c r="C664" s="9" t="n">
        <f aca="false">IF(AND(ISNUMBER(B664),ISNUMBER(B663),B663&lt;&gt;0),B664/B663-1,"")</f>
        <v>0.00133498068806626</v>
      </c>
      <c r="D664" s="9" t="n">
        <f aca="false">IF(ISNUMBER(C664),ABS(C664-BTC_Fit!$B$9),"")</f>
        <v>0.00134434394835037</v>
      </c>
    </row>
    <row r="665" customFormat="false" ht="15" hidden="false" customHeight="false" outlineLevel="0" collapsed="false">
      <c r="A665" s="7" t="s">
        <v>689</v>
      </c>
      <c r="B665" s="8" t="n">
        <v>100.020368</v>
      </c>
      <c r="C665" s="9" t="n">
        <f aca="false">IF(AND(ISNUMBER(B665),ISNUMBER(B664),B664&lt;&gt;0),B665/B664-1,"")</f>
        <v>-0.00088230099176001</v>
      </c>
      <c r="D665" s="9" t="n">
        <f aca="false">IF(ISNUMBER(C665),ABS(C665-BTC_Fit!$B$9),"")</f>
        <v>0.000872937731475898</v>
      </c>
    </row>
    <row r="666" customFormat="false" ht="15" hidden="false" customHeight="false" outlineLevel="0" collapsed="false">
      <c r="A666" s="7" t="s">
        <v>690</v>
      </c>
      <c r="B666" s="8" t="n">
        <v>99.86066</v>
      </c>
      <c r="C666" s="9" t="n">
        <f aca="false">IF(AND(ISNUMBER(B666),ISNUMBER(B665),B665&lt;&gt;0),B666/B665-1,"")</f>
        <v>-0.00159675477298793</v>
      </c>
      <c r="D666" s="9" t="n">
        <f aca="false">IF(ISNUMBER(C666),ABS(C666-BTC_Fit!$B$9),"")</f>
        <v>0.00158739151270382</v>
      </c>
    </row>
    <row r="667" customFormat="false" ht="15" hidden="false" customHeight="false" outlineLevel="0" collapsed="false">
      <c r="A667" s="7" t="s">
        <v>691</v>
      </c>
      <c r="B667" s="8" t="n">
        <v>99.826507</v>
      </c>
      <c r="C667" s="9" t="n">
        <f aca="false">IF(AND(ISNUMBER(B667),ISNUMBER(B666),B666&lt;&gt;0),B667/B666-1,"")</f>
        <v>-0.000342006551929397</v>
      </c>
      <c r="D667" s="9" t="n">
        <f aca="false">IF(ISNUMBER(C667),ABS(C667-BTC_Fit!$B$9),"")</f>
        <v>0.000332643291645285</v>
      </c>
    </row>
    <row r="668" customFormat="false" ht="15" hidden="false" customHeight="false" outlineLevel="0" collapsed="false">
      <c r="A668" s="7" t="s">
        <v>692</v>
      </c>
      <c r="B668" s="8" t="n">
        <v>99.877845</v>
      </c>
      <c r="C668" s="9" t="n">
        <f aca="false">IF(AND(ISNUMBER(B668),ISNUMBER(B667),B667&lt;&gt;0),B668/B667-1,"")</f>
        <v>0.000514272226313395</v>
      </c>
      <c r="D668" s="9" t="n">
        <f aca="false">IF(ISNUMBER(C668),ABS(C668-BTC_Fit!$B$9),"")</f>
        <v>0.000523635486597507</v>
      </c>
    </row>
    <row r="669" customFormat="false" ht="15" hidden="false" customHeight="false" outlineLevel="0" collapsed="false">
      <c r="A669" s="7" t="s">
        <v>693</v>
      </c>
      <c r="B669" s="8" t="n">
        <v>99.963615</v>
      </c>
      <c r="C669" s="9" t="n">
        <f aca="false">IF(AND(ISNUMBER(B669),ISNUMBER(B668),B668&lt;&gt;0),B669/B668-1,"")</f>
        <v>0.000858749004847059</v>
      </c>
      <c r="D669" s="9" t="n">
        <f aca="false">IF(ISNUMBER(C669),ABS(C669-BTC_Fit!$B$9),"")</f>
        <v>0.000868112265131171</v>
      </c>
    </row>
    <row r="670" customFormat="false" ht="15" hidden="false" customHeight="false" outlineLevel="0" collapsed="false">
      <c r="A670" s="7" t="s">
        <v>694</v>
      </c>
      <c r="B670" s="8" t="n">
        <v>100.502174</v>
      </c>
      <c r="C670" s="9" t="n">
        <f aca="false">IF(AND(ISNUMBER(B670),ISNUMBER(B669),B669&lt;&gt;0),B670/B669-1,"")</f>
        <v>0.00538755026016213</v>
      </c>
      <c r="D670" s="9" t="n">
        <f aca="false">IF(ISNUMBER(C670),ABS(C670-BTC_Fit!$B$9),"")</f>
        <v>0.00539691352044625</v>
      </c>
    </row>
    <row r="671" customFormat="false" ht="15" hidden="false" customHeight="false" outlineLevel="0" collapsed="false">
      <c r="A671" s="7" t="s">
        <v>695</v>
      </c>
      <c r="B671" s="8" t="n">
        <v>100.454866</v>
      </c>
      <c r="C671" s="9" t="n">
        <f aca="false">IF(AND(ISNUMBER(B671),ISNUMBER(B670),B670&lt;&gt;0),B671/B670-1,"")</f>
        <v>-0.000470716185701603</v>
      </c>
      <c r="D671" s="9" t="n">
        <f aca="false">IF(ISNUMBER(C671),ABS(C671-BTC_Fit!$B$9),"")</f>
        <v>0.000461352925417491</v>
      </c>
    </row>
    <row r="672" customFormat="false" ht="15" hidden="false" customHeight="false" outlineLevel="0" collapsed="false">
      <c r="A672" s="7" t="s">
        <v>696</v>
      </c>
      <c r="B672" s="8" t="n">
        <v>100.436469</v>
      </c>
      <c r="C672" s="9" t="n">
        <f aca="false">IF(AND(ISNUMBER(B672),ISNUMBER(B671),B671&lt;&gt;0),B672/B671-1,"")</f>
        <v>-0.000183136972180087</v>
      </c>
      <c r="D672" s="9" t="n">
        <f aca="false">IF(ISNUMBER(C672),ABS(C672-BTC_Fit!$B$9),"")</f>
        <v>0.000173773711895975</v>
      </c>
    </row>
    <row r="673" customFormat="false" ht="15" hidden="false" customHeight="false" outlineLevel="0" collapsed="false">
      <c r="A673" s="7" t="s">
        <v>697</v>
      </c>
      <c r="B673" s="8" t="n">
        <v>100.319326</v>
      </c>
      <c r="C673" s="9" t="n">
        <f aca="false">IF(AND(ISNUMBER(B673),ISNUMBER(B672),B672&lt;&gt;0),B673/B672-1,"")</f>
        <v>-0.00116633929056187</v>
      </c>
      <c r="D673" s="9" t="n">
        <f aca="false">IF(ISNUMBER(C673),ABS(C673-BTC_Fit!$B$9),"")</f>
        <v>0.00115697603027776</v>
      </c>
    </row>
    <row r="674" customFormat="false" ht="15" hidden="false" customHeight="false" outlineLevel="0" collapsed="false">
      <c r="A674" s="7" t="s">
        <v>698</v>
      </c>
      <c r="B674" s="8" t="n">
        <v>100.333972</v>
      </c>
      <c r="C674" s="9" t="n">
        <f aca="false">IF(AND(ISNUMBER(B674),ISNUMBER(B673),B673&lt;&gt;0),B674/B673-1,"")</f>
        <v>0.000145993803825961</v>
      </c>
      <c r="D674" s="9" t="n">
        <f aca="false">IF(ISNUMBER(C674),ABS(C674-BTC_Fit!$B$9),"")</f>
        <v>0.000155357064110073</v>
      </c>
    </row>
    <row r="675" customFormat="false" ht="15" hidden="false" customHeight="false" outlineLevel="0" collapsed="false">
      <c r="A675" s="7" t="s">
        <v>699</v>
      </c>
      <c r="B675" s="8" t="n">
        <v>100.815351</v>
      </c>
      <c r="C675" s="9" t="n">
        <f aca="false">IF(AND(ISNUMBER(B675),ISNUMBER(B674),B674&lt;&gt;0),B675/B674-1,"")</f>
        <v>0.00479776680225519</v>
      </c>
      <c r="D675" s="9" t="n">
        <f aca="false">IF(ISNUMBER(C675),ABS(C675-BTC_Fit!$B$9),"")</f>
        <v>0.0048071300625393</v>
      </c>
    </row>
    <row r="676" customFormat="false" ht="15" hidden="false" customHeight="false" outlineLevel="0" collapsed="false">
      <c r="A676" s="7" t="s">
        <v>700</v>
      </c>
      <c r="B676" s="8" t="n">
        <v>100.861967</v>
      </c>
      <c r="C676" s="9" t="n">
        <f aca="false">IF(AND(ISNUMBER(B676),ISNUMBER(B675),B675&lt;&gt;0),B676/B675-1,"")</f>
        <v>0.000462389899331894</v>
      </c>
      <c r="D676" s="9" t="n">
        <f aca="false">IF(ISNUMBER(C676),ABS(C676-BTC_Fit!$B$9),"")</f>
        <v>0.000471753159616006</v>
      </c>
    </row>
    <row r="677" customFormat="false" ht="15" hidden="false" customHeight="false" outlineLevel="0" collapsed="false">
      <c r="A677" s="7" t="s">
        <v>701</v>
      </c>
      <c r="B677" s="8" t="n">
        <v>100.881143</v>
      </c>
      <c r="C677" s="9" t="n">
        <f aca="false">IF(AND(ISNUMBER(B677),ISNUMBER(B676),B676&lt;&gt;0),B677/B676-1,"")</f>
        <v>0.000190121217842121</v>
      </c>
      <c r="D677" s="9" t="n">
        <f aca="false">IF(ISNUMBER(C677),ABS(C677-BTC_Fit!$B$9),"")</f>
        <v>0.000199484478126233</v>
      </c>
    </row>
    <row r="678" customFormat="false" ht="15" hidden="false" customHeight="false" outlineLevel="0" collapsed="false">
      <c r="A678" s="7" t="s">
        <v>702</v>
      </c>
      <c r="B678" s="8" t="n">
        <v>100.859135</v>
      </c>
      <c r="C678" s="9" t="n">
        <f aca="false">IF(AND(ISNUMBER(B678),ISNUMBER(B677),B677&lt;&gt;0),B678/B677-1,"")</f>
        <v>-0.000218157718534173</v>
      </c>
      <c r="D678" s="9" t="n">
        <f aca="false">IF(ISNUMBER(C678),ABS(C678-BTC_Fit!$B$9),"")</f>
        <v>0.000208794458250061</v>
      </c>
    </row>
    <row r="679" customFormat="false" ht="15" hidden="false" customHeight="false" outlineLevel="0" collapsed="false">
      <c r="A679" s="7" t="s">
        <v>703</v>
      </c>
      <c r="B679" s="8" t="n">
        <v>101.020301</v>
      </c>
      <c r="C679" s="9" t="n">
        <f aca="false">IF(AND(ISNUMBER(B679),ISNUMBER(B678),B678&lt;&gt;0),B679/B678-1,"")</f>
        <v>0.00159793161026034</v>
      </c>
      <c r="D679" s="9" t="n">
        <f aca="false">IF(ISNUMBER(C679),ABS(C679-BTC_Fit!$B$9),"")</f>
        <v>0.00160729487054445</v>
      </c>
    </row>
    <row r="680" customFormat="false" ht="15" hidden="false" customHeight="false" outlineLevel="0" collapsed="false">
      <c r="A680" s="7" t="s">
        <v>704</v>
      </c>
      <c r="B680" s="8" t="n">
        <v>101.019738</v>
      </c>
      <c r="C680" s="9" t="n">
        <f aca="false">IF(AND(ISNUMBER(B680),ISNUMBER(B679),B679&lt;&gt;0),B680/B679-1,"")</f>
        <v>-5.57313722515662E-006</v>
      </c>
      <c r="D680" s="9" t="n">
        <f aca="false">IF(ISNUMBER(C680),ABS(C680-BTC_Fit!$B$9),"")</f>
        <v>3.79012305895543E-006</v>
      </c>
    </row>
    <row r="681" customFormat="false" ht="15" hidden="false" customHeight="false" outlineLevel="0" collapsed="false">
      <c r="A681" s="7" t="s">
        <v>705</v>
      </c>
      <c r="B681" s="8" t="n">
        <v>100.900269</v>
      </c>
      <c r="C681" s="9" t="n">
        <f aca="false">IF(AND(ISNUMBER(B681),ISNUMBER(B680),B680&lt;&gt;0),B681/B680-1,"")</f>
        <v>-0.00118263026974008</v>
      </c>
      <c r="D681" s="9" t="n">
        <f aca="false">IF(ISNUMBER(C681),ABS(C681-BTC_Fit!$B$9),"")</f>
        <v>0.00117326700945597</v>
      </c>
    </row>
    <row r="682" customFormat="false" ht="15" hidden="false" customHeight="false" outlineLevel="0" collapsed="false">
      <c r="A682" s="7" t="s">
        <v>706</v>
      </c>
      <c r="B682" s="8" t="n">
        <v>100.871784</v>
      </c>
      <c r="C682" s="9" t="n">
        <f aca="false">IF(AND(ISNUMBER(B682),ISNUMBER(B681),B681&lt;&gt;0),B682/B681-1,"")</f>
        <v>-0.000282308464410463</v>
      </c>
      <c r="D682" s="9" t="n">
        <f aca="false">IF(ISNUMBER(C682),ABS(C682-BTC_Fit!$B$9),"")</f>
        <v>0.000272945204126351</v>
      </c>
    </row>
    <row r="683" customFormat="false" ht="15" hidden="false" customHeight="false" outlineLevel="0" collapsed="false">
      <c r="A683" s="7" t="s">
        <v>707</v>
      </c>
      <c r="B683" s="8" t="n">
        <v>100.689541</v>
      </c>
      <c r="C683" s="9" t="n">
        <f aca="false">IF(AND(ISNUMBER(B683),ISNUMBER(B682),B682&lt;&gt;0),B683/B682-1,"")</f>
        <v>-0.00180667965582926</v>
      </c>
      <c r="D683" s="9" t="n">
        <f aca="false">IF(ISNUMBER(C683),ABS(C683-BTC_Fit!$B$9),"")</f>
        <v>0.00179731639554515</v>
      </c>
    </row>
    <row r="684" customFormat="false" ht="15" hidden="false" customHeight="false" outlineLevel="0" collapsed="false">
      <c r="A684" s="7" t="s">
        <v>708</v>
      </c>
      <c r="B684" s="8" t="n">
        <v>100.607398</v>
      </c>
      <c r="C684" s="9" t="n">
        <f aca="false">IF(AND(ISNUMBER(B684),ISNUMBER(B683),B683&lt;&gt;0),B684/B683-1,"")</f>
        <v>-0.000815804692167577</v>
      </c>
      <c r="D684" s="9" t="n">
        <f aca="false">IF(ISNUMBER(C684),ABS(C684-BTC_Fit!$B$9),"")</f>
        <v>0.000806441431883465</v>
      </c>
    </row>
    <row r="685" customFormat="false" ht="15" hidden="false" customHeight="false" outlineLevel="0" collapsed="false">
      <c r="A685" s="7" t="s">
        <v>709</v>
      </c>
      <c r="B685" s="8" t="n">
        <v>100.304718</v>
      </c>
      <c r="C685" s="9" t="n">
        <f aca="false">IF(AND(ISNUMBER(B685),ISNUMBER(B684),B684&lt;&gt;0),B685/B684-1,"")</f>
        <v>-0.00300852627159698</v>
      </c>
      <c r="D685" s="9" t="n">
        <f aca="false">IF(ISNUMBER(C685),ABS(C685-BTC_Fit!$B$9),"")</f>
        <v>0.00299916301131287</v>
      </c>
    </row>
    <row r="686" customFormat="false" ht="15" hidden="false" customHeight="false" outlineLevel="0" collapsed="false">
      <c r="A686" s="7" t="s">
        <v>710</v>
      </c>
      <c r="B686" s="8" t="n">
        <v>100.295862</v>
      </c>
      <c r="C686" s="9" t="n">
        <f aca="false">IF(AND(ISNUMBER(B686),ISNUMBER(B685),B685&lt;&gt;0),B686/B685-1,"")</f>
        <v>-8.82909615477212E-005</v>
      </c>
      <c r="D686" s="9" t="n">
        <f aca="false">IF(ISNUMBER(C686),ABS(C686-BTC_Fit!$B$9),"")</f>
        <v>7.89277012636092E-005</v>
      </c>
    </row>
    <row r="687" customFormat="false" ht="15" hidden="false" customHeight="false" outlineLevel="0" collapsed="false">
      <c r="A687" s="7" t="s">
        <v>711</v>
      </c>
      <c r="B687" s="8" t="n">
        <v>100.324156</v>
      </c>
      <c r="C687" s="9" t="n">
        <f aca="false">IF(AND(ISNUMBER(B687),ISNUMBER(B686),B686&lt;&gt;0),B687/B686-1,"")</f>
        <v>0.000282105357447326</v>
      </c>
      <c r="D687" s="9" t="n">
        <f aca="false">IF(ISNUMBER(C687),ABS(C687-BTC_Fit!$B$9),"")</f>
        <v>0.000291468617731439</v>
      </c>
    </row>
    <row r="688" customFormat="false" ht="15" hidden="false" customHeight="false" outlineLevel="0" collapsed="false">
      <c r="A688" s="7" t="s">
        <v>712</v>
      </c>
      <c r="B688" s="8" t="n">
        <v>100.290204</v>
      </c>
      <c r="C688" s="9" t="n">
        <f aca="false">IF(AND(ISNUMBER(B688),ISNUMBER(B687),B687&lt;&gt;0),B688/B687-1,"")</f>
        <v>-0.000338422981599806</v>
      </c>
      <c r="D688" s="9" t="n">
        <f aca="false">IF(ISNUMBER(C688),ABS(C688-BTC_Fit!$B$9),"")</f>
        <v>0.000329059721315694</v>
      </c>
    </row>
    <row r="689" customFormat="false" ht="15" hidden="false" customHeight="false" outlineLevel="0" collapsed="false">
      <c r="A689" s="7" t="s">
        <v>713</v>
      </c>
      <c r="B689" s="8" t="n">
        <v>100.274549</v>
      </c>
      <c r="C689" s="9" t="n">
        <f aca="false">IF(AND(ISNUMBER(B689),ISNUMBER(B688),B688&lt;&gt;0),B689/B688-1,"")</f>
        <v>-0.000156097000261424</v>
      </c>
      <c r="D689" s="9" t="n">
        <f aca="false">IF(ISNUMBER(C689),ABS(C689-BTC_Fit!$B$9),"")</f>
        <v>0.000146733739977312</v>
      </c>
    </row>
    <row r="690" customFormat="false" ht="15" hidden="false" customHeight="false" outlineLevel="0" collapsed="false">
      <c r="A690" s="7" t="s">
        <v>714</v>
      </c>
      <c r="B690" s="8" t="n">
        <v>100.500722</v>
      </c>
      <c r="C690" s="9" t="n">
        <f aca="false">IF(AND(ISNUMBER(B690),ISNUMBER(B689),B689&lt;&gt;0),B690/B689-1,"")</f>
        <v>0.00225553744450147</v>
      </c>
      <c r="D690" s="9" t="n">
        <f aca="false">IF(ISNUMBER(C690),ABS(C690-BTC_Fit!$B$9),"")</f>
        <v>0.00226490070478558</v>
      </c>
    </row>
    <row r="691" customFormat="false" ht="15" hidden="false" customHeight="false" outlineLevel="0" collapsed="false">
      <c r="A691" s="7" t="s">
        <v>715</v>
      </c>
      <c r="B691" s="8" t="n">
        <v>100.564131</v>
      </c>
      <c r="C691" s="9" t="n">
        <f aca="false">IF(AND(ISNUMBER(B691),ISNUMBER(B690),B690&lt;&gt;0),B691/B690-1,"")</f>
        <v>0.000630930790726181</v>
      </c>
      <c r="D691" s="9" t="n">
        <f aca="false">IF(ISNUMBER(C691),ABS(C691-BTC_Fit!$B$9),"")</f>
        <v>0.000640294051010293</v>
      </c>
    </row>
    <row r="692" customFormat="false" ht="15" hidden="false" customHeight="false" outlineLevel="0" collapsed="false">
      <c r="A692" s="7" t="s">
        <v>716</v>
      </c>
      <c r="B692" s="8" t="n">
        <v>100.571846</v>
      </c>
      <c r="C692" s="9" t="n">
        <f aca="false">IF(AND(ISNUMBER(B692),ISNUMBER(B691),B691&lt;&gt;0),B692/B691-1,"")</f>
        <v>7.67172144111594E-005</v>
      </c>
      <c r="D692" s="9" t="n">
        <f aca="false">IF(ISNUMBER(C692),ABS(C692-BTC_Fit!$B$9),"")</f>
        <v>8.60804746952715E-005</v>
      </c>
    </row>
    <row r="693" customFormat="false" ht="15" hidden="false" customHeight="false" outlineLevel="0" collapsed="false">
      <c r="A693" s="7" t="s">
        <v>717</v>
      </c>
      <c r="B693" s="8" t="n">
        <v>100.52082</v>
      </c>
      <c r="C693" s="9" t="n">
        <f aca="false">IF(AND(ISNUMBER(B693),ISNUMBER(B692),B692&lt;&gt;0),B693/B692-1,"")</f>
        <v>-0.000507358689627591</v>
      </c>
      <c r="D693" s="9" t="n">
        <f aca="false">IF(ISNUMBER(C693),ABS(C693-BTC_Fit!$B$9),"")</f>
        <v>0.000497995429343479</v>
      </c>
    </row>
    <row r="694" customFormat="false" ht="15" hidden="false" customHeight="false" outlineLevel="0" collapsed="false">
      <c r="A694" s="7" t="s">
        <v>718</v>
      </c>
      <c r="B694" s="8" t="n">
        <v>100.663747</v>
      </c>
      <c r="C694" s="9" t="n">
        <f aca="false">IF(AND(ISNUMBER(B694),ISNUMBER(B693),B693&lt;&gt;0),B694/B693-1,"")</f>
        <v>0.00142186464455829</v>
      </c>
      <c r="D694" s="9" t="n">
        <f aca="false">IF(ISNUMBER(C694),ABS(C694-BTC_Fit!$B$9),"")</f>
        <v>0.0014312279048424</v>
      </c>
    </row>
    <row r="695" customFormat="false" ht="15" hidden="false" customHeight="false" outlineLevel="0" collapsed="false">
      <c r="A695" s="7" t="s">
        <v>719</v>
      </c>
      <c r="B695" s="8" t="n">
        <v>100.595381</v>
      </c>
      <c r="C695" s="9" t="n">
        <f aca="false">IF(AND(ISNUMBER(B695),ISNUMBER(B694),B694&lt;&gt;0),B695/B694-1,"")</f>
        <v>-0.00067915214799219</v>
      </c>
      <c r="D695" s="9" t="n">
        <f aca="false">IF(ISNUMBER(C695),ABS(C695-BTC_Fit!$B$9),"")</f>
        <v>0.000669788887708078</v>
      </c>
    </row>
    <row r="696" customFormat="false" ht="15" hidden="false" customHeight="false" outlineLevel="0" collapsed="false">
      <c r="A696" s="7" t="s">
        <v>720</v>
      </c>
      <c r="B696" s="8" t="n">
        <v>100.556475</v>
      </c>
      <c r="C696" s="9" t="n">
        <f aca="false">IF(AND(ISNUMBER(B696),ISNUMBER(B695),B695&lt;&gt;0),B696/B695-1,"")</f>
        <v>-0.000386757320398168</v>
      </c>
      <c r="D696" s="9" t="n">
        <f aca="false">IF(ISNUMBER(C696),ABS(C696-BTC_Fit!$B$9),"")</f>
        <v>0.000377394060114056</v>
      </c>
    </row>
    <row r="697" customFormat="false" ht="15" hidden="false" customHeight="false" outlineLevel="0" collapsed="false">
      <c r="A697" s="7" t="s">
        <v>721</v>
      </c>
      <c r="B697" s="8" t="n">
        <v>100.710731</v>
      </c>
      <c r="C697" s="9" t="n">
        <f aca="false">IF(AND(ISNUMBER(B697),ISNUMBER(B696),B696&lt;&gt;0),B697/B696-1,"")</f>
        <v>0.00153402354249188</v>
      </c>
      <c r="D697" s="9" t="n">
        <f aca="false">IF(ISNUMBER(C697),ABS(C697-BTC_Fit!$B$9),"")</f>
        <v>0.00154338680277599</v>
      </c>
    </row>
    <row r="698" customFormat="false" ht="15" hidden="false" customHeight="false" outlineLevel="0" collapsed="false">
      <c r="A698" s="7" t="s">
        <v>722</v>
      </c>
      <c r="B698" s="8" t="n">
        <v>100.716251</v>
      </c>
      <c r="C698" s="9" t="n">
        <f aca="false">IF(AND(ISNUMBER(B698),ISNUMBER(B697),B697&lt;&gt;0),B698/B697-1,"")</f>
        <v>5.48104451749687E-005</v>
      </c>
      <c r="D698" s="9" t="n">
        <f aca="false">IF(ISNUMBER(C698),ABS(C698-BTC_Fit!$B$9),"")</f>
        <v>6.41737054590807E-005</v>
      </c>
    </row>
    <row r="699" customFormat="false" ht="15" hidden="false" customHeight="false" outlineLevel="0" collapsed="false">
      <c r="A699" s="7" t="s">
        <v>723</v>
      </c>
      <c r="B699" s="8" t="n">
        <v>100.776337</v>
      </c>
      <c r="C699" s="9" t="n">
        <f aca="false">IF(AND(ISNUMBER(B699),ISNUMBER(B698),B698&lt;&gt;0),B699/B698-1,"")</f>
        <v>0.000596586940075916</v>
      </c>
      <c r="D699" s="9" t="n">
        <f aca="false">IF(ISNUMBER(C699),ABS(C699-BTC_Fit!$B$9),"")</f>
        <v>0.000605950200360028</v>
      </c>
    </row>
    <row r="700" customFormat="false" ht="15" hidden="false" customHeight="false" outlineLevel="0" collapsed="false">
      <c r="A700" s="7" t="s">
        <v>724</v>
      </c>
      <c r="B700" s="8" t="n">
        <v>100.794502</v>
      </c>
      <c r="C700" s="9" t="n">
        <f aca="false">IF(AND(ISNUMBER(B700),ISNUMBER(B699),B699&lt;&gt;0),B700/B699-1,"")</f>
        <v>0.000180250647530356</v>
      </c>
      <c r="D700" s="9" t="n">
        <f aca="false">IF(ISNUMBER(C700),ABS(C700-BTC_Fit!$B$9),"")</f>
        <v>0.000189613907814468</v>
      </c>
    </row>
    <row r="701" customFormat="false" ht="15" hidden="false" customHeight="false" outlineLevel="0" collapsed="false">
      <c r="A701" s="7" t="s">
        <v>725</v>
      </c>
      <c r="B701" s="8" t="n">
        <v>100.827753</v>
      </c>
      <c r="C701" s="9" t="n">
        <f aca="false">IF(AND(ISNUMBER(B701),ISNUMBER(B700),B700&lt;&gt;0),B701/B700-1,"")</f>
        <v>0.000329889025097785</v>
      </c>
      <c r="D701" s="9" t="n">
        <f aca="false">IF(ISNUMBER(C701),ABS(C701-BTC_Fit!$B$9),"")</f>
        <v>0.000339252285381897</v>
      </c>
    </row>
    <row r="702" customFormat="false" ht="15" hidden="false" customHeight="false" outlineLevel="0" collapsed="false">
      <c r="A702" s="7" t="s">
        <v>726</v>
      </c>
      <c r="B702" s="8" t="n">
        <v>100.781212</v>
      </c>
      <c r="C702" s="9" t="n">
        <f aca="false">IF(AND(ISNUMBER(B702),ISNUMBER(B701),B701&lt;&gt;0),B702/B701-1,"")</f>
        <v>-0.000461589181700806</v>
      </c>
      <c r="D702" s="9" t="n">
        <f aca="false">IF(ISNUMBER(C702),ABS(C702-BTC_Fit!$B$9),"")</f>
        <v>0.000452225921416694</v>
      </c>
    </row>
    <row r="703" customFormat="false" ht="15" hidden="false" customHeight="false" outlineLevel="0" collapsed="false">
      <c r="A703" s="7" t="s">
        <v>727</v>
      </c>
      <c r="B703" s="8" t="n">
        <v>100.715155</v>
      </c>
      <c r="C703" s="9" t="n">
        <f aca="false">IF(AND(ISNUMBER(B703),ISNUMBER(B702),B702&lt;&gt;0),B703/B702-1,"")</f>
        <v>-0.000655449549465614</v>
      </c>
      <c r="D703" s="9" t="n">
        <f aca="false">IF(ISNUMBER(C703),ABS(C703-BTC_Fit!$B$9),"")</f>
        <v>0.000646086289181502</v>
      </c>
    </row>
    <row r="704" customFormat="false" ht="15" hidden="false" customHeight="false" outlineLevel="0" collapsed="false">
      <c r="A704" s="7" t="s">
        <v>728</v>
      </c>
      <c r="B704" s="8" t="n">
        <v>100.675405</v>
      </c>
      <c r="C704" s="9" t="n">
        <f aca="false">IF(AND(ISNUMBER(B704),ISNUMBER(B703),B703&lt;&gt;0),B704/B703-1,"")</f>
        <v>-0.000394677444521596</v>
      </c>
      <c r="D704" s="9" t="n">
        <f aca="false">IF(ISNUMBER(C704),ABS(C704-BTC_Fit!$B$9),"")</f>
        <v>0.000385314184237484</v>
      </c>
    </row>
    <row r="705" customFormat="false" ht="15" hidden="false" customHeight="false" outlineLevel="0" collapsed="false">
      <c r="A705" s="7" t="s">
        <v>729</v>
      </c>
      <c r="B705" s="8" t="n">
        <v>100.569545</v>
      </c>
      <c r="C705" s="9" t="n">
        <f aca="false">IF(AND(ISNUMBER(B705),ISNUMBER(B704),B704&lt;&gt;0),B705/B704-1,"")</f>
        <v>-0.00105149812906136</v>
      </c>
      <c r="D705" s="9" t="n">
        <f aca="false">IF(ISNUMBER(C705),ABS(C705-BTC_Fit!$B$9),"")</f>
        <v>0.00104213486877724</v>
      </c>
    </row>
    <row r="706" customFormat="false" ht="15" hidden="false" customHeight="false" outlineLevel="0" collapsed="false">
      <c r="A706" s="7" t="s">
        <v>730</v>
      </c>
      <c r="B706" s="8" t="n">
        <v>100.694527</v>
      </c>
      <c r="C706" s="9" t="n">
        <f aca="false">IF(AND(ISNUMBER(B706),ISNUMBER(B705),B705&lt;&gt;0),B706/B705-1,"")</f>
        <v>0.00124274202493391</v>
      </c>
      <c r="D706" s="9" t="n">
        <f aca="false">IF(ISNUMBER(C706),ABS(C706-BTC_Fit!$B$9),"")</f>
        <v>0.00125210528521802</v>
      </c>
    </row>
    <row r="707" customFormat="false" ht="15" hidden="false" customHeight="false" outlineLevel="0" collapsed="false">
      <c r="A707" s="7" t="s">
        <v>731</v>
      </c>
      <c r="B707" s="8" t="n">
        <v>100.643026</v>
      </c>
      <c r="C707" s="9" t="n">
        <f aca="false">IF(AND(ISNUMBER(B707),ISNUMBER(B706),B706&lt;&gt;0),B707/B706-1,"")</f>
        <v>-0.000511457787571557</v>
      </c>
      <c r="D707" s="9" t="n">
        <f aca="false">IF(ISNUMBER(C707),ABS(C707-BTC_Fit!$B$9),"")</f>
        <v>0.000502094527287444</v>
      </c>
    </row>
    <row r="708" customFormat="false" ht="15" hidden="false" customHeight="false" outlineLevel="0" collapsed="false">
      <c r="A708" s="7" t="s">
        <v>732</v>
      </c>
      <c r="B708" s="8" t="n">
        <v>100.654912</v>
      </c>
      <c r="C708" s="9" t="n">
        <f aca="false">IF(AND(ISNUMBER(B708),ISNUMBER(B707),B707&lt;&gt;0),B708/B707-1,"")</f>
        <v>0.000118100582547909</v>
      </c>
      <c r="D708" s="9" t="n">
        <f aca="false">IF(ISNUMBER(C708),ABS(C708-BTC_Fit!$B$9),"")</f>
        <v>0.000127463842832021</v>
      </c>
    </row>
    <row r="709" customFormat="false" ht="15" hidden="false" customHeight="false" outlineLevel="0" collapsed="false">
      <c r="A709" s="7" t="s">
        <v>733</v>
      </c>
      <c r="B709" s="8" t="n">
        <v>100.734354</v>
      </c>
      <c r="C709" s="9" t="n">
        <f aca="false">IF(AND(ISNUMBER(B709),ISNUMBER(B708),B708&lt;&gt;0),B709/B708-1,"")</f>
        <v>0.000789251099837074</v>
      </c>
      <c r="D709" s="9" t="n">
        <f aca="false">IF(ISNUMBER(C709),ABS(C709-BTC_Fit!$B$9),"")</f>
        <v>0.000798614360121186</v>
      </c>
    </row>
    <row r="710" customFormat="false" ht="15" hidden="false" customHeight="false" outlineLevel="0" collapsed="false">
      <c r="A710" s="7" t="s">
        <v>734</v>
      </c>
      <c r="B710" s="8" t="n">
        <v>100.810374</v>
      </c>
      <c r="C710" s="9" t="n">
        <f aca="false">IF(AND(ISNUMBER(B710),ISNUMBER(B709),B709&lt;&gt;0),B710/B709-1,"")</f>
        <v>0.000754658137778863</v>
      </c>
      <c r="D710" s="9" t="n">
        <f aca="false">IF(ISNUMBER(C710),ABS(C710-BTC_Fit!$B$9),"")</f>
        <v>0.000764021398062975</v>
      </c>
    </row>
    <row r="711" customFormat="false" ht="15" hidden="false" customHeight="false" outlineLevel="0" collapsed="false">
      <c r="A711" s="7" t="s">
        <v>735</v>
      </c>
      <c r="B711" s="8" t="n">
        <v>100.798443</v>
      </c>
      <c r="C711" s="9" t="n">
        <f aca="false">IF(AND(ISNUMBER(B711),ISNUMBER(B710),B710&lt;&gt;0),B711/B710-1,"")</f>
        <v>-0.000118350914956378</v>
      </c>
      <c r="D711" s="9" t="n">
        <f aca="false">IF(ISNUMBER(C711),ABS(C711-BTC_Fit!$B$9),"")</f>
        <v>0.000108987654672266</v>
      </c>
    </row>
    <row r="712" customFormat="false" ht="15" hidden="false" customHeight="false" outlineLevel="0" collapsed="false">
      <c r="A712" s="7" t="s">
        <v>736</v>
      </c>
      <c r="B712" s="8" t="n">
        <v>100.794029</v>
      </c>
      <c r="C712" s="9" t="n">
        <f aca="false">IF(AND(ISNUMBER(B712),ISNUMBER(B711),B711&lt;&gt;0),B712/B711-1,"")</f>
        <v>-4.37903589444177E-005</v>
      </c>
      <c r="D712" s="9" t="n">
        <f aca="false">IF(ISNUMBER(C712),ABS(C712-BTC_Fit!$B$9),"")</f>
        <v>3.44270986603057E-005</v>
      </c>
    </row>
    <row r="713" customFormat="false" ht="15" hidden="false" customHeight="false" outlineLevel="0" collapsed="false">
      <c r="A713" s="7" t="s">
        <v>737</v>
      </c>
      <c r="B713" s="8" t="n">
        <v>101.20653</v>
      </c>
      <c r="C713" s="9" t="n">
        <f aca="false">IF(AND(ISNUMBER(B713),ISNUMBER(B712),B712&lt;&gt;0),B713/B712-1,"")</f>
        <v>0.00409251425002566</v>
      </c>
      <c r="D713" s="9" t="n">
        <f aca="false">IF(ISNUMBER(C713),ABS(C713-BTC_Fit!$B$9),"")</f>
        <v>0.00410187751030977</v>
      </c>
    </row>
    <row r="714" customFormat="false" ht="15" hidden="false" customHeight="false" outlineLevel="0" collapsed="false">
      <c r="A714" s="7" t="s">
        <v>738</v>
      </c>
      <c r="B714" s="8" t="n">
        <v>101.245655</v>
      </c>
      <c r="C714" s="9" t="n">
        <f aca="false">IF(AND(ISNUMBER(B714),ISNUMBER(B713),B713&lt;&gt;0),B714/B713-1,"")</f>
        <v>0.000386585727225386</v>
      </c>
      <c r="D714" s="9" t="n">
        <f aca="false">IF(ISNUMBER(C714),ABS(C714-BTC_Fit!$B$9),"")</f>
        <v>0.000395948987509498</v>
      </c>
    </row>
    <row r="715" customFormat="false" ht="15" hidden="false" customHeight="false" outlineLevel="0" collapsed="false">
      <c r="A715" s="7" t="s">
        <v>739</v>
      </c>
      <c r="B715" s="8" t="n">
        <v>101.336075</v>
      </c>
      <c r="C715" s="9" t="n">
        <f aca="false">IF(AND(ISNUMBER(B715),ISNUMBER(B714),B714&lt;&gt;0),B715/B714-1,"")</f>
        <v>0.00089307536209815</v>
      </c>
      <c r="D715" s="9" t="n">
        <f aca="false">IF(ISNUMBER(C715),ABS(C715-BTC_Fit!$B$9),"")</f>
        <v>0.000902438622382262</v>
      </c>
    </row>
    <row r="716" customFormat="false" ht="15" hidden="false" customHeight="false" outlineLevel="0" collapsed="false">
      <c r="A716" s="7" t="s">
        <v>740</v>
      </c>
      <c r="B716" s="8" t="n">
        <v>101.485219</v>
      </c>
      <c r="C716" s="9" t="n">
        <f aca="false">IF(AND(ISNUMBER(B716),ISNUMBER(B715),B715&lt;&gt;0),B716/B715-1,"")</f>
        <v>0.00147177596921932</v>
      </c>
      <c r="D716" s="9" t="n">
        <f aca="false">IF(ISNUMBER(C716),ABS(C716-BTC_Fit!$B$9),"")</f>
        <v>0.00148113922950344</v>
      </c>
    </row>
    <row r="717" customFormat="false" ht="15" hidden="false" customHeight="false" outlineLevel="0" collapsed="false">
      <c r="A717" s="7" t="s">
        <v>741</v>
      </c>
      <c r="B717" s="8" t="n">
        <v>101.563411</v>
      </c>
      <c r="C717" s="9" t="n">
        <f aca="false">IF(AND(ISNUMBER(B717),ISNUMBER(B716),B716&lt;&gt;0),B717/B716-1,"")</f>
        <v>0.000770476733168435</v>
      </c>
      <c r="D717" s="9" t="n">
        <f aca="false">IF(ISNUMBER(C717),ABS(C717-BTC_Fit!$B$9),"")</f>
        <v>0.000779839993452547</v>
      </c>
    </row>
    <row r="718" customFormat="false" ht="15" hidden="false" customHeight="false" outlineLevel="0" collapsed="false">
      <c r="A718" s="7" t="s">
        <v>742</v>
      </c>
      <c r="B718" s="8" t="n">
        <v>101.472618</v>
      </c>
      <c r="C718" s="9" t="n">
        <f aca="false">IF(AND(ISNUMBER(B718),ISNUMBER(B717),B717&lt;&gt;0),B718/B717-1,"")</f>
        <v>-0.000893953827525551</v>
      </c>
      <c r="D718" s="9" t="n">
        <f aca="false">IF(ISNUMBER(C718),ABS(C718-BTC_Fit!$B$9),"")</f>
        <v>0.000884590567241439</v>
      </c>
    </row>
    <row r="719" customFormat="false" ht="15" hidden="false" customHeight="false" outlineLevel="0" collapsed="false">
      <c r="A719" s="7" t="s">
        <v>743</v>
      </c>
      <c r="B719" s="8" t="n">
        <v>101.484744</v>
      </c>
      <c r="C719" s="9" t="n">
        <f aca="false">IF(AND(ISNUMBER(B719),ISNUMBER(B718),B718&lt;&gt;0),B719/B718-1,"")</f>
        <v>0.00011950021827567</v>
      </c>
      <c r="D719" s="9" t="n">
        <f aca="false">IF(ISNUMBER(C719),ABS(C719-BTC_Fit!$B$9),"")</f>
        <v>0.000128863478559782</v>
      </c>
    </row>
    <row r="720" customFormat="false" ht="15" hidden="false" customHeight="false" outlineLevel="0" collapsed="false">
      <c r="A720" s="7" t="s">
        <v>744</v>
      </c>
      <c r="B720" s="8" t="n">
        <v>101.339458</v>
      </c>
      <c r="C720" s="9" t="n">
        <f aca="false">IF(AND(ISNUMBER(B720),ISNUMBER(B719),B719&lt;&gt;0),B720/B719-1,"")</f>
        <v>-0.00143160434045153</v>
      </c>
      <c r="D720" s="9" t="n">
        <f aca="false">IF(ISNUMBER(C720),ABS(C720-BTC_Fit!$B$9),"")</f>
        <v>0.00142224108016742</v>
      </c>
    </row>
    <row r="721" customFormat="false" ht="15" hidden="false" customHeight="false" outlineLevel="0" collapsed="false">
      <c r="A721" s="7" t="s">
        <v>745</v>
      </c>
      <c r="B721" s="8" t="n">
        <v>101.372753</v>
      </c>
      <c r="C721" s="9" t="n">
        <f aca="false">IF(AND(ISNUMBER(B721),ISNUMBER(B720),B720&lt;&gt;0),B721/B720-1,"")</f>
        <v>0.000328549221173091</v>
      </c>
      <c r="D721" s="9" t="n">
        <f aca="false">IF(ISNUMBER(C721),ABS(C721-BTC_Fit!$B$9),"")</f>
        <v>0.000337912481457203</v>
      </c>
    </row>
    <row r="722" customFormat="false" ht="15" hidden="false" customHeight="false" outlineLevel="0" collapsed="false">
      <c r="A722" s="7" t="s">
        <v>746</v>
      </c>
      <c r="B722" s="8" t="n">
        <v>101.593155</v>
      </c>
      <c r="C722" s="9" t="n">
        <f aca="false">IF(AND(ISNUMBER(B722),ISNUMBER(B721),B721&lt;&gt;0),B722/B721-1,"")</f>
        <v>0.00217417396171515</v>
      </c>
      <c r="D722" s="9" t="n">
        <f aca="false">IF(ISNUMBER(C722),ABS(C722-BTC_Fit!$B$9),"")</f>
        <v>0.00218353722199927</v>
      </c>
    </row>
    <row r="723" customFormat="false" ht="15" hidden="false" customHeight="false" outlineLevel="0" collapsed="false">
      <c r="A723" s="7" t="s">
        <v>747</v>
      </c>
      <c r="B723" s="8" t="n">
        <v>101.595513</v>
      </c>
      <c r="C723" s="9" t="n">
        <f aca="false">IF(AND(ISNUMBER(B723),ISNUMBER(B722),B722&lt;&gt;0),B723/B722-1,"")</f>
        <v>2.32102251376265E-005</v>
      </c>
      <c r="D723" s="9" t="n">
        <f aca="false">IF(ISNUMBER(C723),ABS(C723-BTC_Fit!$B$9),"")</f>
        <v>3.25734854217385E-005</v>
      </c>
    </row>
    <row r="724" customFormat="false" ht="15" hidden="false" customHeight="false" outlineLevel="0" collapsed="false">
      <c r="A724" s="7" t="s">
        <v>748</v>
      </c>
      <c r="B724" s="8" t="n">
        <v>101.582352</v>
      </c>
      <c r="C724" s="9" t="n">
        <f aca="false">IF(AND(ISNUMBER(B724),ISNUMBER(B723),B723&lt;&gt;0),B724/B723-1,"")</f>
        <v>-0.000129543122637688</v>
      </c>
      <c r="D724" s="9" t="n">
        <f aca="false">IF(ISNUMBER(C724),ABS(C724-BTC_Fit!$B$9),"")</f>
        <v>0.000120179862353575</v>
      </c>
    </row>
    <row r="725" customFormat="false" ht="15" hidden="false" customHeight="false" outlineLevel="0" collapsed="false">
      <c r="A725" s="7" t="s">
        <v>749</v>
      </c>
      <c r="B725" s="8" t="n">
        <v>101.341407</v>
      </c>
      <c r="C725" s="9" t="n">
        <f aca="false">IF(AND(ISNUMBER(B725),ISNUMBER(B724),B724&lt;&gt;0),B725/B724-1,"")</f>
        <v>-0.00237191790952029</v>
      </c>
      <c r="D725" s="9" t="n">
        <f aca="false">IF(ISNUMBER(C725),ABS(C725-BTC_Fit!$B$9),"")</f>
        <v>0.00236255464923618</v>
      </c>
    </row>
    <row r="726" customFormat="false" ht="15" hidden="false" customHeight="false" outlineLevel="0" collapsed="false">
      <c r="A726" s="7" t="s">
        <v>750</v>
      </c>
      <c r="B726" s="8" t="n">
        <v>101.571259</v>
      </c>
      <c r="C726" s="9" t="n">
        <f aca="false">IF(AND(ISNUMBER(B726),ISNUMBER(B725),B725&lt;&gt;0),B726/B725-1,"")</f>
        <v>0.00226809560676422</v>
      </c>
      <c r="D726" s="9" t="n">
        <f aca="false">IF(ISNUMBER(C726),ABS(C726-BTC_Fit!$B$9),"")</f>
        <v>0.00227745886704833</v>
      </c>
    </row>
    <row r="727" customFormat="false" ht="15" hidden="false" customHeight="false" outlineLevel="0" collapsed="false">
      <c r="A727" s="7" t="s">
        <v>751</v>
      </c>
      <c r="B727" s="8" t="n">
        <v>101.426838</v>
      </c>
      <c r="C727" s="9" t="n">
        <f aca="false">IF(AND(ISNUMBER(B727),ISNUMBER(B726),B726&lt;&gt;0),B727/B726-1,"")</f>
        <v>-0.00142186875915351</v>
      </c>
      <c r="D727" s="9" t="n">
        <f aca="false">IF(ISNUMBER(C727),ABS(C727-BTC_Fit!$B$9),"")</f>
        <v>0.0014125054988694</v>
      </c>
    </row>
    <row r="728" customFormat="false" ht="15" hidden="false" customHeight="false" outlineLevel="0" collapsed="false">
      <c r="A728" s="7" t="s">
        <v>752</v>
      </c>
      <c r="B728" s="8" t="n">
        <v>101.198709</v>
      </c>
      <c r="C728" s="9" t="n">
        <f aca="false">IF(AND(ISNUMBER(B728),ISNUMBER(B727),B727&lt;&gt;0),B728/B727-1,"")</f>
        <v>-0.0022491975940333</v>
      </c>
      <c r="D728" s="9" t="n">
        <f aca="false">IF(ISNUMBER(C728),ABS(C728-BTC_Fit!$B$9),"")</f>
        <v>0.00223983433374919</v>
      </c>
    </row>
    <row r="729" customFormat="false" ht="15" hidden="false" customHeight="false" outlineLevel="0" collapsed="false">
      <c r="A729" s="7" t="s">
        <v>753</v>
      </c>
      <c r="B729" s="8" t="n">
        <v>101.134134</v>
      </c>
      <c r="C729" s="9" t="n">
        <f aca="false">IF(AND(ISNUMBER(B729),ISNUMBER(B728),B728&lt;&gt;0),B729/B728-1,"")</f>
        <v>-0.000638101025577265</v>
      </c>
      <c r="D729" s="9" t="n">
        <f aca="false">IF(ISNUMBER(C729),ABS(C729-BTC_Fit!$B$9),"")</f>
        <v>0.000628737765293153</v>
      </c>
    </row>
    <row r="730" customFormat="false" ht="15" hidden="false" customHeight="false" outlineLevel="0" collapsed="false">
      <c r="A730" s="7" t="s">
        <v>754</v>
      </c>
      <c r="B730" s="8" t="n">
        <v>100.949171</v>
      </c>
      <c r="C730" s="9" t="n">
        <f aca="false">IF(AND(ISNUMBER(B730),ISNUMBER(B729),B729&lt;&gt;0),B730/B729-1,"")</f>
        <v>-0.00182888795982572</v>
      </c>
      <c r="D730" s="9" t="n">
        <f aca="false">IF(ISNUMBER(C730),ABS(C730-BTC_Fit!$B$9),"")</f>
        <v>0.00181952469954161</v>
      </c>
    </row>
    <row r="731" customFormat="false" ht="15" hidden="false" customHeight="false" outlineLevel="0" collapsed="false">
      <c r="A731" s="7" t="s">
        <v>755</v>
      </c>
      <c r="B731" s="8" t="n">
        <v>100.940626</v>
      </c>
      <c r="C731" s="9" t="n">
        <f aca="false">IF(AND(ISNUMBER(B731),ISNUMBER(B730),B730&lt;&gt;0),B731/B730-1,"")</f>
        <v>-8.46465594057655E-005</v>
      </c>
      <c r="D731" s="9" t="n">
        <f aca="false">IF(ISNUMBER(C731),ABS(C731-BTC_Fit!$B$9),"")</f>
        <v>7.52832991216534E-005</v>
      </c>
    </row>
    <row r="732" customFormat="false" ht="15" hidden="false" customHeight="false" outlineLevel="0" collapsed="false">
      <c r="A732" s="7" t="s">
        <v>756</v>
      </c>
      <c r="B732" s="8" t="n">
        <v>100.943597</v>
      </c>
      <c r="C732" s="9" t="n">
        <f aca="false">IF(AND(ISNUMBER(B732),ISNUMBER(B731),B731&lt;&gt;0),B732/B731-1,"")</f>
        <v>2.9433144193014E-005</v>
      </c>
      <c r="D732" s="9" t="n">
        <f aca="false">IF(ISNUMBER(C732),ABS(C732-BTC_Fit!$B$9),"")</f>
        <v>3.87964044771261E-005</v>
      </c>
    </row>
    <row r="733" customFormat="false" ht="15" hidden="false" customHeight="false" outlineLevel="0" collapsed="false">
      <c r="A733" s="7" t="s">
        <v>757</v>
      </c>
      <c r="B733" s="8" t="n">
        <v>100.900918</v>
      </c>
      <c r="C733" s="9" t="n">
        <f aca="false">IF(AND(ISNUMBER(B733),ISNUMBER(B732),B732&lt;&gt;0),B733/B732-1,"")</f>
        <v>-0.000422800467472895</v>
      </c>
      <c r="D733" s="9" t="n">
        <f aca="false">IF(ISNUMBER(C733),ABS(C733-BTC_Fit!$B$9),"")</f>
        <v>0.000413437207188783</v>
      </c>
    </row>
    <row r="734" customFormat="false" ht="15" hidden="false" customHeight="false" outlineLevel="0" collapsed="false">
      <c r="A734" s="7" t="s">
        <v>758</v>
      </c>
      <c r="B734" s="8" t="n">
        <v>100.693547</v>
      </c>
      <c r="C734" s="9" t="n">
        <f aca="false">IF(AND(ISNUMBER(B734),ISNUMBER(B733),B733&lt;&gt;0),B734/B733-1,"")</f>
        <v>-0.00205519438386093</v>
      </c>
      <c r="D734" s="9" t="n">
        <f aca="false">IF(ISNUMBER(C734),ABS(C734-BTC_Fit!$B$9),"")</f>
        <v>0.00204583112357681</v>
      </c>
    </row>
    <row r="735" customFormat="false" ht="15" hidden="false" customHeight="false" outlineLevel="0" collapsed="false">
      <c r="A735" s="7" t="s">
        <v>759</v>
      </c>
      <c r="B735" s="8" t="n">
        <v>100.557639</v>
      </c>
      <c r="C735" s="9" t="n">
        <f aca="false">IF(AND(ISNUMBER(B735),ISNUMBER(B734),B734&lt;&gt;0),B735/B734-1,"")</f>
        <v>-0.00134971906392378</v>
      </c>
      <c r="D735" s="9" t="n">
        <f aca="false">IF(ISNUMBER(C735),ABS(C735-BTC_Fit!$B$9),"")</f>
        <v>0.00134035580363967</v>
      </c>
    </row>
    <row r="736" customFormat="false" ht="15" hidden="false" customHeight="false" outlineLevel="0" collapsed="false">
      <c r="A736" s="7" t="s">
        <v>760</v>
      </c>
      <c r="B736" s="8" t="n">
        <v>100.533868</v>
      </c>
      <c r="C736" s="9" t="n">
        <f aca="false">IF(AND(ISNUMBER(B736),ISNUMBER(B735),B735&lt;&gt;0),B736/B735-1,"")</f>
        <v>-0.000236391787201695</v>
      </c>
      <c r="D736" s="9" t="n">
        <f aca="false">IF(ISNUMBER(C736),ABS(C736-BTC_Fit!$B$9),"")</f>
        <v>0.000227028526917583</v>
      </c>
    </row>
    <row r="737" customFormat="false" ht="15" hidden="false" customHeight="false" outlineLevel="0" collapsed="false">
      <c r="A737" s="7" t="s">
        <v>761</v>
      </c>
      <c r="B737" s="8" t="n">
        <v>100.342819</v>
      </c>
      <c r="C737" s="9" t="n">
        <f aca="false">IF(AND(ISNUMBER(B737),ISNUMBER(B736),B736&lt;&gt;0),B737/B736-1,"")</f>
        <v>-0.0019003446679281</v>
      </c>
      <c r="D737" s="9" t="n">
        <f aca="false">IF(ISNUMBER(C737),ABS(C737-BTC_Fit!$B$9),"")</f>
        <v>0.00189098140764399</v>
      </c>
    </row>
    <row r="738" customFormat="false" ht="15" hidden="false" customHeight="false" outlineLevel="0" collapsed="false">
      <c r="A738" s="7" t="s">
        <v>762</v>
      </c>
      <c r="B738" s="8" t="n">
        <v>100.388408</v>
      </c>
      <c r="C738" s="9" t="n">
        <f aca="false">IF(AND(ISNUMBER(B738),ISNUMBER(B737),B737&lt;&gt;0),B738/B737-1,"")</f>
        <v>0.000454332461996998</v>
      </c>
      <c r="D738" s="9" t="n">
        <f aca="false">IF(ISNUMBER(C738),ABS(C738-BTC_Fit!$B$9),"")</f>
        <v>0.00046369572228111</v>
      </c>
    </row>
    <row r="739" customFormat="false" ht="15" hidden="false" customHeight="false" outlineLevel="0" collapsed="false">
      <c r="A739" s="7" t="s">
        <v>763</v>
      </c>
      <c r="B739" s="8" t="n">
        <v>100.308739</v>
      </c>
      <c r="C739" s="9" t="n">
        <f aca="false">IF(AND(ISNUMBER(B739),ISNUMBER(B738),B738&lt;&gt;0),B739/B738-1,"")</f>
        <v>-0.000793607564729904</v>
      </c>
      <c r="D739" s="9" t="n">
        <f aca="false">IF(ISNUMBER(C739),ABS(C739-BTC_Fit!$B$9),"")</f>
        <v>0.000784244304445791</v>
      </c>
    </row>
    <row r="740" customFormat="false" ht="15" hidden="false" customHeight="false" outlineLevel="0" collapsed="false">
      <c r="A740" s="7" t="s">
        <v>764</v>
      </c>
      <c r="B740" s="8" t="n">
        <v>100.263244</v>
      </c>
      <c r="C740" s="9" t="n">
        <f aca="false">IF(AND(ISNUMBER(B740),ISNUMBER(B739),B739&lt;&gt;0),B740/B739-1,"")</f>
        <v>-0.000453549715144996</v>
      </c>
      <c r="D740" s="9" t="n">
        <f aca="false">IF(ISNUMBER(C740),ABS(C740-BTC_Fit!$B$9),"")</f>
        <v>0.000444186454860884</v>
      </c>
    </row>
    <row r="741" customFormat="false" ht="15" hidden="false" customHeight="false" outlineLevel="0" collapsed="false">
      <c r="A741" s="7" t="s">
        <v>765</v>
      </c>
      <c r="B741" s="8" t="n">
        <v>100.241773</v>
      </c>
      <c r="C741" s="9" t="n">
        <f aca="false">IF(AND(ISNUMBER(B741),ISNUMBER(B740),B740&lt;&gt;0),B741/B740-1,"")</f>
        <v>-0.000214146272785709</v>
      </c>
      <c r="D741" s="9" t="n">
        <f aca="false">IF(ISNUMBER(C741),ABS(C741-BTC_Fit!$B$9),"")</f>
        <v>0.000204783012501597</v>
      </c>
    </row>
    <row r="742" customFormat="false" ht="15" hidden="false" customHeight="false" outlineLevel="0" collapsed="false">
      <c r="A742" s="7" t="s">
        <v>766</v>
      </c>
      <c r="B742" s="8" t="n">
        <v>100.225312</v>
      </c>
      <c r="C742" s="9" t="n">
        <f aca="false">IF(AND(ISNUMBER(B742),ISNUMBER(B741),B741&lt;&gt;0),B742/B741-1,"")</f>
        <v>-0.000164212977358136</v>
      </c>
      <c r="D742" s="9" t="n">
        <f aca="false">IF(ISNUMBER(C742),ABS(C742-BTC_Fit!$B$9),"")</f>
        <v>0.000154849717074024</v>
      </c>
    </row>
    <row r="743" customFormat="false" ht="15" hidden="false" customHeight="false" outlineLevel="0" collapsed="false">
      <c r="A743" s="7" t="s">
        <v>767</v>
      </c>
      <c r="B743" s="8" t="n">
        <v>99.710492</v>
      </c>
      <c r="C743" s="9" t="n">
        <f aca="false">IF(AND(ISNUMBER(B743),ISNUMBER(B742),B742&lt;&gt;0),B743/B742-1,"")</f>
        <v>-0.00513662656395619</v>
      </c>
      <c r="D743" s="9" t="n">
        <f aca="false">IF(ISNUMBER(C743),ABS(C743-BTC_Fit!$B$9),"")</f>
        <v>0.00512726330367208</v>
      </c>
    </row>
    <row r="744" customFormat="false" ht="15" hidden="false" customHeight="false" outlineLevel="0" collapsed="false">
      <c r="A744" s="7" t="s">
        <v>768</v>
      </c>
      <c r="B744" s="8" t="n">
        <v>99.576288</v>
      </c>
      <c r="C744" s="9" t="n">
        <f aca="false">IF(AND(ISNUMBER(B744),ISNUMBER(B743),B743&lt;&gt;0),B744/B743-1,"")</f>
        <v>-0.00134593659411486</v>
      </c>
      <c r="D744" s="9" t="n">
        <f aca="false">IF(ISNUMBER(C744),ABS(C744-BTC_Fit!$B$9),"")</f>
        <v>0.00133657333383075</v>
      </c>
    </row>
    <row r="745" customFormat="false" ht="15" hidden="false" customHeight="false" outlineLevel="0" collapsed="false">
      <c r="A745" s="7" t="s">
        <v>769</v>
      </c>
      <c r="B745" s="8" t="n">
        <v>99.692157</v>
      </c>
      <c r="C745" s="9" t="n">
        <f aca="false">IF(AND(ISNUMBER(B745),ISNUMBER(B744),B744&lt;&gt;0),B745/B744-1,"")</f>
        <v>0.00116362039926599</v>
      </c>
      <c r="D745" s="9" t="n">
        <f aca="false">IF(ISNUMBER(C745),ABS(C745-BTC_Fit!$B$9),"")</f>
        <v>0.0011729836595501</v>
      </c>
    </row>
    <row r="746" customFormat="false" ht="15" hidden="false" customHeight="false" outlineLevel="0" collapsed="false">
      <c r="A746" s="7" t="s">
        <v>770</v>
      </c>
      <c r="B746" s="8" t="n">
        <v>99.153361</v>
      </c>
      <c r="C746" s="9" t="n">
        <f aca="false">IF(AND(ISNUMBER(B746),ISNUMBER(B745),B745&lt;&gt;0),B746/B745-1,"")</f>
        <v>-0.00540459767562251</v>
      </c>
      <c r="D746" s="9" t="n">
        <f aca="false">IF(ISNUMBER(C746),ABS(C746-BTC_Fit!$B$9),"")</f>
        <v>0.0053952344153384</v>
      </c>
    </row>
    <row r="747" customFormat="false" ht="15" hidden="false" customHeight="false" outlineLevel="0" collapsed="false">
      <c r="A747" s="7" t="s">
        <v>771</v>
      </c>
      <c r="B747" s="8" t="n">
        <v>99.154831</v>
      </c>
      <c r="C747" s="9" t="n">
        <f aca="false">IF(AND(ISNUMBER(B747),ISNUMBER(B746),B746&lt;&gt;0),B747/B746-1,"")</f>
        <v>1.48255186225299E-005</v>
      </c>
      <c r="D747" s="9" t="n">
        <f aca="false">IF(ISNUMBER(C747),ABS(C747-BTC_Fit!$B$9),"")</f>
        <v>2.4188778906642E-005</v>
      </c>
    </row>
    <row r="748" customFormat="false" ht="15" hidden="false" customHeight="false" outlineLevel="0" collapsed="false">
      <c r="A748" s="7" t="s">
        <v>772</v>
      </c>
      <c r="B748" s="8" t="n">
        <v>99.152937</v>
      </c>
      <c r="C748" s="9" t="n">
        <f aca="false">IF(AND(ISNUMBER(B748),ISNUMBER(B747),B747&lt;&gt;0),B748/B747-1,"")</f>
        <v>-1.91014394448352E-005</v>
      </c>
      <c r="D748" s="9" t="n">
        <f aca="false">IF(ISNUMBER(C748),ABS(C748-BTC_Fit!$B$9),"")</f>
        <v>9.73817916072317E-006</v>
      </c>
    </row>
    <row r="749" customFormat="false" ht="15" hidden="false" customHeight="false" outlineLevel="0" collapsed="false">
      <c r="A749" s="7" t="s">
        <v>773</v>
      </c>
      <c r="B749" s="8" t="n">
        <v>99.11669</v>
      </c>
      <c r="C749" s="9" t="n">
        <f aca="false">IF(AND(ISNUMBER(B749),ISNUMBER(B748),B748&lt;&gt;0),B749/B748-1,"")</f>
        <v>-0.000365566579232923</v>
      </c>
      <c r="D749" s="9" t="n">
        <f aca="false">IF(ISNUMBER(C749),ABS(C749-BTC_Fit!$B$9),"")</f>
        <v>0.000356203318948811</v>
      </c>
    </row>
    <row r="750" customFormat="false" ht="15" hidden="false" customHeight="false" outlineLevel="0" collapsed="false">
      <c r="A750" s="7" t="s">
        <v>774</v>
      </c>
      <c r="B750" s="8" t="n">
        <v>99.103511</v>
      </c>
      <c r="C750" s="9" t="n">
        <f aca="false">IF(AND(ISNUMBER(B750),ISNUMBER(B749),B749&lt;&gt;0),B750/B749-1,"")</f>
        <v>-0.000132964488624543</v>
      </c>
      <c r="D750" s="9" t="n">
        <f aca="false">IF(ISNUMBER(C750),ABS(C750-BTC_Fit!$B$9),"")</f>
        <v>0.000123601228340431</v>
      </c>
    </row>
    <row r="751" customFormat="false" ht="15" hidden="false" customHeight="false" outlineLevel="0" collapsed="false">
      <c r="A751" s="7" t="s">
        <v>775</v>
      </c>
      <c r="B751" s="8" t="n">
        <v>99.176973</v>
      </c>
      <c r="C751" s="9" t="n">
        <f aca="false">IF(AND(ISNUMBER(B751),ISNUMBER(B750),B750&lt;&gt;0),B751/B750-1,"")</f>
        <v>0.000741265362435017</v>
      </c>
      <c r="D751" s="9" t="n">
        <f aca="false">IF(ISNUMBER(C751),ABS(C751-BTC_Fit!$B$9),"")</f>
        <v>0.000750628622719129</v>
      </c>
    </row>
    <row r="752" customFormat="false" ht="15" hidden="false" customHeight="false" outlineLevel="0" collapsed="false">
      <c r="A752" s="7" t="s">
        <v>776</v>
      </c>
      <c r="B752" s="8" t="n">
        <v>99.279352</v>
      </c>
      <c r="C752" s="9" t="n">
        <f aca="false">IF(AND(ISNUMBER(B752),ISNUMBER(B751),B751&lt;&gt;0),B752/B751-1,"")</f>
        <v>0.00103228599243499</v>
      </c>
      <c r="D752" s="9" t="n">
        <f aca="false">IF(ISNUMBER(C752),ABS(C752-BTC_Fit!$B$9),"")</f>
        <v>0.0010416492527191</v>
      </c>
    </row>
    <row r="753" customFormat="false" ht="15" hidden="false" customHeight="false" outlineLevel="0" collapsed="false">
      <c r="A753" s="7" t="s">
        <v>777</v>
      </c>
      <c r="B753" s="8" t="n">
        <v>99.221042</v>
      </c>
      <c r="C753" s="9" t="n">
        <f aca="false">IF(AND(ISNUMBER(B753),ISNUMBER(B752),B752&lt;&gt;0),B753/B752-1,"")</f>
        <v>-0.000587332600639923</v>
      </c>
      <c r="D753" s="9" t="n">
        <f aca="false">IF(ISNUMBER(C753),ABS(C753-BTC_Fit!$B$9),"")</f>
        <v>0.000577969340355811</v>
      </c>
    </row>
    <row r="754" customFormat="false" ht="15" hidden="false" customHeight="false" outlineLevel="0" collapsed="false">
      <c r="A754" s="7" t="s">
        <v>778</v>
      </c>
      <c r="B754" s="8" t="n">
        <v>99.181882</v>
      </c>
      <c r="C754" s="9" t="n">
        <f aca="false">IF(AND(ISNUMBER(B754),ISNUMBER(B753),B753&lt;&gt;0),B754/B753-1,"")</f>
        <v>-0.000394674347403035</v>
      </c>
      <c r="D754" s="9" t="n">
        <f aca="false">IF(ISNUMBER(C754),ABS(C754-BTC_Fit!$B$9),"")</f>
        <v>0.000385311087118923</v>
      </c>
    </row>
    <row r="755" customFormat="false" ht="15" hidden="false" customHeight="false" outlineLevel="0" collapsed="false">
      <c r="A755" s="7" t="s">
        <v>779</v>
      </c>
      <c r="B755" s="8" t="n">
        <v>99.117284</v>
      </c>
      <c r="C755" s="9" t="n">
        <f aca="false">IF(AND(ISNUMBER(B755),ISNUMBER(B754),B754&lt;&gt;0),B755/B754-1,"")</f>
        <v>-0.000651308471843692</v>
      </c>
      <c r="D755" s="9" t="n">
        <f aca="false">IF(ISNUMBER(C755),ABS(C755-BTC_Fit!$B$9),"")</f>
        <v>0.00064194521155958</v>
      </c>
    </row>
    <row r="756" customFormat="false" ht="15" hidden="false" customHeight="false" outlineLevel="0" collapsed="false">
      <c r="A756" s="7" t="s">
        <v>780</v>
      </c>
      <c r="B756" s="8" t="n">
        <v>99.113617</v>
      </c>
      <c r="C756" s="9" t="n">
        <f aca="false">IF(AND(ISNUMBER(B756),ISNUMBER(B755),B755&lt;&gt;0),B756/B755-1,"")</f>
        <v>-3.6996574684145E-005</v>
      </c>
      <c r="D756" s="9" t="n">
        <f aca="false">IF(ISNUMBER(C756),ABS(C756-BTC_Fit!$B$9),"")</f>
        <v>2.76333144000329E-005</v>
      </c>
    </row>
    <row r="757" customFormat="false" ht="15" hidden="false" customHeight="false" outlineLevel="0" collapsed="false">
      <c r="A757" s="7" t="s">
        <v>781</v>
      </c>
      <c r="B757" s="8" t="n">
        <v>99.154339</v>
      </c>
      <c r="C757" s="9" t="n">
        <f aca="false">IF(AND(ISNUMBER(B757),ISNUMBER(B756),B756&lt;&gt;0),B757/B756-1,"")</f>
        <v>0.000410861809230445</v>
      </c>
      <c r="D757" s="9" t="n">
        <f aca="false">IF(ISNUMBER(C757),ABS(C757-BTC_Fit!$B$9),"")</f>
        <v>0.000420225069514557</v>
      </c>
    </row>
    <row r="758" customFormat="false" ht="15" hidden="false" customHeight="false" outlineLevel="0" collapsed="false">
      <c r="A758" s="7" t="s">
        <v>782</v>
      </c>
      <c r="B758" s="8" t="n">
        <v>99.084362</v>
      </c>
      <c r="C758" s="9" t="n">
        <f aca="false">IF(AND(ISNUMBER(B758),ISNUMBER(B757),B757&lt;&gt;0),B758/B757-1,"")</f>
        <v>-0.000705738152316227</v>
      </c>
      <c r="D758" s="9" t="n">
        <f aca="false">IF(ISNUMBER(C758),ABS(C758-BTC_Fit!$B$9),"")</f>
        <v>0.000696374892032114</v>
      </c>
    </row>
    <row r="759" customFormat="false" ht="15" hidden="false" customHeight="false" outlineLevel="0" collapsed="false">
      <c r="A759" s="7" t="s">
        <v>783</v>
      </c>
      <c r="B759" s="8" t="n">
        <v>99.047507</v>
      </c>
      <c r="C759" s="9" t="n">
        <f aca="false">IF(AND(ISNUMBER(B759),ISNUMBER(B758),B758&lt;&gt;0),B759/B758-1,"")</f>
        <v>-0.000371955768358356</v>
      </c>
      <c r="D759" s="9" t="n">
        <f aca="false">IF(ISNUMBER(C759),ABS(C759-BTC_Fit!$B$9),"")</f>
        <v>0.000362592508074244</v>
      </c>
    </row>
    <row r="760" customFormat="false" ht="15" hidden="false" customHeight="false" outlineLevel="0" collapsed="false">
      <c r="A760" s="7" t="s">
        <v>784</v>
      </c>
      <c r="B760" s="8" t="n">
        <v>99.223263</v>
      </c>
      <c r="C760" s="9" t="n">
        <f aca="false">IF(AND(ISNUMBER(B760),ISNUMBER(B759),B759&lt;&gt;0),B760/B759-1,"")</f>
        <v>0.00177446162274442</v>
      </c>
      <c r="D760" s="9" t="n">
        <f aca="false">IF(ISNUMBER(C760),ABS(C760-BTC_Fit!$B$9),"")</f>
        <v>0.00178382488302853</v>
      </c>
    </row>
    <row r="761" customFormat="false" ht="15" hidden="false" customHeight="false" outlineLevel="0" collapsed="false">
      <c r="A761" s="7" t="s">
        <v>785</v>
      </c>
      <c r="B761" s="8" t="n">
        <v>99.015047</v>
      </c>
      <c r="C761" s="9" t="n">
        <f aca="false">IF(AND(ISNUMBER(B761),ISNUMBER(B760),B760&lt;&gt;0),B761/B760-1,"")</f>
        <v>-0.0020984595114556</v>
      </c>
      <c r="D761" s="9" t="n">
        <f aca="false">IF(ISNUMBER(C761),ABS(C761-BTC_Fit!$B$9),"")</f>
        <v>0.00208909625117149</v>
      </c>
    </row>
    <row r="762" customFormat="false" ht="15" hidden="false" customHeight="false" outlineLevel="0" collapsed="false">
      <c r="A762" s="7" t="s">
        <v>786</v>
      </c>
      <c r="B762" s="8" t="n">
        <v>99.007766</v>
      </c>
      <c r="C762" s="9" t="n">
        <f aca="false">IF(AND(ISNUMBER(B762),ISNUMBER(B761),B761&lt;&gt;0),B762/B761-1,"")</f>
        <v>-7.35342780778803E-005</v>
      </c>
      <c r="D762" s="9" t="n">
        <f aca="false">IF(ISNUMBER(C762),ABS(C762-BTC_Fit!$B$9),"")</f>
        <v>6.41710177937682E-005</v>
      </c>
    </row>
    <row r="763" customFormat="false" ht="15" hidden="false" customHeight="false" outlineLevel="0" collapsed="false">
      <c r="A763" s="7" t="s">
        <v>787</v>
      </c>
      <c r="B763" s="8" t="n">
        <v>99.056785</v>
      </c>
      <c r="C763" s="9" t="n">
        <f aca="false">IF(AND(ISNUMBER(B763),ISNUMBER(B762),B762&lt;&gt;0),B763/B762-1,"")</f>
        <v>0.000495102576094864</v>
      </c>
      <c r="D763" s="9" t="n">
        <f aca="false">IF(ISNUMBER(C763),ABS(C763-BTC_Fit!$B$9),"")</f>
        <v>0.000504465836378976</v>
      </c>
    </row>
    <row r="764" customFormat="false" ht="15" hidden="false" customHeight="false" outlineLevel="0" collapsed="false">
      <c r="A764" s="7" t="s">
        <v>788</v>
      </c>
      <c r="B764" s="8" t="n">
        <v>98.949719</v>
      </c>
      <c r="C764" s="9" t="n">
        <f aca="false">IF(AND(ISNUMBER(B764),ISNUMBER(B763),B763&lt;&gt;0),B764/B763-1,"")</f>
        <v>-0.00108085478445519</v>
      </c>
      <c r="D764" s="9" t="n">
        <f aca="false">IF(ISNUMBER(C764),ABS(C764-BTC_Fit!$B$9),"")</f>
        <v>0.00107149152417108</v>
      </c>
    </row>
    <row r="765" customFormat="false" ht="15" hidden="false" customHeight="false" outlineLevel="0" collapsed="false">
      <c r="A765" s="7" t="s">
        <v>789</v>
      </c>
      <c r="B765" s="8" t="n">
        <v>98.739858</v>
      </c>
      <c r="C765" s="9" t="n">
        <f aca="false">IF(AND(ISNUMBER(B765),ISNUMBER(B764),B764&lt;&gt;0),B765/B764-1,"")</f>
        <v>-0.00212088525486365</v>
      </c>
      <c r="D765" s="9" t="n">
        <f aca="false">IF(ISNUMBER(C765),ABS(C765-BTC_Fit!$B$9),"")</f>
        <v>0.00211152199457954</v>
      </c>
    </row>
    <row r="766" customFormat="false" ht="15" hidden="false" customHeight="false" outlineLevel="0" collapsed="false">
      <c r="A766" s="7" t="s">
        <v>790</v>
      </c>
      <c r="B766" s="8" t="n">
        <v>98.625589</v>
      </c>
      <c r="C766" s="9" t="n">
        <f aca="false">IF(AND(ISNUMBER(B766),ISNUMBER(B765),B765&lt;&gt;0),B766/B765-1,"")</f>
        <v>-0.00115727328674098</v>
      </c>
      <c r="D766" s="9" t="n">
        <f aca="false">IF(ISNUMBER(C766),ABS(C766-BTC_Fit!$B$9),"")</f>
        <v>0.00114791002645687</v>
      </c>
    </row>
    <row r="767" customFormat="false" ht="15" hidden="false" customHeight="false" outlineLevel="0" collapsed="false">
      <c r="A767" s="7" t="s">
        <v>791</v>
      </c>
      <c r="B767" s="8" t="n">
        <v>98.786958</v>
      </c>
      <c r="C767" s="9" t="n">
        <f aca="false">IF(AND(ISNUMBER(B767),ISNUMBER(B766),B766&lt;&gt;0),B767/B766-1,"")</f>
        <v>0.00163617780776937</v>
      </c>
      <c r="D767" s="9" t="n">
        <f aca="false">IF(ISNUMBER(C767),ABS(C767-BTC_Fit!$B$9),"")</f>
        <v>0.00164554106805348</v>
      </c>
    </row>
    <row r="768" customFormat="false" ht="15" hidden="false" customHeight="false" outlineLevel="0" collapsed="false">
      <c r="A768" s="7" t="s">
        <v>792</v>
      </c>
      <c r="B768" s="8" t="n">
        <v>98.432309</v>
      </c>
      <c r="C768" s="9" t="n">
        <f aca="false">IF(AND(ISNUMBER(B768),ISNUMBER(B767),B767&lt;&gt;0),B768/B767-1,"")</f>
        <v>-0.00359003867696783</v>
      </c>
      <c r="D768" s="9" t="n">
        <f aca="false">IF(ISNUMBER(C768),ABS(C768-BTC_Fit!$B$9),"")</f>
        <v>0.00358067541668372</v>
      </c>
    </row>
    <row r="769" customFormat="false" ht="15" hidden="false" customHeight="false" outlineLevel="0" collapsed="false">
      <c r="A769" s="7" t="s">
        <v>793</v>
      </c>
      <c r="B769" s="8" t="n">
        <v>98.345806</v>
      </c>
      <c r="C769" s="9" t="n">
        <f aca="false">IF(AND(ISNUMBER(B769),ISNUMBER(B768),B768&lt;&gt;0),B769/B768-1,"")</f>
        <v>-0.000878806977899993</v>
      </c>
      <c r="D769" s="9" t="n">
        <f aca="false">IF(ISNUMBER(C769),ABS(C769-BTC_Fit!$B$9),"")</f>
        <v>0.000869443717615881</v>
      </c>
    </row>
    <row r="770" customFormat="false" ht="15" hidden="false" customHeight="false" outlineLevel="0" collapsed="false">
      <c r="A770" s="7" t="s">
        <v>794</v>
      </c>
      <c r="B770" s="8" t="n">
        <v>98.100496</v>
      </c>
      <c r="C770" s="9" t="n">
        <f aca="false">IF(AND(ISNUMBER(B770),ISNUMBER(B769),B769&lt;&gt;0),B770/B769-1,"")</f>
        <v>-0.00249436157958771</v>
      </c>
      <c r="D770" s="9" t="n">
        <f aca="false">IF(ISNUMBER(C770),ABS(C770-BTC_Fit!$B$9),"")</f>
        <v>0.0024849983193036</v>
      </c>
    </row>
    <row r="771" customFormat="false" ht="15" hidden="false" customHeight="false" outlineLevel="0" collapsed="false">
      <c r="A771" s="7" t="s">
        <v>795</v>
      </c>
      <c r="B771" s="8" t="n">
        <v>97.967316</v>
      </c>
      <c r="C771" s="9" t="n">
        <f aca="false">IF(AND(ISNUMBER(B771),ISNUMBER(B770),B770&lt;&gt;0),B771/B770-1,"")</f>
        <v>-0.0013575874274887</v>
      </c>
      <c r="D771" s="9" t="n">
        <f aca="false">IF(ISNUMBER(C771),ABS(C771-BTC_Fit!$B$9),"")</f>
        <v>0.00134822416720459</v>
      </c>
    </row>
    <row r="772" customFormat="false" ht="15" hidden="false" customHeight="false" outlineLevel="0" collapsed="false">
      <c r="A772" s="7" t="s">
        <v>796</v>
      </c>
      <c r="B772" s="8" t="n">
        <v>97.991548</v>
      </c>
      <c r="C772" s="9" t="n">
        <f aca="false">IF(AND(ISNUMBER(B772),ISNUMBER(B771),B771&lt;&gt;0),B772/B771-1,"")</f>
        <v>0.000247347799137376</v>
      </c>
      <c r="D772" s="9" t="n">
        <f aca="false">IF(ISNUMBER(C772),ABS(C772-BTC_Fit!$B$9),"")</f>
        <v>0.000256711059421488</v>
      </c>
    </row>
    <row r="773" customFormat="false" ht="15" hidden="false" customHeight="false" outlineLevel="0" collapsed="false">
      <c r="A773" s="7" t="s">
        <v>797</v>
      </c>
      <c r="B773" s="8" t="n">
        <v>97.927418</v>
      </c>
      <c r="C773" s="9" t="n">
        <f aca="false">IF(AND(ISNUMBER(B773),ISNUMBER(B772),B772&lt;&gt;0),B773/B772-1,"")</f>
        <v>-0.000654444197574988</v>
      </c>
      <c r="D773" s="9" t="n">
        <f aca="false">IF(ISNUMBER(C773),ABS(C773-BTC_Fit!$B$9),"")</f>
        <v>0.000645080937290876</v>
      </c>
    </row>
    <row r="774" customFormat="false" ht="15" hidden="false" customHeight="false" outlineLevel="0" collapsed="false">
      <c r="A774" s="7" t="s">
        <v>798</v>
      </c>
      <c r="B774" s="8" t="n">
        <v>97.940549</v>
      </c>
      <c r="C774" s="9" t="n">
        <f aca="false">IF(AND(ISNUMBER(B774),ISNUMBER(B773),B773&lt;&gt;0),B774/B773-1,"")</f>
        <v>0.000134089106689217</v>
      </c>
      <c r="D774" s="9" t="n">
        <f aca="false">IF(ISNUMBER(C774),ABS(C774-BTC_Fit!$B$9),"")</f>
        <v>0.000143452366973329</v>
      </c>
    </row>
    <row r="775" customFormat="false" ht="15" hidden="false" customHeight="false" outlineLevel="0" collapsed="false">
      <c r="A775" s="7" t="s">
        <v>799</v>
      </c>
      <c r="B775" s="8" t="n">
        <v>97.958084</v>
      </c>
      <c r="C775" s="9" t="n">
        <f aca="false">IF(AND(ISNUMBER(B775),ISNUMBER(B774),B774&lt;&gt;0),B775/B774-1,"")</f>
        <v>0.000179037183056785</v>
      </c>
      <c r="D775" s="9" t="n">
        <f aca="false">IF(ISNUMBER(C775),ABS(C775-BTC_Fit!$B$9),"")</f>
        <v>0.000188400443340897</v>
      </c>
    </row>
    <row r="776" customFormat="false" ht="15" hidden="false" customHeight="false" outlineLevel="0" collapsed="false">
      <c r="A776" s="7" t="s">
        <v>800</v>
      </c>
      <c r="B776" s="8" t="n">
        <v>98.063898</v>
      </c>
      <c r="C776" s="9" t="n">
        <f aca="false">IF(AND(ISNUMBER(B776),ISNUMBER(B775),B775&lt;&gt;0),B776/B775-1,"")</f>
        <v>0.00108019670944159</v>
      </c>
      <c r="D776" s="9" t="n">
        <f aca="false">IF(ISNUMBER(C776),ABS(C776-BTC_Fit!$B$9),"")</f>
        <v>0.00108955996972571</v>
      </c>
    </row>
    <row r="777" customFormat="false" ht="15" hidden="false" customHeight="false" outlineLevel="0" collapsed="false">
      <c r="A777" s="7" t="s">
        <v>801</v>
      </c>
      <c r="B777" s="8" t="n">
        <v>97.65277</v>
      </c>
      <c r="C777" s="9" t="n">
        <f aca="false">IF(AND(ISNUMBER(B777),ISNUMBER(B776),B776&lt;&gt;0),B777/B776-1,"")</f>
        <v>-0.00419245011043712</v>
      </c>
      <c r="D777" s="9" t="n">
        <f aca="false">IF(ISNUMBER(C777),ABS(C777-BTC_Fit!$B$9),"")</f>
        <v>0.00418308685015301</v>
      </c>
    </row>
    <row r="778" customFormat="false" ht="15" hidden="false" customHeight="false" outlineLevel="0" collapsed="false">
      <c r="A778" s="7" t="s">
        <v>802</v>
      </c>
      <c r="B778" s="8" t="n">
        <v>97.760581</v>
      </c>
      <c r="C778" s="9" t="n">
        <f aca="false">IF(AND(ISNUMBER(B778),ISNUMBER(B777),B777&lt;&gt;0),B778/B777-1,"")</f>
        <v>0.0011040239821154</v>
      </c>
      <c r="D778" s="9" t="n">
        <f aca="false">IF(ISNUMBER(C778),ABS(C778-BTC_Fit!$B$9),"")</f>
        <v>0.00111338724239951</v>
      </c>
    </row>
    <row r="779" customFormat="false" ht="15" hidden="false" customHeight="false" outlineLevel="0" collapsed="false">
      <c r="A779" s="7" t="s">
        <v>803</v>
      </c>
      <c r="B779" s="8" t="n">
        <v>97.784523</v>
      </c>
      <c r="C779" s="9" t="n">
        <f aca="false">IF(AND(ISNUMBER(B779),ISNUMBER(B778),B778&lt;&gt;0),B779/B778-1,"")</f>
        <v>0.000244904436482285</v>
      </c>
      <c r="D779" s="9" t="n">
        <f aca="false">IF(ISNUMBER(C779),ABS(C779-BTC_Fit!$B$9),"")</f>
        <v>0.000254267696766397</v>
      </c>
    </row>
    <row r="780" customFormat="false" ht="15" hidden="false" customHeight="false" outlineLevel="0" collapsed="false">
      <c r="A780" s="7" t="s">
        <v>804</v>
      </c>
      <c r="B780" s="8" t="n">
        <v>97.685742</v>
      </c>
      <c r="C780" s="9" t="n">
        <f aca="false">IF(AND(ISNUMBER(B780),ISNUMBER(B779),B779&lt;&gt;0),B780/B779-1,"")</f>
        <v>-0.00101019053904872</v>
      </c>
      <c r="D780" s="9" t="n">
        <f aca="false">IF(ISNUMBER(C780),ABS(C780-BTC_Fit!$B$9),"")</f>
        <v>0.0010008272787646</v>
      </c>
    </row>
    <row r="781" customFormat="false" ht="15" hidden="false" customHeight="false" outlineLevel="0" collapsed="false">
      <c r="A781" s="7" t="s">
        <v>805</v>
      </c>
      <c r="B781" s="8" t="n">
        <v>97.755143</v>
      </c>
      <c r="C781" s="9" t="n">
        <f aca="false">IF(AND(ISNUMBER(B781),ISNUMBER(B780),B780&lt;&gt;0),B781/B780-1,"")</f>
        <v>0.000710451684955205</v>
      </c>
      <c r="D781" s="9" t="n">
        <f aca="false">IF(ISNUMBER(C781),ABS(C781-BTC_Fit!$B$9),"")</f>
        <v>0.000719814945239317</v>
      </c>
    </row>
    <row r="782" customFormat="false" ht="15" hidden="false" customHeight="false" outlineLevel="0" collapsed="false">
      <c r="A782" s="7" t="s">
        <v>806</v>
      </c>
      <c r="B782" s="8" t="n">
        <v>97.864349</v>
      </c>
      <c r="C782" s="9" t="n">
        <f aca="false">IF(AND(ISNUMBER(B782),ISNUMBER(B781),B781&lt;&gt;0),B782/B781-1,"")</f>
        <v>0.0011171381540509</v>
      </c>
      <c r="D782" s="9" t="n">
        <f aca="false">IF(ISNUMBER(C782),ABS(C782-BTC_Fit!$B$9),"")</f>
        <v>0.00112650141433501</v>
      </c>
    </row>
    <row r="783" customFormat="false" ht="15" hidden="false" customHeight="false" outlineLevel="0" collapsed="false">
      <c r="A783" s="7" t="s">
        <v>807</v>
      </c>
      <c r="B783" s="8" t="n">
        <v>97.804788</v>
      </c>
      <c r="C783" s="9" t="n">
        <f aca="false">IF(AND(ISNUMBER(B783),ISNUMBER(B782),B782&lt;&gt;0),B783/B782-1,"")</f>
        <v>-0.000608607737226152</v>
      </c>
      <c r="D783" s="9" t="n">
        <f aca="false">IF(ISNUMBER(C783),ABS(C783-BTC_Fit!$B$9),"")</f>
        <v>0.00059924447694204</v>
      </c>
    </row>
    <row r="784" customFormat="false" ht="15" hidden="false" customHeight="false" outlineLevel="0" collapsed="false">
      <c r="A784" s="7" t="s">
        <v>808</v>
      </c>
      <c r="B784" s="8" t="n">
        <v>97.964782</v>
      </c>
      <c r="C784" s="9" t="n">
        <f aca="false">IF(AND(ISNUMBER(B784),ISNUMBER(B783),B783&lt;&gt;0),B784/B783-1,"")</f>
        <v>0.00163585038392999</v>
      </c>
      <c r="D784" s="9" t="n">
        <f aca="false">IF(ISNUMBER(C784),ABS(C784-BTC_Fit!$B$9),"")</f>
        <v>0.00164521364421411</v>
      </c>
    </row>
    <row r="785" customFormat="false" ht="15" hidden="false" customHeight="false" outlineLevel="0" collapsed="false">
      <c r="A785" s="7" t="s">
        <v>809</v>
      </c>
      <c r="B785" s="8" t="n">
        <v>97.956361</v>
      </c>
      <c r="C785" s="9" t="n">
        <f aca="false">IF(AND(ISNUMBER(B785),ISNUMBER(B784),B784&lt;&gt;0),B785/B784-1,"")</f>
        <v>-8.59594624524895E-005</v>
      </c>
      <c r="D785" s="9" t="n">
        <f aca="false">IF(ISNUMBER(C785),ABS(C785-BTC_Fit!$B$9),"")</f>
        <v>7.65962021683775E-005</v>
      </c>
    </row>
    <row r="786" customFormat="false" ht="15" hidden="false" customHeight="false" outlineLevel="0" collapsed="false">
      <c r="A786" s="7" t="s">
        <v>810</v>
      </c>
      <c r="B786" s="8" t="n">
        <v>97.976792</v>
      </c>
      <c r="C786" s="9" t="n">
        <f aca="false">IF(AND(ISNUMBER(B786),ISNUMBER(B785),B785&lt;&gt;0),B786/B785-1,"")</f>
        <v>0.000208572468305634</v>
      </c>
      <c r="D786" s="9" t="n">
        <f aca="false">IF(ISNUMBER(C786),ABS(C786-BTC_Fit!$B$9),"")</f>
        <v>0.000217935728589747</v>
      </c>
    </row>
    <row r="787" customFormat="false" ht="15" hidden="false" customHeight="false" outlineLevel="0" collapsed="false">
      <c r="A787" s="7" t="s">
        <v>811</v>
      </c>
      <c r="B787" s="8" t="n">
        <v>98.283961</v>
      </c>
      <c r="C787" s="9" t="n">
        <f aca="false">IF(AND(ISNUMBER(B787),ISNUMBER(B786),B786&lt;&gt;0),B787/B786-1,"")</f>
        <v>0.00313511999862182</v>
      </c>
      <c r="D787" s="9" t="n">
        <f aca="false">IF(ISNUMBER(C787),ABS(C787-BTC_Fit!$B$9),"")</f>
        <v>0.00314448325890593</v>
      </c>
    </row>
    <row r="788" customFormat="false" ht="15" hidden="false" customHeight="false" outlineLevel="0" collapsed="false">
      <c r="A788" s="7" t="s">
        <v>812</v>
      </c>
      <c r="B788" s="8" t="n">
        <v>98.255279</v>
      </c>
      <c r="C788" s="9" t="n">
        <f aca="false">IF(AND(ISNUMBER(B788),ISNUMBER(B787),B787&lt;&gt;0),B788/B787-1,"")</f>
        <v>-0.000291827880237738</v>
      </c>
      <c r="D788" s="9" t="n">
        <f aca="false">IF(ISNUMBER(C788),ABS(C788-BTC_Fit!$B$9),"")</f>
        <v>0.000282464619953626</v>
      </c>
    </row>
    <row r="789" customFormat="false" ht="15" hidden="false" customHeight="false" outlineLevel="0" collapsed="false">
      <c r="A789" s="7" t="s">
        <v>813</v>
      </c>
      <c r="B789" s="8" t="n">
        <v>98.342325</v>
      </c>
      <c r="C789" s="9" t="n">
        <f aca="false">IF(AND(ISNUMBER(B789),ISNUMBER(B788),B788&lt;&gt;0),B789/B788-1,"")</f>
        <v>0.000885916776034001</v>
      </c>
      <c r="D789" s="9" t="n">
        <f aca="false">IF(ISNUMBER(C789),ABS(C789-BTC_Fit!$B$9),"")</f>
        <v>0.000895280036318114</v>
      </c>
    </row>
    <row r="790" customFormat="false" ht="15" hidden="false" customHeight="false" outlineLevel="0" collapsed="false">
      <c r="A790" s="7" t="s">
        <v>814</v>
      </c>
      <c r="B790" s="8" t="n">
        <v>98.302381</v>
      </c>
      <c r="C790" s="9" t="n">
        <f aca="false">IF(AND(ISNUMBER(B790),ISNUMBER(B789),B789&lt;&gt;0),B790/B789-1,"")</f>
        <v>-0.000406173028754453</v>
      </c>
      <c r="D790" s="9" t="n">
        <f aca="false">IF(ISNUMBER(C790),ABS(C790-BTC_Fit!$B$9),"")</f>
        <v>0.000396809768470341</v>
      </c>
    </row>
    <row r="791" customFormat="false" ht="15" hidden="false" customHeight="false" outlineLevel="0" collapsed="false">
      <c r="A791" s="7" t="s">
        <v>815</v>
      </c>
      <c r="B791" s="8" t="n">
        <v>98.3831</v>
      </c>
      <c r="C791" s="9" t="n">
        <f aca="false">IF(AND(ISNUMBER(B791),ISNUMBER(B790),B790&lt;&gt;0),B791/B790-1,"")</f>
        <v>0.000821129653004071</v>
      </c>
      <c r="D791" s="9" t="n">
        <f aca="false">IF(ISNUMBER(C791),ABS(C791-BTC_Fit!$B$9),"")</f>
        <v>0.000830492913288183</v>
      </c>
    </row>
    <row r="792" customFormat="false" ht="15" hidden="false" customHeight="false" outlineLevel="0" collapsed="false">
      <c r="A792" s="7" t="s">
        <v>816</v>
      </c>
      <c r="B792" s="8" t="n">
        <v>98.403021</v>
      </c>
      <c r="C792" s="9" t="n">
        <f aca="false">IF(AND(ISNUMBER(B792),ISNUMBER(B791),B791&lt;&gt;0),B792/B791-1,"")</f>
        <v>0.000202483963200883</v>
      </c>
      <c r="D792" s="9" t="n">
        <f aca="false">IF(ISNUMBER(C792),ABS(C792-BTC_Fit!$B$9),"")</f>
        <v>0.000211847223484996</v>
      </c>
    </row>
    <row r="793" customFormat="false" ht="15" hidden="false" customHeight="false" outlineLevel="0" collapsed="false">
      <c r="A793" s="7" t="s">
        <v>817</v>
      </c>
      <c r="B793" s="8" t="n">
        <v>98.328833</v>
      </c>
      <c r="C793" s="9" t="n">
        <f aca="false">IF(AND(ISNUMBER(B793),ISNUMBER(B792),B792&lt;&gt;0),B793/B792-1,"")</f>
        <v>-0.000753919943169201</v>
      </c>
      <c r="D793" s="9" t="n">
        <f aca="false">IF(ISNUMBER(C793),ABS(C793-BTC_Fit!$B$9),"")</f>
        <v>0.000744556682885089</v>
      </c>
    </row>
    <row r="794" customFormat="false" ht="15" hidden="false" customHeight="false" outlineLevel="0" collapsed="false">
      <c r="A794" s="7" t="s">
        <v>818</v>
      </c>
      <c r="B794" s="8" t="n">
        <v>98.312136</v>
      </c>
      <c r="C794" s="9" t="n">
        <f aca="false">IF(AND(ISNUMBER(B794),ISNUMBER(B793),B793&lt;&gt;0),B794/B793-1,"")</f>
        <v>-0.000169807771439823</v>
      </c>
      <c r="D794" s="9" t="n">
        <f aca="false">IF(ISNUMBER(C794),ABS(C794-BTC_Fit!$B$9),"")</f>
        <v>0.000160444511155711</v>
      </c>
    </row>
    <row r="795" customFormat="false" ht="15" hidden="false" customHeight="false" outlineLevel="0" collapsed="false">
      <c r="A795" s="7" t="s">
        <v>819</v>
      </c>
      <c r="B795" s="8" t="n">
        <v>98.271992</v>
      </c>
      <c r="C795" s="9" t="n">
        <f aca="false">IF(AND(ISNUMBER(B795),ISNUMBER(B794),B794&lt;&gt;0),B795/B794-1,"")</f>
        <v>-0.000408332090353514</v>
      </c>
      <c r="D795" s="9" t="n">
        <f aca="false">IF(ISNUMBER(C795),ABS(C795-BTC_Fit!$B$9),"")</f>
        <v>0.000398968830069402</v>
      </c>
    </row>
    <row r="796" customFormat="false" ht="15" hidden="false" customHeight="false" outlineLevel="0" collapsed="false">
      <c r="A796" s="7" t="s">
        <v>820</v>
      </c>
      <c r="B796" s="8" t="n">
        <v>98.107793</v>
      </c>
      <c r="C796" s="9" t="n">
        <f aca="false">IF(AND(ISNUMBER(B796),ISNUMBER(B795),B795&lt;&gt;0),B796/B795-1,"")</f>
        <v>-0.00167086264008975</v>
      </c>
      <c r="D796" s="9" t="n">
        <f aca="false">IF(ISNUMBER(C796),ABS(C796-BTC_Fit!$B$9),"")</f>
        <v>0.00166149937980564</v>
      </c>
    </row>
    <row r="797" customFormat="false" ht="15" hidden="false" customHeight="false" outlineLevel="0" collapsed="false">
      <c r="A797" s="7" t="s">
        <v>821</v>
      </c>
      <c r="B797" s="8" t="n">
        <v>97.85889</v>
      </c>
      <c r="C797" s="9" t="n">
        <f aca="false">IF(AND(ISNUMBER(B797),ISNUMBER(B796),B796&lt;&gt;0),B797/B796-1,"")</f>
        <v>-0.00253703597225963</v>
      </c>
      <c r="D797" s="9" t="n">
        <f aca="false">IF(ISNUMBER(C797),ABS(C797-BTC_Fit!$B$9),"")</f>
        <v>0.00252767271197552</v>
      </c>
    </row>
    <row r="798" customFormat="false" ht="15" hidden="false" customHeight="false" outlineLevel="0" collapsed="false">
      <c r="A798" s="7" t="s">
        <v>822</v>
      </c>
      <c r="B798" s="8" t="n">
        <v>97.826586</v>
      </c>
      <c r="C798" s="9" t="n">
        <f aca="false">IF(AND(ISNUMBER(B798),ISNUMBER(B797),B797&lt;&gt;0),B798/B797-1,"")</f>
        <v>-0.00033010797486055</v>
      </c>
      <c r="D798" s="9" t="n">
        <f aca="false">IF(ISNUMBER(C798),ABS(C798-BTC_Fit!$B$9),"")</f>
        <v>0.000320744714576438</v>
      </c>
    </row>
    <row r="799" customFormat="false" ht="15" hidden="false" customHeight="false" outlineLevel="0" collapsed="false">
      <c r="A799" s="7" t="s">
        <v>823</v>
      </c>
      <c r="B799" s="8" t="n">
        <v>97.538826</v>
      </c>
      <c r="C799" s="9" t="n">
        <f aca="false">IF(AND(ISNUMBER(B799),ISNUMBER(B798),B798&lt;&gt;0),B799/B798-1,"")</f>
        <v>-0.00294153166093325</v>
      </c>
      <c r="D799" s="9" t="n">
        <f aca="false">IF(ISNUMBER(C799),ABS(C799-BTC_Fit!$B$9),"")</f>
        <v>0.00293216840064914</v>
      </c>
    </row>
    <row r="800" customFormat="false" ht="15" hidden="false" customHeight="false" outlineLevel="0" collapsed="false">
      <c r="A800" s="7" t="s">
        <v>824</v>
      </c>
      <c r="B800" s="8" t="n">
        <v>97.441761</v>
      </c>
      <c r="C800" s="9" t="n">
        <f aca="false">IF(AND(ISNUMBER(B800),ISNUMBER(B799),B799&lt;&gt;0),B800/B799-1,"")</f>
        <v>-0.000995142180612252</v>
      </c>
      <c r="D800" s="9" t="n">
        <f aca="false">IF(ISNUMBER(C800),ABS(C800-BTC_Fit!$B$9),"")</f>
        <v>0.00098577892032814</v>
      </c>
    </row>
    <row r="801" customFormat="false" ht="15" hidden="false" customHeight="false" outlineLevel="0" collapsed="false">
      <c r="A801" s="7" t="s">
        <v>825</v>
      </c>
      <c r="B801" s="8" t="n">
        <v>97.494248</v>
      </c>
      <c r="C801" s="9" t="n">
        <f aca="false">IF(AND(ISNUMBER(B801),ISNUMBER(B800),B800&lt;&gt;0),B801/B800-1,"")</f>
        <v>0.000538649953175652</v>
      </c>
      <c r="D801" s="9" t="n">
        <f aca="false">IF(ISNUMBER(C801),ABS(C801-BTC_Fit!$B$9),"")</f>
        <v>0.000548013213459764</v>
      </c>
    </row>
    <row r="802" customFormat="false" ht="15" hidden="false" customHeight="false" outlineLevel="0" collapsed="false">
      <c r="A802" s="7" t="s">
        <v>826</v>
      </c>
      <c r="B802" s="8" t="n">
        <v>97.541469</v>
      </c>
      <c r="C802" s="9" t="n">
        <f aca="false">IF(AND(ISNUMBER(B802),ISNUMBER(B801),B801&lt;&gt;0),B802/B801-1,"")</f>
        <v>0.000484346522678925</v>
      </c>
      <c r="D802" s="9" t="n">
        <f aca="false">IF(ISNUMBER(C802),ABS(C802-BTC_Fit!$B$9),"")</f>
        <v>0.000493709782963037</v>
      </c>
    </row>
    <row r="803" customFormat="false" ht="15" hidden="false" customHeight="false" outlineLevel="0" collapsed="false">
      <c r="A803" s="7" t="s">
        <v>827</v>
      </c>
      <c r="B803" s="8" t="n">
        <v>97.598398</v>
      </c>
      <c r="C803" s="9" t="n">
        <f aca="false">IF(AND(ISNUMBER(B803),ISNUMBER(B802),B802&lt;&gt;0),B803/B802-1,"")</f>
        <v>0.000583638944375409</v>
      </c>
      <c r="D803" s="9" t="n">
        <f aca="false">IF(ISNUMBER(C803),ABS(C803-BTC_Fit!$B$9),"")</f>
        <v>0.000593002204659521</v>
      </c>
    </row>
    <row r="804" customFormat="false" ht="15" hidden="false" customHeight="false" outlineLevel="0" collapsed="false">
      <c r="A804" s="7" t="s">
        <v>828</v>
      </c>
      <c r="B804" s="8" t="n">
        <v>97.558412</v>
      </c>
      <c r="C804" s="9" t="n">
        <f aca="false">IF(AND(ISNUMBER(B804),ISNUMBER(B803),B803&lt;&gt;0),B804/B803-1,"")</f>
        <v>-0.000409699347729053</v>
      </c>
      <c r="D804" s="9" t="n">
        <f aca="false">IF(ISNUMBER(C804),ABS(C804-BTC_Fit!$B$9),"")</f>
        <v>0.000400336087444941</v>
      </c>
    </row>
    <row r="805" customFormat="false" ht="15" hidden="false" customHeight="false" outlineLevel="0" collapsed="false">
      <c r="A805" s="7" t="s">
        <v>829</v>
      </c>
      <c r="B805" s="8" t="n">
        <v>97.691372</v>
      </c>
      <c r="C805" s="9" t="n">
        <f aca="false">IF(AND(ISNUMBER(B805),ISNUMBER(B804),B804&lt;&gt;0),B805/B804-1,"")</f>
        <v>0.00136287581228767</v>
      </c>
      <c r="D805" s="9" t="n">
        <f aca="false">IF(ISNUMBER(C805),ABS(C805-BTC_Fit!$B$9),"")</f>
        <v>0.00137223907257178</v>
      </c>
    </row>
    <row r="806" customFormat="false" ht="15" hidden="false" customHeight="false" outlineLevel="0" collapsed="false">
      <c r="A806" s="7" t="s">
        <v>830</v>
      </c>
      <c r="B806" s="8" t="n">
        <v>97.709645</v>
      </c>
      <c r="C806" s="9" t="n">
        <f aca="false">IF(AND(ISNUMBER(B806),ISNUMBER(B805),B805&lt;&gt;0),B806/B805-1,"")</f>
        <v>0.000187048248232236</v>
      </c>
      <c r="D806" s="9" t="n">
        <f aca="false">IF(ISNUMBER(C806),ABS(C806-BTC_Fit!$B$9),"")</f>
        <v>0.000196411508516348</v>
      </c>
    </row>
    <row r="807" customFormat="false" ht="15" hidden="false" customHeight="false" outlineLevel="0" collapsed="false">
      <c r="A807" s="7" t="s">
        <v>831</v>
      </c>
      <c r="B807" s="8" t="n">
        <v>97.588455</v>
      </c>
      <c r="C807" s="9" t="n">
        <f aca="false">IF(AND(ISNUMBER(B807),ISNUMBER(B806),B806&lt;&gt;0),B807/B806-1,"")</f>
        <v>-0.00124030744354864</v>
      </c>
      <c r="D807" s="9" t="n">
        <f aca="false">IF(ISNUMBER(C807),ABS(C807-BTC_Fit!$B$9),"")</f>
        <v>0.00123094418326453</v>
      </c>
    </row>
    <row r="808" customFormat="false" ht="15" hidden="false" customHeight="false" outlineLevel="0" collapsed="false">
      <c r="A808" s="7" t="s">
        <v>832</v>
      </c>
      <c r="B808" s="8" t="n">
        <v>97.478954</v>
      </c>
      <c r="C808" s="9" t="n">
        <f aca="false">IF(AND(ISNUMBER(B808),ISNUMBER(B807),B807&lt;&gt;0),B808/B807-1,"")</f>
        <v>-0.00112206920378022</v>
      </c>
      <c r="D808" s="9" t="n">
        <f aca="false">IF(ISNUMBER(C808),ABS(C808-BTC_Fit!$B$9),"")</f>
        <v>0.00111270594349611</v>
      </c>
    </row>
    <row r="809" customFormat="false" ht="15" hidden="false" customHeight="false" outlineLevel="0" collapsed="false">
      <c r="A809" s="7" t="s">
        <v>833</v>
      </c>
      <c r="B809" s="8" t="n">
        <v>97.521773</v>
      </c>
      <c r="C809" s="9" t="n">
        <f aca="false">IF(AND(ISNUMBER(B809),ISNUMBER(B808),B808&lt;&gt;0),B809/B808-1,"")</f>
        <v>0.000439264048729848</v>
      </c>
      <c r="D809" s="9" t="n">
        <f aca="false">IF(ISNUMBER(C809),ABS(C809-BTC_Fit!$B$9),"")</f>
        <v>0.00044862730901396</v>
      </c>
    </row>
    <row r="810" customFormat="false" ht="15" hidden="false" customHeight="false" outlineLevel="0" collapsed="false">
      <c r="A810" s="7" t="s">
        <v>834</v>
      </c>
      <c r="B810" s="8" t="n">
        <v>97.428593</v>
      </c>
      <c r="C810" s="9" t="n">
        <f aca="false">IF(AND(ISNUMBER(B810),ISNUMBER(B809),B809&lt;&gt;0),B810/B809-1,"")</f>
        <v>-0.000955478936995879</v>
      </c>
      <c r="D810" s="9" t="n">
        <f aca="false">IF(ISNUMBER(C810),ABS(C810-BTC_Fit!$B$9),"")</f>
        <v>0.000946115676711767</v>
      </c>
    </row>
    <row r="811" customFormat="false" ht="15" hidden="false" customHeight="false" outlineLevel="0" collapsed="false">
      <c r="A811" s="7" t="s">
        <v>835</v>
      </c>
      <c r="B811" s="8" t="n">
        <v>97.429881</v>
      </c>
      <c r="C811" s="9" t="n">
        <f aca="false">IF(AND(ISNUMBER(B811),ISNUMBER(B810),B810&lt;&gt;0),B811/B810-1,"")</f>
        <v>1.321993842196E-005</v>
      </c>
      <c r="D811" s="9" t="n">
        <f aca="false">IF(ISNUMBER(C811),ABS(C811-BTC_Fit!$B$9),"")</f>
        <v>2.25831987060721E-005</v>
      </c>
    </row>
    <row r="812" customFormat="false" ht="15" hidden="false" customHeight="false" outlineLevel="0" collapsed="false">
      <c r="A812" s="7" t="s">
        <v>836</v>
      </c>
      <c r="B812" s="8" t="n">
        <v>97.790043</v>
      </c>
      <c r="C812" s="9" t="n">
        <f aca="false">IF(AND(ISNUMBER(B812),ISNUMBER(B811),B811&lt;&gt;0),B812/B811-1,"")</f>
        <v>0.00369662773169144</v>
      </c>
      <c r="D812" s="9" t="n">
        <f aca="false">IF(ISNUMBER(C812),ABS(C812-BTC_Fit!$B$9),"")</f>
        <v>0.00370599099197555</v>
      </c>
    </row>
    <row r="813" customFormat="false" ht="15" hidden="false" customHeight="false" outlineLevel="0" collapsed="false">
      <c r="A813" s="7" t="s">
        <v>837</v>
      </c>
      <c r="B813" s="8" t="n">
        <v>97.365266</v>
      </c>
      <c r="C813" s="9" t="n">
        <f aca="false">IF(AND(ISNUMBER(B813),ISNUMBER(B812),B812&lt;&gt;0),B813/B812-1,"")</f>
        <v>-0.00434376534633485</v>
      </c>
      <c r="D813" s="9" t="n">
        <f aca="false">IF(ISNUMBER(C813),ABS(C813-BTC_Fit!$B$9),"")</f>
        <v>0.00433440208605074</v>
      </c>
    </row>
    <row r="814" customFormat="false" ht="15" hidden="false" customHeight="false" outlineLevel="0" collapsed="false">
      <c r="A814" s="7" t="s">
        <v>838</v>
      </c>
      <c r="B814" s="8" t="n">
        <v>97.066765</v>
      </c>
      <c r="C814" s="9" t="n">
        <f aca="false">IF(AND(ISNUMBER(B814),ISNUMBER(B813),B813&lt;&gt;0),B814/B813-1,"")</f>
        <v>-0.00306578528733237</v>
      </c>
      <c r="D814" s="9" t="n">
        <f aca="false">IF(ISNUMBER(C814),ABS(C814-BTC_Fit!$B$9),"")</f>
        <v>0.00305642202704826</v>
      </c>
    </row>
    <row r="815" customFormat="false" ht="15" hidden="false" customHeight="false" outlineLevel="0" collapsed="false">
      <c r="A815" s="7" t="s">
        <v>839</v>
      </c>
      <c r="B815" s="8" t="n">
        <v>97.440741</v>
      </c>
      <c r="C815" s="9" t="n">
        <f aca="false">IF(AND(ISNUMBER(B815),ISNUMBER(B814),B814&lt;&gt;0),B815/B814-1,"")</f>
        <v>0.00385277082222735</v>
      </c>
      <c r="D815" s="9" t="n">
        <f aca="false">IF(ISNUMBER(C815),ABS(C815-BTC_Fit!$B$9),"")</f>
        <v>0.00386213408251146</v>
      </c>
    </row>
    <row r="816" customFormat="false" ht="15" hidden="false" customHeight="false" outlineLevel="0" collapsed="false">
      <c r="A816" s="7" t="s">
        <v>840</v>
      </c>
      <c r="B816" s="8" t="n">
        <v>97.457005</v>
      </c>
      <c r="C816" s="9" t="n">
        <f aca="false">IF(AND(ISNUMBER(B816),ISNUMBER(B815),B815&lt;&gt;0),B816/B815-1,"")</f>
        <v>0.000166911702775163</v>
      </c>
      <c r="D816" s="9" t="n">
        <f aca="false">IF(ISNUMBER(C816),ABS(C816-BTC_Fit!$B$9),"")</f>
        <v>0.000176274963059275</v>
      </c>
    </row>
    <row r="817" customFormat="false" ht="15" hidden="false" customHeight="false" outlineLevel="0" collapsed="false">
      <c r="A817" s="7" t="s">
        <v>841</v>
      </c>
      <c r="B817" s="8" t="n">
        <v>97.336742</v>
      </c>
      <c r="C817" s="9" t="n">
        <f aca="false">IF(AND(ISNUMBER(B817),ISNUMBER(B816),B816&lt;&gt;0),B817/B816-1,"")</f>
        <v>-0.00123401083380303</v>
      </c>
      <c r="D817" s="9" t="n">
        <f aca="false">IF(ISNUMBER(C817),ABS(C817-BTC_Fit!$B$9),"")</f>
        <v>0.00122464757351892</v>
      </c>
    </row>
    <row r="818" customFormat="false" ht="15" hidden="false" customHeight="false" outlineLevel="0" collapsed="false">
      <c r="A818" s="7" t="s">
        <v>842</v>
      </c>
      <c r="B818" s="8" t="n">
        <v>97.475401</v>
      </c>
      <c r="C818" s="9" t="n">
        <f aca="false">IF(AND(ISNUMBER(B818),ISNUMBER(B817),B817&lt;&gt;0),B818/B817-1,"")</f>
        <v>0.0014245288793413</v>
      </c>
      <c r="D818" s="9" t="n">
        <f aca="false">IF(ISNUMBER(C818),ABS(C818-BTC_Fit!$B$9),"")</f>
        <v>0.00143389213962541</v>
      </c>
    </row>
    <row r="819" customFormat="false" ht="15" hidden="false" customHeight="false" outlineLevel="0" collapsed="false">
      <c r="A819" s="7" t="s">
        <v>843</v>
      </c>
      <c r="B819" s="8" t="n">
        <v>97.600878</v>
      </c>
      <c r="C819" s="9" t="n">
        <f aca="false">IF(AND(ISNUMBER(B819),ISNUMBER(B818),B818&lt;&gt;0),B819/B818-1,"")</f>
        <v>0.00128726836425108</v>
      </c>
      <c r="D819" s="9" t="n">
        <f aca="false">IF(ISNUMBER(C819),ABS(C819-BTC_Fit!$B$9),"")</f>
        <v>0.00129663162453519</v>
      </c>
    </row>
    <row r="820" customFormat="false" ht="15" hidden="false" customHeight="false" outlineLevel="0" collapsed="false">
      <c r="A820" s="7" t="s">
        <v>844</v>
      </c>
      <c r="B820" s="8" t="n">
        <v>97.607479</v>
      </c>
      <c r="C820" s="9" t="n">
        <f aca="false">IF(AND(ISNUMBER(B820),ISNUMBER(B819),B819&lt;&gt;0),B820/B819-1,"")</f>
        <v>6.7632588305333E-005</v>
      </c>
      <c r="D820" s="9" t="n">
        <f aca="false">IF(ISNUMBER(C820),ABS(C820-BTC_Fit!$B$9),"")</f>
        <v>7.69958485894451E-005</v>
      </c>
    </row>
    <row r="821" customFormat="false" ht="15" hidden="false" customHeight="false" outlineLevel="0" collapsed="false">
      <c r="A821" s="7" t="s">
        <v>845</v>
      </c>
      <c r="B821" s="8" t="n">
        <v>97.632003</v>
      </c>
      <c r="C821" s="9" t="n">
        <f aca="false">IF(AND(ISNUMBER(B821),ISNUMBER(B820),B820&lt;&gt;0),B821/B820-1,"")</f>
        <v>0.000251251238647443</v>
      </c>
      <c r="D821" s="9" t="n">
        <f aca="false">IF(ISNUMBER(C821),ABS(C821-BTC_Fit!$B$9),"")</f>
        <v>0.000260614498931555</v>
      </c>
    </row>
    <row r="822" customFormat="false" ht="15" hidden="false" customHeight="false" outlineLevel="0" collapsed="false">
      <c r="A822" s="7" t="s">
        <v>846</v>
      </c>
      <c r="B822" s="8" t="n">
        <v>97.578891</v>
      </c>
      <c r="C822" s="9" t="n">
        <f aca="false">IF(AND(ISNUMBER(B822),ISNUMBER(B821),B821&lt;&gt;0),B822/B821-1,"")</f>
        <v>-0.00054400194985238</v>
      </c>
      <c r="D822" s="9" t="n">
        <f aca="false">IF(ISNUMBER(C822),ABS(C822-BTC_Fit!$B$9),"")</f>
        <v>0.000534638689568268</v>
      </c>
    </row>
    <row r="823" customFormat="false" ht="15" hidden="false" customHeight="false" outlineLevel="0" collapsed="false">
      <c r="A823" s="7" t="s">
        <v>847</v>
      </c>
      <c r="B823" s="8" t="n">
        <v>97.377583</v>
      </c>
      <c r="C823" s="9" t="n">
        <f aca="false">IF(AND(ISNUMBER(B823),ISNUMBER(B822),B822&lt;&gt;0),B823/B822-1,"")</f>
        <v>-0.00206302816046555</v>
      </c>
      <c r="D823" s="9" t="n">
        <f aca="false">IF(ISNUMBER(C823),ABS(C823-BTC_Fit!$B$9),"")</f>
        <v>0.00205366490018144</v>
      </c>
    </row>
    <row r="824" customFormat="false" ht="15" hidden="false" customHeight="false" outlineLevel="0" collapsed="false">
      <c r="A824" s="7" t="s">
        <v>848</v>
      </c>
      <c r="B824" s="8" t="n">
        <v>97.395957</v>
      </c>
      <c r="C824" s="9" t="n">
        <f aca="false">IF(AND(ISNUMBER(B824),ISNUMBER(B823),B823&lt;&gt;0),B824/B823-1,"")</f>
        <v>0.00018868819120299</v>
      </c>
      <c r="D824" s="9" t="n">
        <f aca="false">IF(ISNUMBER(C824),ABS(C824-BTC_Fit!$B$9),"")</f>
        <v>0.000198051451487102</v>
      </c>
    </row>
    <row r="825" customFormat="false" ht="15" hidden="false" customHeight="false" outlineLevel="0" collapsed="false">
      <c r="A825" s="7" t="s">
        <v>849</v>
      </c>
      <c r="B825" s="8" t="n">
        <v>97.349634</v>
      </c>
      <c r="C825" s="9" t="n">
        <f aca="false">IF(AND(ISNUMBER(B825),ISNUMBER(B824),B824&lt;&gt;0),B825/B824-1,"")</f>
        <v>-0.000475615224972858</v>
      </c>
      <c r="D825" s="9" t="n">
        <f aca="false">IF(ISNUMBER(C825),ABS(C825-BTC_Fit!$B$9),"")</f>
        <v>0.000466251964688746</v>
      </c>
    </row>
    <row r="826" customFormat="false" ht="15" hidden="false" customHeight="false" outlineLevel="0" collapsed="false">
      <c r="A826" s="7" t="s">
        <v>850</v>
      </c>
      <c r="B826" s="8" t="n">
        <v>97.384362</v>
      </c>
      <c r="C826" s="9" t="n">
        <f aca="false">IF(AND(ISNUMBER(B826),ISNUMBER(B825),B825&lt;&gt;0),B826/B825-1,"")</f>
        <v>0.000356734777246404</v>
      </c>
      <c r="D826" s="9" t="n">
        <f aca="false">IF(ISNUMBER(C826),ABS(C826-BTC_Fit!$B$9),"")</f>
        <v>0.000366098037530516</v>
      </c>
    </row>
    <row r="827" customFormat="false" ht="15" hidden="false" customHeight="false" outlineLevel="0" collapsed="false">
      <c r="A827" s="7" t="s">
        <v>851</v>
      </c>
      <c r="B827" s="8" t="n">
        <v>97.482196</v>
      </c>
      <c r="C827" s="9" t="n">
        <f aca="false">IF(AND(ISNUMBER(B827),ISNUMBER(B826),B826&lt;&gt;0),B827/B826-1,"")</f>
        <v>0.00100461714787436</v>
      </c>
      <c r="D827" s="9" t="n">
        <f aca="false">IF(ISNUMBER(C827),ABS(C827-BTC_Fit!$B$9),"")</f>
        <v>0.00101398040815848</v>
      </c>
    </row>
    <row r="828" customFormat="false" ht="15" hidden="false" customHeight="false" outlineLevel="0" collapsed="false">
      <c r="A828" s="7" t="s">
        <v>852</v>
      </c>
      <c r="B828" s="8" t="n">
        <v>97.191326</v>
      </c>
      <c r="C828" s="9" t="n">
        <f aca="false">IF(AND(ISNUMBER(B828),ISNUMBER(B827),B827&lt;&gt;0),B828/B827-1,"")</f>
        <v>-0.00298382691337806</v>
      </c>
      <c r="D828" s="9" t="n">
        <f aca="false">IF(ISNUMBER(C828),ABS(C828-BTC_Fit!$B$9),"")</f>
        <v>0.00297446365309395</v>
      </c>
    </row>
    <row r="829" customFormat="false" ht="15" hidden="false" customHeight="false" outlineLevel="0" collapsed="false">
      <c r="A829" s="7" t="s">
        <v>853</v>
      </c>
      <c r="B829" s="8" t="n">
        <v>97.209913</v>
      </c>
      <c r="C829" s="9" t="n">
        <f aca="false">IF(AND(ISNUMBER(B829),ISNUMBER(B828),B828&lt;&gt;0),B829/B828-1,"")</f>
        <v>0.000191241345961268</v>
      </c>
      <c r="D829" s="9" t="n">
        <f aca="false">IF(ISNUMBER(C829),ABS(C829-BTC_Fit!$B$9),"")</f>
        <v>0.00020060460624538</v>
      </c>
    </row>
    <row r="830" customFormat="false" ht="15" hidden="false" customHeight="false" outlineLevel="0" collapsed="false">
      <c r="A830" s="7" t="s">
        <v>854</v>
      </c>
      <c r="B830" s="8" t="n">
        <v>97.142461</v>
      </c>
      <c r="C830" s="9" t="n">
        <f aca="false">IF(AND(ISNUMBER(B830),ISNUMBER(B829),B829&lt;&gt;0),B830/B829-1,"")</f>
        <v>-0.000693879851533241</v>
      </c>
      <c r="D830" s="9" t="n">
        <f aca="false">IF(ISNUMBER(C830),ABS(C830-BTC_Fit!$B$9),"")</f>
        <v>0.000684516591249129</v>
      </c>
    </row>
    <row r="831" customFormat="false" ht="15" hidden="false" customHeight="false" outlineLevel="0" collapsed="false">
      <c r="A831" s="7" t="s">
        <v>855</v>
      </c>
      <c r="B831" s="8" t="n">
        <v>97.262888</v>
      </c>
      <c r="C831" s="9" t="n">
        <f aca="false">IF(AND(ISNUMBER(B831),ISNUMBER(B830),B830&lt;&gt;0),B831/B830-1,"")</f>
        <v>0.00123969476128472</v>
      </c>
      <c r="D831" s="9" t="n">
        <f aca="false">IF(ISNUMBER(C831),ABS(C831-BTC_Fit!$B$9),"")</f>
        <v>0.00124905802156883</v>
      </c>
    </row>
    <row r="832" customFormat="false" ht="15" hidden="false" customHeight="false" outlineLevel="0" collapsed="false">
      <c r="A832" s="7" t="s">
        <v>856</v>
      </c>
      <c r="B832" s="8" t="n">
        <v>97.203486</v>
      </c>
      <c r="C832" s="9" t="n">
        <f aca="false">IF(AND(ISNUMBER(B832),ISNUMBER(B831),B831&lt;&gt;0),B832/B831-1,"")</f>
        <v>-0.000610736543212753</v>
      </c>
      <c r="D832" s="9" t="n">
        <f aca="false">IF(ISNUMBER(C832),ABS(C832-BTC_Fit!$B$9),"")</f>
        <v>0.000601373282928641</v>
      </c>
    </row>
    <row r="833" customFormat="false" ht="15" hidden="false" customHeight="false" outlineLevel="0" collapsed="false">
      <c r="A833" s="7" t="s">
        <v>857</v>
      </c>
      <c r="B833" s="8" t="n">
        <v>97.225395</v>
      </c>
      <c r="C833" s="9" t="n">
        <f aca="false">IF(AND(ISNUMBER(B833),ISNUMBER(B832),B832&lt;&gt;0),B833/B832-1,"")</f>
        <v>0.000225393151023434</v>
      </c>
      <c r="D833" s="9" t="n">
        <f aca="false">IF(ISNUMBER(C833),ABS(C833-BTC_Fit!$B$9),"")</f>
        <v>0.000234756411307546</v>
      </c>
    </row>
    <row r="834" customFormat="false" ht="15" hidden="false" customHeight="false" outlineLevel="0" collapsed="false">
      <c r="A834" s="7" t="s">
        <v>858</v>
      </c>
      <c r="B834" s="8" t="n">
        <v>97.235306</v>
      </c>
      <c r="C834" s="9" t="n">
        <f aca="false">IF(AND(ISNUMBER(B834),ISNUMBER(B833),B833&lt;&gt;0),B834/B833-1,"")</f>
        <v>0.000101938387599088</v>
      </c>
      <c r="D834" s="9" t="n">
        <f aca="false">IF(ISNUMBER(C834),ABS(C834-BTC_Fit!$B$9),"")</f>
        <v>0.0001113016478832</v>
      </c>
    </row>
    <row r="835" customFormat="false" ht="15" hidden="false" customHeight="false" outlineLevel="0" collapsed="false">
      <c r="A835" s="7" t="s">
        <v>859</v>
      </c>
      <c r="B835" s="8" t="n">
        <v>97.214935</v>
      </c>
      <c r="C835" s="9" t="n">
        <f aca="false">IF(AND(ISNUMBER(B835),ISNUMBER(B834),B834&lt;&gt;0),B835/B834-1,"")</f>
        <v>-0.000209502091760738</v>
      </c>
      <c r="D835" s="9" t="n">
        <f aca="false">IF(ISNUMBER(C835),ABS(C835-BTC_Fit!$B$9),"")</f>
        <v>0.000200138831476626</v>
      </c>
    </row>
    <row r="836" customFormat="false" ht="15" hidden="false" customHeight="false" outlineLevel="0" collapsed="false">
      <c r="A836" s="7" t="s">
        <v>860</v>
      </c>
      <c r="B836" s="8" t="n">
        <v>97.253335</v>
      </c>
      <c r="C836" s="9" t="n">
        <f aca="false">IF(AND(ISNUMBER(B836),ISNUMBER(B835),B835&lt;&gt;0),B836/B835-1,"")</f>
        <v>0.00039500103559198</v>
      </c>
      <c r="D836" s="9" t="n">
        <f aca="false">IF(ISNUMBER(C836),ABS(C836-BTC_Fit!$B$9),"")</f>
        <v>0.000404364295876092</v>
      </c>
    </row>
    <row r="837" customFormat="false" ht="15" hidden="false" customHeight="false" outlineLevel="0" collapsed="false">
      <c r="A837" s="7" t="s">
        <v>861</v>
      </c>
      <c r="B837" s="8" t="n">
        <v>97.305907</v>
      </c>
      <c r="C837" s="9" t="n">
        <f aca="false">IF(AND(ISNUMBER(B837),ISNUMBER(B836),B836&lt;&gt;0),B837/B836-1,"")</f>
        <v>0.000540567580535889</v>
      </c>
      <c r="D837" s="9" t="n">
        <f aca="false">IF(ISNUMBER(C837),ABS(C837-BTC_Fit!$B$9),"")</f>
        <v>0.000549930840820001</v>
      </c>
    </row>
    <row r="838" customFormat="false" ht="15" hidden="false" customHeight="false" outlineLevel="0" collapsed="false">
      <c r="A838" s="7" t="s">
        <v>862</v>
      </c>
      <c r="B838" s="8" t="n">
        <v>97.318494</v>
      </c>
      <c r="C838" s="9" t="n">
        <f aca="false">IF(AND(ISNUMBER(B838),ISNUMBER(B837),B837&lt;&gt;0),B838/B837-1,"")</f>
        <v>0.0001293549424497</v>
      </c>
      <c r="D838" s="9" t="n">
        <f aca="false">IF(ISNUMBER(C838),ABS(C838-BTC_Fit!$B$9),"")</f>
        <v>0.000138718202733812</v>
      </c>
    </row>
    <row r="839" customFormat="false" ht="15" hidden="false" customHeight="false" outlineLevel="0" collapsed="false">
      <c r="A839" s="7" t="s">
        <v>863</v>
      </c>
      <c r="B839" s="8" t="n">
        <v>97.382206</v>
      </c>
      <c r="C839" s="9" t="n">
        <f aca="false">IF(AND(ISNUMBER(B839),ISNUMBER(B838),B838&lt;&gt;0),B839/B838-1,"")</f>
        <v>0.000654675153522133</v>
      </c>
      <c r="D839" s="9" t="n">
        <f aca="false">IF(ISNUMBER(C839),ABS(C839-BTC_Fit!$B$9),"")</f>
        <v>0.000664038413806245</v>
      </c>
    </row>
    <row r="840" customFormat="false" ht="15" hidden="false" customHeight="false" outlineLevel="0" collapsed="false">
      <c r="A840" s="7" t="s">
        <v>864</v>
      </c>
      <c r="B840" s="8" t="n">
        <v>97.680742</v>
      </c>
      <c r="C840" s="9" t="n">
        <f aca="false">IF(AND(ISNUMBER(B840),ISNUMBER(B839),B839&lt;&gt;0),B840/B839-1,"")</f>
        <v>0.00306561139105832</v>
      </c>
      <c r="D840" s="9" t="n">
        <f aca="false">IF(ISNUMBER(C840),ABS(C840-BTC_Fit!$B$9),"")</f>
        <v>0.00307497465134243</v>
      </c>
    </row>
    <row r="841" customFormat="false" ht="15" hidden="false" customHeight="false" outlineLevel="0" collapsed="false">
      <c r="A841" s="7" t="s">
        <v>865</v>
      </c>
      <c r="B841" s="8" t="n">
        <v>97.665262</v>
      </c>
      <c r="C841" s="9" t="n">
        <f aca="false">IF(AND(ISNUMBER(B841),ISNUMBER(B840),B840&lt;&gt;0),B841/B840-1,"")</f>
        <v>-0.00015847545466019</v>
      </c>
      <c r="D841" s="9" t="n">
        <f aca="false">IF(ISNUMBER(C841),ABS(C841-BTC_Fit!$B$9),"")</f>
        <v>0.000149112194376078</v>
      </c>
    </row>
    <row r="842" customFormat="false" ht="15" hidden="false" customHeight="false" outlineLevel="0" collapsed="false">
      <c r="A842" s="7" t="s">
        <v>866</v>
      </c>
      <c r="B842" s="8" t="n">
        <v>97.667864</v>
      </c>
      <c r="C842" s="9" t="n">
        <f aca="false">IF(AND(ISNUMBER(B842),ISNUMBER(B841),B841&lt;&gt;0),B842/B841-1,"")</f>
        <v>2.66420213974605E-005</v>
      </c>
      <c r="D842" s="9" t="n">
        <f aca="false">IF(ISNUMBER(C842),ABS(C842-BTC_Fit!$B$9),"")</f>
        <v>3.60052816815726E-005</v>
      </c>
    </row>
    <row r="843" customFormat="false" ht="15" hidden="false" customHeight="false" outlineLevel="0" collapsed="false">
      <c r="A843" s="7" t="s">
        <v>867</v>
      </c>
      <c r="B843" s="8" t="n">
        <v>97.343395</v>
      </c>
      <c r="C843" s="9" t="n">
        <f aca="false">IF(AND(ISNUMBER(B843),ISNUMBER(B842),B842&lt;&gt;0),B843/B842-1,"")</f>
        <v>-0.00332216746339409</v>
      </c>
      <c r="D843" s="9" t="n">
        <f aca="false">IF(ISNUMBER(C843),ABS(C843-BTC_Fit!$B$9),"")</f>
        <v>0.00331280420310998</v>
      </c>
    </row>
    <row r="844" customFormat="false" ht="15" hidden="false" customHeight="false" outlineLevel="0" collapsed="false">
      <c r="A844" s="7" t="s">
        <v>868</v>
      </c>
      <c r="B844" s="8" t="n">
        <v>97.421948</v>
      </c>
      <c r="C844" s="9" t="n">
        <f aca="false">IF(AND(ISNUMBER(B844),ISNUMBER(B843),B843&lt;&gt;0),B844/B843-1,"")</f>
        <v>0.000806967950932824</v>
      </c>
      <c r="D844" s="9" t="n">
        <f aca="false">IF(ISNUMBER(C844),ABS(C844-BTC_Fit!$B$9),"")</f>
        <v>0.000816331211216936</v>
      </c>
    </row>
    <row r="845" customFormat="false" ht="15" hidden="false" customHeight="false" outlineLevel="0" collapsed="false">
      <c r="A845" s="7" t="s">
        <v>869</v>
      </c>
      <c r="B845" s="8" t="n">
        <v>97.425569</v>
      </c>
      <c r="C845" s="9" t="n">
        <f aca="false">IF(AND(ISNUMBER(B845),ISNUMBER(B844),B844&lt;&gt;0),B845/B844-1,"")</f>
        <v>3.71682159341358E-005</v>
      </c>
      <c r="D845" s="9" t="n">
        <f aca="false">IF(ISNUMBER(C845),ABS(C845-BTC_Fit!$B$9),"")</f>
        <v>4.65314762182478E-005</v>
      </c>
    </row>
    <row r="846" customFormat="false" ht="15" hidden="false" customHeight="false" outlineLevel="0" collapsed="false">
      <c r="A846" s="7" t="s">
        <v>870</v>
      </c>
      <c r="B846" s="8" t="n">
        <v>97.407731</v>
      </c>
      <c r="C846" s="9" t="n">
        <f aca="false">IF(AND(ISNUMBER(B846),ISNUMBER(B845),B845&lt;&gt;0),B846/B845-1,"")</f>
        <v>-0.000183093618883579</v>
      </c>
      <c r="D846" s="9" t="n">
        <f aca="false">IF(ISNUMBER(C846),ABS(C846-BTC_Fit!$B$9),"")</f>
        <v>0.000173730358599467</v>
      </c>
    </row>
    <row r="847" customFormat="false" ht="15" hidden="false" customHeight="false" outlineLevel="0" collapsed="false">
      <c r="A847" s="7" t="s">
        <v>871</v>
      </c>
      <c r="B847" s="8" t="n">
        <v>97.26128</v>
      </c>
      <c r="C847" s="9" t="n">
        <f aca="false">IF(AND(ISNUMBER(B847),ISNUMBER(B846),B846&lt;&gt;0),B847/B846-1,"")</f>
        <v>-0.00150348435895709</v>
      </c>
      <c r="D847" s="9" t="n">
        <f aca="false">IF(ISNUMBER(C847),ABS(C847-BTC_Fit!$B$9),"")</f>
        <v>0.00149412109867297</v>
      </c>
    </row>
    <row r="848" customFormat="false" ht="15" hidden="false" customHeight="false" outlineLevel="0" collapsed="false">
      <c r="A848" s="7" t="s">
        <v>872</v>
      </c>
      <c r="B848" s="8" t="n">
        <v>97.393546</v>
      </c>
      <c r="C848" s="9" t="n">
        <f aca="false">IF(AND(ISNUMBER(B848),ISNUMBER(B847),B847&lt;&gt;0),B848/B847-1,"")</f>
        <v>0.00135990396178221</v>
      </c>
      <c r="D848" s="9" t="n">
        <f aca="false">IF(ISNUMBER(C848),ABS(C848-BTC_Fit!$B$9),"")</f>
        <v>0.00136926722206632</v>
      </c>
    </row>
    <row r="849" customFormat="false" ht="15" hidden="false" customHeight="false" outlineLevel="0" collapsed="false">
      <c r="A849" s="7" t="s">
        <v>873</v>
      </c>
      <c r="B849" s="8" t="n">
        <v>97.372885</v>
      </c>
      <c r="C849" s="9" t="n">
        <f aca="false">IF(AND(ISNUMBER(B849),ISNUMBER(B848),B848&lt;&gt;0),B849/B848-1,"")</f>
        <v>-0.000212139313625626</v>
      </c>
      <c r="D849" s="9" t="n">
        <f aca="false">IF(ISNUMBER(C849),ABS(C849-BTC_Fit!$B$9),"")</f>
        <v>0.000202776053341514</v>
      </c>
    </row>
    <row r="850" customFormat="false" ht="15" hidden="false" customHeight="false" outlineLevel="0" collapsed="false">
      <c r="A850" s="7" t="s">
        <v>874</v>
      </c>
      <c r="B850" s="8" t="n">
        <v>97.412706</v>
      </c>
      <c r="C850" s="9" t="n">
        <f aca="false">IF(AND(ISNUMBER(B850),ISNUMBER(B849),B849&lt;&gt;0),B850/B849-1,"")</f>
        <v>0.000408953683564084</v>
      </c>
      <c r="D850" s="9" t="n">
        <f aca="false">IF(ISNUMBER(C850),ABS(C850-BTC_Fit!$B$9),"")</f>
        <v>0.000418316943848196</v>
      </c>
    </row>
    <row r="851" customFormat="false" ht="15" hidden="false" customHeight="false" outlineLevel="0" collapsed="false">
      <c r="A851" s="7" t="s">
        <v>875</v>
      </c>
      <c r="B851" s="8" t="n">
        <v>97.306785</v>
      </c>
      <c r="C851" s="9" t="n">
        <f aca="false">IF(AND(ISNUMBER(B851),ISNUMBER(B850),B850&lt;&gt;0),B851/B850-1,"")</f>
        <v>-0.00108734275382916</v>
      </c>
      <c r="D851" s="9" t="n">
        <f aca="false">IF(ISNUMBER(C851),ABS(C851-BTC_Fit!$B$9),"")</f>
        <v>0.00107797949354504</v>
      </c>
    </row>
    <row r="852" customFormat="false" ht="15" hidden="false" customHeight="false" outlineLevel="0" collapsed="false">
      <c r="A852" s="7" t="s">
        <v>876</v>
      </c>
      <c r="B852" s="8" t="n">
        <v>97.531439</v>
      </c>
      <c r="C852" s="9" t="n">
        <f aca="false">IF(AND(ISNUMBER(B852),ISNUMBER(B851),B851&lt;&gt;0),B852/B851-1,"")</f>
        <v>0.00230871875995087</v>
      </c>
      <c r="D852" s="9" t="n">
        <f aca="false">IF(ISNUMBER(C852),ABS(C852-BTC_Fit!$B$9),"")</f>
        <v>0.00231808202023498</v>
      </c>
    </row>
    <row r="853" customFormat="false" ht="15" hidden="false" customHeight="false" outlineLevel="0" collapsed="false">
      <c r="A853" s="7" t="s">
        <v>877</v>
      </c>
      <c r="B853" s="8" t="n">
        <v>97.440997</v>
      </c>
      <c r="C853" s="9" t="n">
        <f aca="false">IF(AND(ISNUMBER(B853),ISNUMBER(B852),B852&lt;&gt;0),B853/B852-1,"")</f>
        <v>-0.000927311243710927</v>
      </c>
      <c r="D853" s="9" t="n">
        <f aca="false">IF(ISNUMBER(C853),ABS(C853-BTC_Fit!$B$9),"")</f>
        <v>0.000917947983426815</v>
      </c>
    </row>
    <row r="854" customFormat="false" ht="15" hidden="false" customHeight="false" outlineLevel="0" collapsed="false">
      <c r="A854" s="7" t="s">
        <v>878</v>
      </c>
      <c r="B854" s="8" t="n">
        <v>97.36044</v>
      </c>
      <c r="C854" s="9" t="n">
        <f aca="false">IF(AND(ISNUMBER(B854),ISNUMBER(B853),B853&lt;&gt;0),B854/B853-1,"")</f>
        <v>-0.000826725941648565</v>
      </c>
      <c r="D854" s="9" t="n">
        <f aca="false">IF(ISNUMBER(C854),ABS(C854-BTC_Fit!$B$9),"")</f>
        <v>0.000817362681364453</v>
      </c>
    </row>
    <row r="855" customFormat="false" ht="15" hidden="false" customHeight="false" outlineLevel="0" collapsed="false">
      <c r="A855" s="7" t="s">
        <v>879</v>
      </c>
      <c r="B855" s="8" t="n">
        <v>97.471349</v>
      </c>
      <c r="C855" s="9" t="n">
        <f aca="false">IF(AND(ISNUMBER(B855),ISNUMBER(B854),B854&lt;&gt;0),B855/B854-1,"")</f>
        <v>0.00113915877947979</v>
      </c>
      <c r="D855" s="9" t="n">
        <f aca="false">IF(ISNUMBER(C855),ABS(C855-BTC_Fit!$B$9),"")</f>
        <v>0.0011485220397639</v>
      </c>
    </row>
    <row r="856" customFormat="false" ht="15" hidden="false" customHeight="false" outlineLevel="0" collapsed="false">
      <c r="A856" s="7" t="s">
        <v>880</v>
      </c>
      <c r="B856" s="8" t="n">
        <v>97.624332</v>
      </c>
      <c r="C856" s="9" t="n">
        <f aca="false">IF(AND(ISNUMBER(B856),ISNUMBER(B855),B855&lt;&gt;0),B856/B855-1,"")</f>
        <v>0.00156951762307078</v>
      </c>
      <c r="D856" s="9" t="n">
        <f aca="false">IF(ISNUMBER(C856),ABS(C856-BTC_Fit!$B$9),"")</f>
        <v>0.00157888088335489</v>
      </c>
    </row>
    <row r="857" customFormat="false" ht="15" hidden="false" customHeight="false" outlineLevel="0" collapsed="false">
      <c r="A857" s="7" t="s">
        <v>881</v>
      </c>
      <c r="B857" s="8" t="n">
        <v>97.549006</v>
      </c>
      <c r="C857" s="9" t="n">
        <f aca="false">IF(AND(ISNUMBER(B857),ISNUMBER(B856),B856&lt;&gt;0),B857/B856-1,"")</f>
        <v>-0.000771590426861923</v>
      </c>
      <c r="D857" s="9" t="n">
        <f aca="false">IF(ISNUMBER(C857),ABS(C857-BTC_Fit!$B$9),"")</f>
        <v>0.000762227166577811</v>
      </c>
    </row>
    <row r="858" customFormat="false" ht="15" hidden="false" customHeight="false" outlineLevel="0" collapsed="false">
      <c r="A858" s="7" t="s">
        <v>882</v>
      </c>
      <c r="B858" s="8" t="n">
        <v>97.543536</v>
      </c>
      <c r="C858" s="9" t="n">
        <f aca="false">IF(AND(ISNUMBER(B858),ISNUMBER(B857),B857&lt;&gt;0),B858/B857-1,"")</f>
        <v>-5.6074379681581E-005</v>
      </c>
      <c r="D858" s="9" t="n">
        <f aca="false">IF(ISNUMBER(C858),ABS(C858-BTC_Fit!$B$9),"")</f>
        <v>4.6711119397469E-005</v>
      </c>
    </row>
    <row r="859" customFormat="false" ht="15" hidden="false" customHeight="false" outlineLevel="0" collapsed="false">
      <c r="A859" s="7" t="s">
        <v>883</v>
      </c>
      <c r="B859" s="8" t="n">
        <v>97.598775</v>
      </c>
      <c r="C859" s="9" t="n">
        <f aca="false">IF(AND(ISNUMBER(B859),ISNUMBER(B858),B858&lt;&gt;0),B859/B858-1,"")</f>
        <v>0.000566300979697898</v>
      </c>
      <c r="D859" s="9" t="n">
        <f aca="false">IF(ISNUMBER(C859),ABS(C859-BTC_Fit!$B$9),"")</f>
        <v>0.00057566423998201</v>
      </c>
    </row>
    <row r="860" customFormat="false" ht="15" hidden="false" customHeight="false" outlineLevel="0" collapsed="false">
      <c r="A860" s="7" t="s">
        <v>884</v>
      </c>
      <c r="B860" s="8" t="n">
        <v>97.722943</v>
      </c>
      <c r="C860" s="9" t="n">
        <f aca="false">IF(AND(ISNUMBER(B860),ISNUMBER(B859),B859&lt;&gt;0),B860/B859-1,"")</f>
        <v>0.00127222908279334</v>
      </c>
      <c r="D860" s="9" t="n">
        <f aca="false">IF(ISNUMBER(C860),ABS(C860-BTC_Fit!$B$9),"")</f>
        <v>0.00128159234307745</v>
      </c>
    </row>
    <row r="861" customFormat="false" ht="15" hidden="false" customHeight="false" outlineLevel="0" collapsed="false">
      <c r="A861" s="7" t="s">
        <v>885</v>
      </c>
      <c r="B861" s="8" t="n">
        <v>97.698586</v>
      </c>
      <c r="C861" s="9" t="n">
        <f aca="false">IF(AND(ISNUMBER(B861),ISNUMBER(B860),B860&lt;&gt;0),B861/B860-1,"")</f>
        <v>-0.000249245461221848</v>
      </c>
      <c r="D861" s="9" t="n">
        <f aca="false">IF(ISNUMBER(C861),ABS(C861-BTC_Fit!$B$9),"")</f>
        <v>0.000239882200937736</v>
      </c>
    </row>
    <row r="862" customFormat="false" ht="15" hidden="false" customHeight="false" outlineLevel="0" collapsed="false">
      <c r="A862" s="7" t="s">
        <v>886</v>
      </c>
      <c r="B862" s="8" t="n">
        <v>97.701632</v>
      </c>
      <c r="C862" s="9" t="n">
        <f aca="false">IF(AND(ISNUMBER(B862),ISNUMBER(B861),B861&lt;&gt;0),B862/B861-1,"")</f>
        <v>3.11775238999168E-005</v>
      </c>
      <c r="D862" s="9" t="n">
        <f aca="false">IF(ISNUMBER(C862),ABS(C862-BTC_Fit!$B$9),"")</f>
        <v>4.05407841840288E-005</v>
      </c>
    </row>
    <row r="863" customFormat="false" ht="15" hidden="false" customHeight="false" outlineLevel="0" collapsed="false">
      <c r="A863" s="7" t="s">
        <v>887</v>
      </c>
      <c r="B863" s="8" t="n">
        <v>97.759715</v>
      </c>
      <c r="C863" s="9" t="n">
        <f aca="false">IF(AND(ISNUMBER(B863),ISNUMBER(B862),B862&lt;&gt;0),B863/B862-1,"")</f>
        <v>0.000594493651856265</v>
      </c>
      <c r="D863" s="9" t="n">
        <f aca="false">IF(ISNUMBER(C863),ABS(C863-BTC_Fit!$B$9),"")</f>
        <v>0.000603856912140377</v>
      </c>
    </row>
    <row r="864" customFormat="false" ht="15" hidden="false" customHeight="false" outlineLevel="0" collapsed="false">
      <c r="A864" s="7" t="s">
        <v>888</v>
      </c>
      <c r="B864" s="8" t="n">
        <v>97.8143</v>
      </c>
      <c r="C864" s="9" t="n">
        <f aca="false">IF(AND(ISNUMBER(B864),ISNUMBER(B863),B863&lt;&gt;0),B864/B863-1,"")</f>
        <v>0.000558358829094496</v>
      </c>
      <c r="D864" s="9" t="n">
        <f aca="false">IF(ISNUMBER(C864),ABS(C864-BTC_Fit!$B$9),"")</f>
        <v>0.000567722089378608</v>
      </c>
    </row>
    <row r="865" customFormat="false" ht="15" hidden="false" customHeight="false" outlineLevel="0" collapsed="false">
      <c r="A865" s="7" t="s">
        <v>889</v>
      </c>
      <c r="B865" s="8" t="n">
        <v>97.887766</v>
      </c>
      <c r="C865" s="9" t="n">
        <f aca="false">IF(AND(ISNUMBER(B865),ISNUMBER(B864),B864&lt;&gt;0),B865/B864-1,"")</f>
        <v>0.000751076274123408</v>
      </c>
      <c r="D865" s="9" t="n">
        <f aca="false">IF(ISNUMBER(C865),ABS(C865-BTC_Fit!$B$9),"")</f>
        <v>0.00076043953440752</v>
      </c>
    </row>
    <row r="866" customFormat="false" ht="15" hidden="false" customHeight="false" outlineLevel="0" collapsed="false">
      <c r="A866" s="7" t="s">
        <v>890</v>
      </c>
      <c r="B866" s="8" t="n">
        <v>97.90104</v>
      </c>
      <c r="C866" s="9" t="n">
        <f aca="false">IF(AND(ISNUMBER(B866),ISNUMBER(B865),B865&lt;&gt;0),B866/B865-1,"")</f>
        <v>0.000135604279701163</v>
      </c>
      <c r="D866" s="9" t="n">
        <f aca="false">IF(ISNUMBER(C866),ABS(C866-BTC_Fit!$B$9),"")</f>
        <v>0.000144967539985275</v>
      </c>
    </row>
    <row r="867" customFormat="false" ht="15" hidden="false" customHeight="false" outlineLevel="0" collapsed="false">
      <c r="A867" s="7" t="s">
        <v>891</v>
      </c>
      <c r="B867" s="8" t="n">
        <v>97.763206</v>
      </c>
      <c r="C867" s="9" t="n">
        <f aca="false">IF(AND(ISNUMBER(B867),ISNUMBER(B866),B866&lt;&gt;0),B867/B866-1,"")</f>
        <v>-0.0014078910704115</v>
      </c>
      <c r="D867" s="9" t="n">
        <f aca="false">IF(ISNUMBER(C867),ABS(C867-BTC_Fit!$B$9),"")</f>
        <v>0.00139852781012739</v>
      </c>
    </row>
    <row r="868" customFormat="false" ht="15" hidden="false" customHeight="false" outlineLevel="0" collapsed="false">
      <c r="A868" s="7" t="s">
        <v>892</v>
      </c>
      <c r="B868" s="8" t="n">
        <v>97.908383</v>
      </c>
      <c r="C868" s="9" t="n">
        <f aca="false">IF(AND(ISNUMBER(B868),ISNUMBER(B867),B867&lt;&gt;0),B868/B867-1,"")</f>
        <v>0.00148498607952785</v>
      </c>
      <c r="D868" s="9" t="n">
        <f aca="false">IF(ISNUMBER(C868),ABS(C868-BTC_Fit!$B$9),"")</f>
        <v>0.00149434933981196</v>
      </c>
    </row>
    <row r="869" customFormat="false" ht="15" hidden="false" customHeight="false" outlineLevel="0" collapsed="false">
      <c r="A869" s="7" t="s">
        <v>893</v>
      </c>
      <c r="B869" s="8" t="n">
        <v>98.024132</v>
      </c>
      <c r="C869" s="9" t="n">
        <f aca="false">IF(AND(ISNUMBER(B869),ISNUMBER(B868),B868&lt;&gt;0),B869/B868-1,"")</f>
        <v>0.00118221746139957</v>
      </c>
      <c r="D869" s="9" t="n">
        <f aca="false">IF(ISNUMBER(C869),ABS(C869-BTC_Fit!$B$9),"")</f>
        <v>0.00119158072168368</v>
      </c>
    </row>
    <row r="870" customFormat="false" ht="15" hidden="false" customHeight="false" outlineLevel="0" collapsed="false">
      <c r="A870" s="7" t="s">
        <v>894</v>
      </c>
      <c r="B870" s="8" t="n">
        <v>98.104134</v>
      </c>
      <c r="C870" s="9" t="n">
        <f aca="false">IF(AND(ISNUMBER(B870),ISNUMBER(B869),B869&lt;&gt;0),B870/B869-1,"")</f>
        <v>0.000816145966995308</v>
      </c>
      <c r="D870" s="9" t="n">
        <f aca="false">IF(ISNUMBER(C870),ABS(C870-BTC_Fit!$B$9),"")</f>
        <v>0.00082550922727942</v>
      </c>
    </row>
    <row r="871" customFormat="false" ht="15" hidden="false" customHeight="false" outlineLevel="0" collapsed="false">
      <c r="A871" s="7" t="s">
        <v>895</v>
      </c>
      <c r="B871" s="8" t="n">
        <v>97.961909</v>
      </c>
      <c r="C871" s="9" t="n">
        <f aca="false">IF(AND(ISNUMBER(B871),ISNUMBER(B870),B870&lt;&gt;0),B871/B870-1,"")</f>
        <v>-0.00144973503359191</v>
      </c>
      <c r="D871" s="9" t="n">
        <f aca="false">IF(ISNUMBER(C871),ABS(C871-BTC_Fit!$B$9),"")</f>
        <v>0.0014403717733078</v>
      </c>
    </row>
    <row r="872" customFormat="false" ht="15" hidden="false" customHeight="false" outlineLevel="0" collapsed="false">
      <c r="A872" s="7" t="s">
        <v>896</v>
      </c>
      <c r="B872" s="8" t="n">
        <v>97.883041</v>
      </c>
      <c r="C872" s="9" t="n">
        <f aca="false">IF(AND(ISNUMBER(B872),ISNUMBER(B871),B871&lt;&gt;0),B872/B871-1,"")</f>
        <v>-0.000805088434934431</v>
      </c>
      <c r="D872" s="9" t="n">
        <f aca="false">IF(ISNUMBER(C872),ABS(C872-BTC_Fit!$B$9),"")</f>
        <v>0.000795725174650319</v>
      </c>
    </row>
    <row r="873" customFormat="false" ht="15" hidden="false" customHeight="false" outlineLevel="0" collapsed="false">
      <c r="A873" s="7" t="s">
        <v>897</v>
      </c>
      <c r="B873" s="8" t="n">
        <v>97.941877</v>
      </c>
      <c r="C873" s="9" t="n">
        <f aca="false">IF(AND(ISNUMBER(B873),ISNUMBER(B872),B872&lt;&gt;0),B873/B872-1,"")</f>
        <v>0.000601084717014366</v>
      </c>
      <c r="D873" s="9" t="n">
        <f aca="false">IF(ISNUMBER(C873),ABS(C873-BTC_Fit!$B$9),"")</f>
        <v>0.000610447977298478</v>
      </c>
    </row>
    <row r="874" customFormat="false" ht="15" hidden="false" customHeight="false" outlineLevel="0" collapsed="false">
      <c r="A874" s="7" t="s">
        <v>898</v>
      </c>
      <c r="B874" s="8" t="n">
        <v>97.670996</v>
      </c>
      <c r="C874" s="9" t="n">
        <f aca="false">IF(AND(ISNUMBER(B874),ISNUMBER(B873),B873&lt;&gt;0),B874/B873-1,"")</f>
        <v>-0.00276573216990728</v>
      </c>
      <c r="D874" s="9" t="n">
        <f aca="false">IF(ISNUMBER(C874),ABS(C874-BTC_Fit!$B$9),"")</f>
        <v>0.00275636890962316</v>
      </c>
    </row>
    <row r="875" customFormat="false" ht="15" hidden="false" customHeight="false" outlineLevel="0" collapsed="false">
      <c r="A875" s="7" t="s">
        <v>899</v>
      </c>
      <c r="B875" s="8" t="n">
        <v>97.950604</v>
      </c>
      <c r="C875" s="9" t="n">
        <f aca="false">IF(AND(ISNUMBER(B875),ISNUMBER(B874),B874&lt;&gt;0),B875/B874-1,"")</f>
        <v>0.00286275364694744</v>
      </c>
      <c r="D875" s="9" t="n">
        <f aca="false">IF(ISNUMBER(C875),ABS(C875-BTC_Fit!$B$9),"")</f>
        <v>0.00287211690723155</v>
      </c>
    </row>
    <row r="876" customFormat="false" ht="15" hidden="false" customHeight="false" outlineLevel="0" collapsed="false">
      <c r="A876" s="7" t="s">
        <v>900</v>
      </c>
      <c r="B876" s="8" t="n">
        <v>97.925746</v>
      </c>
      <c r="C876" s="9" t="n">
        <f aca="false">IF(AND(ISNUMBER(B876),ISNUMBER(B875),B875&lt;&gt;0),B876/B875-1,"")</f>
        <v>-0.000253780977195306</v>
      </c>
      <c r="D876" s="9" t="n">
        <f aca="false">IF(ISNUMBER(C876),ABS(C876-BTC_Fit!$B$9),"")</f>
        <v>0.000244417716911194</v>
      </c>
    </row>
    <row r="877" customFormat="false" ht="15" hidden="false" customHeight="false" outlineLevel="0" collapsed="false">
      <c r="A877" s="7" t="s">
        <v>901</v>
      </c>
      <c r="B877" s="8" t="n">
        <v>97.976631</v>
      </c>
      <c r="C877" s="9" t="n">
        <f aca="false">IF(AND(ISNUMBER(B877),ISNUMBER(B876),B876&lt;&gt;0),B877/B876-1,"")</f>
        <v>0.00051962841314479</v>
      </c>
      <c r="D877" s="9" t="n">
        <f aca="false">IF(ISNUMBER(C877),ABS(C877-BTC_Fit!$B$9),"")</f>
        <v>0.000528991673428902</v>
      </c>
    </row>
    <row r="878" customFormat="false" ht="15" hidden="false" customHeight="false" outlineLevel="0" collapsed="false">
      <c r="A878" s="7" t="s">
        <v>902</v>
      </c>
      <c r="B878" s="8" t="n">
        <v>98.108219</v>
      </c>
      <c r="C878" s="9" t="n">
        <f aca="false">IF(AND(ISNUMBER(B878),ISNUMBER(B877),B877&lt;&gt;0),B878/B877-1,"")</f>
        <v>0.00134305495766651</v>
      </c>
      <c r="D878" s="9" t="n">
        <f aca="false">IF(ISNUMBER(C878),ABS(C878-BTC_Fit!$B$9),"")</f>
        <v>0.00135241821795062</v>
      </c>
    </row>
    <row r="879" customFormat="false" ht="15" hidden="false" customHeight="false" outlineLevel="0" collapsed="false">
      <c r="A879" s="7" t="s">
        <v>903</v>
      </c>
      <c r="B879" s="8" t="n">
        <v>98.087323</v>
      </c>
      <c r="C879" s="9" t="n">
        <f aca="false">IF(AND(ISNUMBER(B879),ISNUMBER(B878),B878&lt;&gt;0),B879/B878-1,"")</f>
        <v>-0.000212989290938048</v>
      </c>
      <c r="D879" s="9" t="n">
        <f aca="false">IF(ISNUMBER(C879),ABS(C879-BTC_Fit!$B$9),"")</f>
        <v>0.000203626030653936</v>
      </c>
    </row>
    <row r="880" customFormat="false" ht="15" hidden="false" customHeight="false" outlineLevel="0" collapsed="false">
      <c r="A880" s="7" t="s">
        <v>904</v>
      </c>
      <c r="B880" s="8" t="n">
        <v>98.047686</v>
      </c>
      <c r="C880" s="9" t="n">
        <f aca="false">IF(AND(ISNUMBER(B880),ISNUMBER(B879),B879&lt;&gt;0),B880/B879-1,"")</f>
        <v>-0.000404099110748457</v>
      </c>
      <c r="D880" s="9" t="n">
        <f aca="false">IF(ISNUMBER(C880),ABS(C880-BTC_Fit!$B$9),"")</f>
        <v>0.000394735850464345</v>
      </c>
    </row>
    <row r="881" customFormat="false" ht="15" hidden="false" customHeight="false" outlineLevel="0" collapsed="false">
      <c r="A881" s="7" t="s">
        <v>905</v>
      </c>
      <c r="B881" s="8" t="n">
        <v>98.069326</v>
      </c>
      <c r="C881" s="9" t="n">
        <f aca="false">IF(AND(ISNUMBER(B881),ISNUMBER(B880),B880&lt;&gt;0),B881/B880-1,"")</f>
        <v>0.000220708931366387</v>
      </c>
      <c r="D881" s="9" t="n">
        <f aca="false">IF(ISNUMBER(C881),ABS(C881-BTC_Fit!$B$9),"")</f>
        <v>0.000230072191650499</v>
      </c>
    </row>
    <row r="882" customFormat="false" ht="15" hidden="false" customHeight="false" outlineLevel="0" collapsed="false">
      <c r="A882" s="7" t="s">
        <v>906</v>
      </c>
      <c r="B882" s="8" t="n">
        <v>98.084923</v>
      </c>
      <c r="C882" s="9" t="n">
        <f aca="false">IF(AND(ISNUMBER(B882),ISNUMBER(B881),B881&lt;&gt;0),B882/B881-1,"")</f>
        <v>0.00015904055463789</v>
      </c>
      <c r="D882" s="9" t="n">
        <f aca="false">IF(ISNUMBER(C882),ABS(C882-BTC_Fit!$B$9),"")</f>
        <v>0.000168403814922002</v>
      </c>
    </row>
    <row r="883" customFormat="false" ht="15" hidden="false" customHeight="false" outlineLevel="0" collapsed="false">
      <c r="A883" s="7" t="s">
        <v>907</v>
      </c>
      <c r="B883" s="8" t="n">
        <v>98.067219</v>
      </c>
      <c r="C883" s="9" t="n">
        <f aca="false">IF(AND(ISNUMBER(B883),ISNUMBER(B882),B882&lt;&gt;0),B883/B882-1,"")</f>
        <v>-0.000180496649826667</v>
      </c>
      <c r="D883" s="9" t="n">
        <f aca="false">IF(ISNUMBER(C883),ABS(C883-BTC_Fit!$B$9),"")</f>
        <v>0.000171133389542555</v>
      </c>
    </row>
    <row r="884" customFormat="false" ht="15" hidden="false" customHeight="false" outlineLevel="0" collapsed="false">
      <c r="A884" s="7" t="s">
        <v>908</v>
      </c>
      <c r="B884" s="8" t="n">
        <v>98.087306</v>
      </c>
      <c r="C884" s="9" t="n">
        <f aca="false">IF(AND(ISNUMBER(B884),ISNUMBER(B883),B883&lt;&gt;0),B884/B883-1,"")</f>
        <v>0.000204828893944686</v>
      </c>
      <c r="D884" s="9" t="n">
        <f aca="false">IF(ISNUMBER(C884),ABS(C884-BTC_Fit!$B$9),"")</f>
        <v>0.000214192154228798</v>
      </c>
    </row>
    <row r="885" customFormat="false" ht="15" hidden="false" customHeight="false" outlineLevel="0" collapsed="false">
      <c r="A885" s="7" t="s">
        <v>909</v>
      </c>
      <c r="B885" s="8" t="n">
        <v>98.267934</v>
      </c>
      <c r="C885" s="9" t="n">
        <f aca="false">IF(AND(ISNUMBER(B885),ISNUMBER(B884),B884&lt;&gt;0),B885/B884-1,"")</f>
        <v>0.00184150230408009</v>
      </c>
      <c r="D885" s="9" t="n">
        <f aca="false">IF(ISNUMBER(C885),ABS(C885-BTC_Fit!$B$9),"")</f>
        <v>0.0018508655643642</v>
      </c>
    </row>
    <row r="886" customFormat="false" ht="15" hidden="false" customHeight="false" outlineLevel="0" collapsed="false">
      <c r="A886" s="7" t="s">
        <v>910</v>
      </c>
      <c r="B886" s="8" t="n">
        <v>98.262016</v>
      </c>
      <c r="C886" s="9" t="n">
        <f aca="false">IF(AND(ISNUMBER(B886),ISNUMBER(B885),B885&lt;&gt;0),B886/B885-1,"")</f>
        <v>-6.02231039068535E-005</v>
      </c>
      <c r="D886" s="9" t="n">
        <f aca="false">IF(ISNUMBER(C886),ABS(C886-BTC_Fit!$B$9),"")</f>
        <v>5.08598436227414E-005</v>
      </c>
    </row>
    <row r="887" customFormat="false" ht="15" hidden="false" customHeight="false" outlineLevel="0" collapsed="false">
      <c r="A887" s="7" t="s">
        <v>911</v>
      </c>
      <c r="B887" s="8" t="n">
        <v>98.179531</v>
      </c>
      <c r="C887" s="9" t="n">
        <f aca="false">IF(AND(ISNUMBER(B887),ISNUMBER(B886),B886&lt;&gt;0),B887/B886-1,"")</f>
        <v>-0.000839439321090318</v>
      </c>
      <c r="D887" s="9" t="n">
        <f aca="false">IF(ISNUMBER(C887),ABS(C887-BTC_Fit!$B$9),"")</f>
        <v>0.000830076060806206</v>
      </c>
    </row>
    <row r="888" customFormat="false" ht="15" hidden="false" customHeight="false" outlineLevel="0" collapsed="false">
      <c r="A888" s="7" t="s">
        <v>912</v>
      </c>
      <c r="B888" s="8" t="n">
        <v>98.154629</v>
      </c>
      <c r="C888" s="9" t="n">
        <f aca="false">IF(AND(ISNUMBER(B888),ISNUMBER(B887),B887&lt;&gt;0),B888/B887-1,"")</f>
        <v>-0.000253637390058348</v>
      </c>
      <c r="D888" s="9" t="n">
        <f aca="false">IF(ISNUMBER(C888),ABS(C888-BTC_Fit!$B$9),"")</f>
        <v>0.000244274129774236</v>
      </c>
    </row>
    <row r="889" customFormat="false" ht="15" hidden="false" customHeight="false" outlineLevel="0" collapsed="false">
      <c r="A889" s="7" t="s">
        <v>913</v>
      </c>
      <c r="B889" s="8" t="n">
        <v>98.133606</v>
      </c>
      <c r="C889" s="9" t="n">
        <f aca="false">IF(AND(ISNUMBER(B889),ISNUMBER(B888),B888&lt;&gt;0),B889/B888-1,"")</f>
        <v>-0.000214182461022783</v>
      </c>
      <c r="D889" s="9" t="n">
        <f aca="false">IF(ISNUMBER(C889),ABS(C889-BTC_Fit!$B$9),"")</f>
        <v>0.000204819200738671</v>
      </c>
    </row>
    <row r="890" customFormat="false" ht="15" hidden="false" customHeight="false" outlineLevel="0" collapsed="false">
      <c r="A890" s="7" t="s">
        <v>914</v>
      </c>
      <c r="B890" s="8" t="n">
        <v>98.015382</v>
      </c>
      <c r="C890" s="9" t="n">
        <f aca="false">IF(AND(ISNUMBER(B890),ISNUMBER(B889),B889&lt;&gt;0),B890/B889-1,"")</f>
        <v>-0.0012047249135021</v>
      </c>
      <c r="D890" s="9" t="n">
        <f aca="false">IF(ISNUMBER(C890),ABS(C890-BTC_Fit!$B$9),"")</f>
        <v>0.00119536165321799</v>
      </c>
    </row>
    <row r="891" customFormat="false" ht="15" hidden="false" customHeight="false" outlineLevel="0" collapsed="false">
      <c r="A891" s="7" t="s">
        <v>915</v>
      </c>
      <c r="B891" s="8" t="n">
        <v>97.916437</v>
      </c>
      <c r="C891" s="9" t="n">
        <f aca="false">IF(AND(ISNUMBER(B891),ISNUMBER(B890),B890&lt;&gt;0),B891/B890-1,"")</f>
        <v>-0.00100948440929405</v>
      </c>
      <c r="D891" s="9" t="n">
        <f aca="false">IF(ISNUMBER(C891),ABS(C891-BTC_Fit!$B$9),"")</f>
        <v>0.00100012114900994</v>
      </c>
    </row>
    <row r="892" customFormat="false" ht="15" hidden="false" customHeight="false" outlineLevel="0" collapsed="false">
      <c r="A892" s="7" t="s">
        <v>916</v>
      </c>
      <c r="B892" s="8" t="n">
        <v>97.957031</v>
      </c>
      <c r="C892" s="9" t="n">
        <f aca="false">IF(AND(ISNUMBER(B892),ISNUMBER(B891),B891&lt;&gt;0),B892/B891-1,"")</f>
        <v>0.000414577993682608</v>
      </c>
      <c r="D892" s="9" t="n">
        <f aca="false">IF(ISNUMBER(C892),ABS(C892-BTC_Fit!$B$9),"")</f>
        <v>0.00042394125396672</v>
      </c>
    </row>
    <row r="893" customFormat="false" ht="15" hidden="false" customHeight="false" outlineLevel="0" collapsed="false">
      <c r="A893" s="7" t="s">
        <v>917</v>
      </c>
      <c r="B893" s="8" t="n">
        <v>97.922895</v>
      </c>
      <c r="C893" s="9" t="n">
        <f aca="false">IF(AND(ISNUMBER(B893),ISNUMBER(B892),B892&lt;&gt;0),B893/B892-1,"")</f>
        <v>-0.000348479324572493</v>
      </c>
      <c r="D893" s="9" t="n">
        <f aca="false">IF(ISNUMBER(C893),ABS(C893-BTC_Fit!$B$9),"")</f>
        <v>0.000339116064288381</v>
      </c>
    </row>
    <row r="894" customFormat="false" ht="15" hidden="false" customHeight="false" outlineLevel="0" collapsed="false">
      <c r="A894" s="7" t="s">
        <v>918</v>
      </c>
      <c r="B894" s="8" t="n">
        <v>98.13491</v>
      </c>
      <c r="C894" s="9" t="n">
        <f aca="false">IF(AND(ISNUMBER(B894),ISNUMBER(B893),B893&lt;&gt;0),B894/B893-1,"")</f>
        <v>0.00216512185429174</v>
      </c>
      <c r="D894" s="9" t="n">
        <f aca="false">IF(ISNUMBER(C894),ABS(C894-BTC_Fit!$B$9),"")</f>
        <v>0.00217448511457585</v>
      </c>
    </row>
    <row r="895" customFormat="false" ht="15" hidden="false" customHeight="false" outlineLevel="0" collapsed="false">
      <c r="A895" s="7" t="s">
        <v>919</v>
      </c>
      <c r="B895" s="8" t="n">
        <v>98.071399</v>
      </c>
      <c r="C895" s="9" t="n">
        <f aca="false">IF(AND(ISNUMBER(B895),ISNUMBER(B894),B894&lt;&gt;0),B895/B894-1,"")</f>
        <v>-0.000647180498764444</v>
      </c>
      <c r="D895" s="9" t="n">
        <f aca="false">IF(ISNUMBER(C895),ABS(C895-BTC_Fit!$B$9),"")</f>
        <v>0.000637817238480332</v>
      </c>
    </row>
    <row r="896" customFormat="false" ht="15" hidden="false" customHeight="false" outlineLevel="0" collapsed="false">
      <c r="A896" s="7" t="s">
        <v>920</v>
      </c>
      <c r="B896" s="8" t="n">
        <v>97.928389</v>
      </c>
      <c r="C896" s="9" t="n">
        <f aca="false">IF(AND(ISNUMBER(B896),ISNUMBER(B895),B895&lt;&gt;0),B896/B895-1,"")</f>
        <v>-0.00145822330932588</v>
      </c>
      <c r="D896" s="9" t="n">
        <f aca="false">IF(ISNUMBER(C896),ABS(C896-BTC_Fit!$B$9),"")</f>
        <v>0.00144886004904177</v>
      </c>
    </row>
    <row r="897" customFormat="false" ht="15" hidden="false" customHeight="false" outlineLevel="0" collapsed="false">
      <c r="A897" s="7" t="s">
        <v>921</v>
      </c>
      <c r="B897" s="8" t="n">
        <v>97.990724</v>
      </c>
      <c r="C897" s="9" t="n">
        <f aca="false">IF(AND(ISNUMBER(B897),ISNUMBER(B896),B896&lt;&gt;0),B897/B896-1,"")</f>
        <v>0.000636536561425594</v>
      </c>
      <c r="D897" s="9" t="n">
        <f aca="false">IF(ISNUMBER(C897),ABS(C897-BTC_Fit!$B$9),"")</f>
        <v>0.000645899821709706</v>
      </c>
    </row>
    <row r="898" customFormat="false" ht="15" hidden="false" customHeight="false" outlineLevel="0" collapsed="false">
      <c r="A898" s="7" t="s">
        <v>922</v>
      </c>
      <c r="B898" s="8" t="n">
        <v>98.117348</v>
      </c>
      <c r="C898" s="9" t="n">
        <f aca="false">IF(AND(ISNUMBER(B898),ISNUMBER(B897),B897&lt;&gt;0),B898/B897-1,"")</f>
        <v>0.00129220394371221</v>
      </c>
      <c r="D898" s="9" t="n">
        <f aca="false">IF(ISNUMBER(C898),ABS(C898-BTC_Fit!$B$9),"")</f>
        <v>0.00130156720399632</v>
      </c>
    </row>
    <row r="899" customFormat="false" ht="15" hidden="false" customHeight="false" outlineLevel="0" collapsed="false">
      <c r="A899" s="7" t="s">
        <v>923</v>
      </c>
      <c r="B899" s="8" t="n">
        <v>98.06555</v>
      </c>
      <c r="C899" s="9" t="n">
        <f aca="false">IF(AND(ISNUMBER(B899),ISNUMBER(B898),B898&lt;&gt;0),B899/B898-1,"")</f>
        <v>-0.0005279188752636</v>
      </c>
      <c r="D899" s="9" t="n">
        <f aca="false">IF(ISNUMBER(C899),ABS(C899-BTC_Fit!$B$9),"")</f>
        <v>0.000518555614979488</v>
      </c>
    </row>
    <row r="900" customFormat="false" ht="15" hidden="false" customHeight="false" outlineLevel="0" collapsed="false">
      <c r="A900" s="7" t="s">
        <v>924</v>
      </c>
      <c r="B900" s="8" t="n">
        <v>97.985596</v>
      </c>
      <c r="C900" s="9" t="n">
        <f aca="false">IF(AND(ISNUMBER(B900),ISNUMBER(B899),B899&lt;&gt;0),B900/B899-1,"")</f>
        <v>-0.000815311799097662</v>
      </c>
      <c r="D900" s="9" t="n">
        <f aca="false">IF(ISNUMBER(C900),ABS(C900-BTC_Fit!$B$9),"")</f>
        <v>0.00080594853881355</v>
      </c>
    </row>
    <row r="901" customFormat="false" ht="15" hidden="false" customHeight="false" outlineLevel="0" collapsed="false">
      <c r="A901" s="7" t="s">
        <v>925</v>
      </c>
      <c r="B901" s="8" t="n">
        <v>97.89828</v>
      </c>
      <c r="C901" s="9" t="n">
        <f aca="false">IF(AND(ISNUMBER(B901),ISNUMBER(B900),B900&lt;&gt;0),B901/B900-1,"")</f>
        <v>-0.000891110566904163</v>
      </c>
      <c r="D901" s="9" t="n">
        <f aca="false">IF(ISNUMBER(C901),ABS(C901-BTC_Fit!$B$9),"")</f>
        <v>0.000881747306620051</v>
      </c>
    </row>
    <row r="902" customFormat="false" ht="15" hidden="false" customHeight="false" outlineLevel="0" collapsed="false">
      <c r="A902" s="7" t="s">
        <v>926</v>
      </c>
      <c r="B902" s="8" t="n">
        <v>97.902247</v>
      </c>
      <c r="C902" s="9" t="n">
        <f aca="false">IF(AND(ISNUMBER(B902),ISNUMBER(B901),B901&lt;&gt;0),B902/B901-1,"")</f>
        <v>4.05216516572438E-005</v>
      </c>
      <c r="D902" s="9" t="n">
        <f aca="false">IF(ISNUMBER(C902),ABS(C902-BTC_Fit!$B$9),"")</f>
        <v>4.98849119413558E-005</v>
      </c>
    </row>
    <row r="903" customFormat="false" ht="15" hidden="false" customHeight="false" outlineLevel="0" collapsed="false">
      <c r="A903" s="7" t="s">
        <v>927</v>
      </c>
      <c r="B903" s="8" t="n">
        <v>97.896498</v>
      </c>
      <c r="C903" s="9" t="n">
        <f aca="false">IF(AND(ISNUMBER(B903),ISNUMBER(B902),B902&lt;&gt;0),B903/B902-1,"")</f>
        <v>-5.87218391423505E-005</v>
      </c>
      <c r="D903" s="9" t="n">
        <f aca="false">IF(ISNUMBER(C903),ABS(C903-BTC_Fit!$B$9),"")</f>
        <v>4.93585788582385E-005</v>
      </c>
    </row>
    <row r="904" customFormat="false" ht="15" hidden="false" customHeight="false" outlineLevel="0" collapsed="false">
      <c r="A904" s="7" t="s">
        <v>928</v>
      </c>
      <c r="B904" s="8" t="n">
        <v>97.838692</v>
      </c>
      <c r="C904" s="9" t="n">
        <f aca="false">IF(AND(ISNUMBER(B904),ISNUMBER(B903),B903&lt;&gt;0),B904/B903-1,"")</f>
        <v>-0.000590480774909863</v>
      </c>
      <c r="D904" s="9" t="n">
        <f aca="false">IF(ISNUMBER(C904),ABS(C904-BTC_Fit!$B$9),"")</f>
        <v>0.000581117514625751</v>
      </c>
    </row>
    <row r="905" customFormat="false" ht="15" hidden="false" customHeight="false" outlineLevel="0" collapsed="false">
      <c r="A905" s="7" t="s">
        <v>929</v>
      </c>
      <c r="B905" s="8" t="n">
        <v>97.626999</v>
      </c>
      <c r="C905" s="9" t="n">
        <f aca="false">IF(AND(ISNUMBER(B905),ISNUMBER(B904),B904&lt;&gt;0),B905/B904-1,"")</f>
        <v>-0.00216369409353911</v>
      </c>
      <c r="D905" s="9" t="n">
        <f aca="false">IF(ISNUMBER(C905),ABS(C905-BTC_Fit!$B$9),"")</f>
        <v>0.002154330833255</v>
      </c>
    </row>
    <row r="906" customFormat="false" ht="15" hidden="false" customHeight="false" outlineLevel="0" collapsed="false">
      <c r="A906" s="7" t="s">
        <v>930</v>
      </c>
      <c r="B906" s="8" t="n">
        <v>97.623685</v>
      </c>
      <c r="C906" s="9" t="n">
        <f aca="false">IF(AND(ISNUMBER(B906),ISNUMBER(B905),B905&lt;&gt;0),B906/B905-1,"")</f>
        <v>-3.39455277120759E-005</v>
      </c>
      <c r="D906" s="9" t="n">
        <f aca="false">IF(ISNUMBER(C906),ABS(C906-BTC_Fit!$B$9),"")</f>
        <v>2.45822674279639E-005</v>
      </c>
    </row>
    <row r="907" customFormat="false" ht="15" hidden="false" customHeight="false" outlineLevel="0" collapsed="false">
      <c r="A907" s="7" t="s">
        <v>931</v>
      </c>
      <c r="B907" s="8" t="n">
        <v>97.844144</v>
      </c>
      <c r="C907" s="9" t="n">
        <f aca="false">IF(AND(ISNUMBER(B907),ISNUMBER(B906),B906&lt;&gt;0),B907/B906-1,"")</f>
        <v>0.0022582532097617</v>
      </c>
      <c r="D907" s="9" t="n">
        <f aca="false">IF(ISNUMBER(C907),ABS(C907-BTC_Fit!$B$9),"")</f>
        <v>0.00226761647004581</v>
      </c>
    </row>
    <row r="908" customFormat="false" ht="15" hidden="false" customHeight="false" outlineLevel="0" collapsed="false">
      <c r="A908" s="7" t="s">
        <v>932</v>
      </c>
      <c r="B908" s="8" t="n">
        <v>97.876189</v>
      </c>
      <c r="C908" s="9" t="n">
        <f aca="false">IF(AND(ISNUMBER(B908),ISNUMBER(B907),B907&lt;&gt;0),B908/B907-1,"")</f>
        <v>0.000327510658174823</v>
      </c>
      <c r="D908" s="9" t="n">
        <f aca="false">IF(ISNUMBER(C908),ABS(C908-BTC_Fit!$B$9),"")</f>
        <v>0.000336873918458935</v>
      </c>
    </row>
    <row r="909" customFormat="false" ht="15" hidden="false" customHeight="false" outlineLevel="0" collapsed="false">
      <c r="A909" s="7" t="s">
        <v>933</v>
      </c>
      <c r="B909" s="8" t="n">
        <v>97.875394</v>
      </c>
      <c r="C909" s="9" t="n">
        <f aca="false">IF(AND(ISNUMBER(B909),ISNUMBER(B908),B908&lt;&gt;0),B909/B908-1,"")</f>
        <v>-8.12250669057768E-006</v>
      </c>
      <c r="D909" s="9" t="n">
        <f aca="false">IF(ISNUMBER(C909),ABS(C909-BTC_Fit!$B$9),"")</f>
        <v>1.24075359353437E-006</v>
      </c>
    </row>
    <row r="910" customFormat="false" ht="15" hidden="false" customHeight="false" outlineLevel="0" collapsed="false">
      <c r="A910" s="7" t="s">
        <v>934</v>
      </c>
      <c r="B910" s="8" t="n">
        <v>97.74257</v>
      </c>
      <c r="C910" s="9" t="n">
        <f aca="false">IF(AND(ISNUMBER(B910),ISNUMBER(B909),B909&lt;&gt;0),B910/B909-1,"")</f>
        <v>-0.00135707244253847</v>
      </c>
      <c r="D910" s="9" t="n">
        <f aca="false">IF(ISNUMBER(C910),ABS(C910-BTC_Fit!$B$9),"")</f>
        <v>0.00134770918225435</v>
      </c>
    </row>
    <row r="911" customFormat="false" ht="15" hidden="false" customHeight="false" outlineLevel="0" collapsed="false">
      <c r="A911" s="7" t="s">
        <v>935</v>
      </c>
      <c r="B911" s="8" t="n">
        <v>97.682448</v>
      </c>
      <c r="C911" s="9" t="n">
        <f aca="false">IF(AND(ISNUMBER(B911),ISNUMBER(B910),B910&lt;&gt;0),B911/B910-1,"")</f>
        <v>-0.000615105577846054</v>
      </c>
      <c r="D911" s="9" t="n">
        <f aca="false">IF(ISNUMBER(C911),ABS(C911-BTC_Fit!$B$9),"")</f>
        <v>0.000605742317561941</v>
      </c>
    </row>
    <row r="912" customFormat="false" ht="15" hidden="false" customHeight="false" outlineLevel="0" collapsed="false">
      <c r="A912" s="7" t="s">
        <v>936</v>
      </c>
      <c r="B912" s="8" t="n">
        <v>97.635995</v>
      </c>
      <c r="C912" s="9" t="n">
        <f aca="false">IF(AND(ISNUMBER(B912),ISNUMBER(B911),B911&lt;&gt;0),B912/B911-1,"")</f>
        <v>-0.000475551145073694</v>
      </c>
      <c r="D912" s="9" t="n">
        <f aca="false">IF(ISNUMBER(C912),ABS(C912-BTC_Fit!$B$9),"")</f>
        <v>0.000466187884789582</v>
      </c>
    </row>
    <row r="913" customFormat="false" ht="15" hidden="false" customHeight="false" outlineLevel="0" collapsed="false">
      <c r="A913" s="7" t="s">
        <v>937</v>
      </c>
      <c r="B913" s="8" t="n">
        <v>97.702267</v>
      </c>
      <c r="C913" s="9" t="n">
        <f aca="false">IF(AND(ISNUMBER(B913),ISNUMBER(B912),B912&lt;&gt;0),B913/B912-1,"")</f>
        <v>0.000678766063684</v>
      </c>
      <c r="D913" s="9" t="n">
        <f aca="false">IF(ISNUMBER(C913),ABS(C913-BTC_Fit!$B$9),"")</f>
        <v>0.000688129323968112</v>
      </c>
    </row>
    <row r="914" customFormat="false" ht="15" hidden="false" customHeight="false" outlineLevel="0" collapsed="false">
      <c r="A914" s="7" t="s">
        <v>938</v>
      </c>
      <c r="B914" s="8" t="n">
        <v>97.825378</v>
      </c>
      <c r="C914" s="9" t="n">
        <f aca="false">IF(AND(ISNUMBER(B914),ISNUMBER(B913),B913&lt;&gt;0),B914/B913-1,"")</f>
        <v>0.00126006288062896</v>
      </c>
      <c r="D914" s="9" t="n">
        <f aca="false">IF(ISNUMBER(C914),ABS(C914-BTC_Fit!$B$9),"")</f>
        <v>0.00126942614091308</v>
      </c>
    </row>
    <row r="915" customFormat="false" ht="15" hidden="false" customHeight="false" outlineLevel="0" collapsed="false">
      <c r="A915" s="7" t="s">
        <v>939</v>
      </c>
      <c r="B915" s="8" t="n">
        <v>97.968535</v>
      </c>
      <c r="C915" s="9" t="n">
        <f aca="false">IF(AND(ISNUMBER(B915),ISNUMBER(B914),B914&lt;&gt;0),B915/B914-1,"")</f>
        <v>0.00146339327204026</v>
      </c>
      <c r="D915" s="9" t="n">
        <f aca="false">IF(ISNUMBER(C915),ABS(C915-BTC_Fit!$B$9),"")</f>
        <v>0.00147275653232437</v>
      </c>
    </row>
    <row r="916" customFormat="false" ht="15" hidden="false" customHeight="false" outlineLevel="0" collapsed="false">
      <c r="A916" s="7" t="s">
        <v>940</v>
      </c>
      <c r="B916" s="8" t="n">
        <v>98.275214</v>
      </c>
      <c r="C916" s="9" t="n">
        <f aca="false">IF(AND(ISNUMBER(B916),ISNUMBER(B915),B915&lt;&gt;0),B916/B915-1,"")</f>
        <v>0.0031303826274427</v>
      </c>
      <c r="D916" s="9" t="n">
        <f aca="false">IF(ISNUMBER(C916),ABS(C916-BTC_Fit!$B$9),"")</f>
        <v>0.00313974588772681</v>
      </c>
    </row>
    <row r="917" customFormat="false" ht="15" hidden="false" customHeight="false" outlineLevel="0" collapsed="false">
      <c r="A917" s="7" t="s">
        <v>941</v>
      </c>
      <c r="B917" s="8" t="n">
        <v>98.571056</v>
      </c>
      <c r="C917" s="9" t="n">
        <f aca="false">IF(AND(ISNUMBER(B917),ISNUMBER(B916),B916&lt;&gt;0),B917/B916-1,"")</f>
        <v>0.00301034195661987</v>
      </c>
      <c r="D917" s="9" t="n">
        <f aca="false">IF(ISNUMBER(C917),ABS(C917-BTC_Fit!$B$9),"")</f>
        <v>0.00301970521690398</v>
      </c>
    </row>
    <row r="918" customFormat="false" ht="15" hidden="false" customHeight="false" outlineLevel="0" collapsed="false">
      <c r="A918" s="7" t="s">
        <v>942</v>
      </c>
      <c r="B918" s="8" t="n">
        <v>98.780815</v>
      </c>
      <c r="C918" s="9" t="n">
        <f aca="false">IF(AND(ISNUMBER(B918),ISNUMBER(B917),B917&lt;&gt;0),B918/B917-1,"")</f>
        <v>0.00212799789828777</v>
      </c>
      <c r="D918" s="9" t="n">
        <f aca="false">IF(ISNUMBER(C918),ABS(C918-BTC_Fit!$B$9),"")</f>
        <v>0.00213736115857188</v>
      </c>
    </row>
    <row r="919" customFormat="false" ht="15" hidden="false" customHeight="false" outlineLevel="0" collapsed="false">
      <c r="A919" s="7" t="s">
        <v>943</v>
      </c>
      <c r="B919" s="8" t="n">
        <v>98.608307</v>
      </c>
      <c r="C919" s="9" t="n">
        <f aca="false">IF(AND(ISNUMBER(B919),ISNUMBER(B918),B918&lt;&gt;0),B919/B918-1,"")</f>
        <v>-0.00174637149936463</v>
      </c>
      <c r="D919" s="9" t="n">
        <f aca="false">IF(ISNUMBER(C919),ABS(C919-BTC_Fit!$B$9),"")</f>
        <v>0.00173700823908052</v>
      </c>
    </row>
    <row r="920" customFormat="false" ht="15" hidden="false" customHeight="false" outlineLevel="0" collapsed="false">
      <c r="A920" s="7" t="s">
        <v>944</v>
      </c>
      <c r="B920" s="8" t="n">
        <v>98.493924</v>
      </c>
      <c r="C920" s="9" t="n">
        <f aca="false">IF(AND(ISNUMBER(B920),ISNUMBER(B919),B919&lt;&gt;0),B920/B919-1,"")</f>
        <v>-0.00115997326675521</v>
      </c>
      <c r="D920" s="9" t="n">
        <f aca="false">IF(ISNUMBER(C920),ABS(C920-BTC_Fit!$B$9),"")</f>
        <v>0.0011506100064711</v>
      </c>
    </row>
    <row r="921" customFormat="false" ht="15" hidden="false" customHeight="false" outlineLevel="0" collapsed="false">
      <c r="A921" s="7" t="s">
        <v>945</v>
      </c>
      <c r="B921" s="8" t="n">
        <v>98.449952</v>
      </c>
      <c r="C921" s="9" t="n">
        <f aca="false">IF(AND(ISNUMBER(B921),ISNUMBER(B920),B920&lt;&gt;0),B921/B920-1,"")</f>
        <v>-0.000446443782664341</v>
      </c>
      <c r="D921" s="9" t="n">
        <f aca="false">IF(ISNUMBER(C921),ABS(C921-BTC_Fit!$B$9),"")</f>
        <v>0.000437080522380229</v>
      </c>
    </row>
    <row r="922" customFormat="false" ht="15" hidden="false" customHeight="false" outlineLevel="0" collapsed="false">
      <c r="A922" s="7" t="s">
        <v>946</v>
      </c>
      <c r="B922" s="8" t="n">
        <v>98.45986</v>
      </c>
      <c r="C922" s="9" t="n">
        <f aca="false">IF(AND(ISNUMBER(B922),ISNUMBER(B921),B921&lt;&gt;0),B922/B921-1,"")</f>
        <v>0.000100639967808291</v>
      </c>
      <c r="D922" s="9" t="n">
        <f aca="false">IF(ISNUMBER(C922),ABS(C922-BTC_Fit!$B$9),"")</f>
        <v>0.000110003228092403</v>
      </c>
    </row>
    <row r="923" customFormat="false" ht="15" hidden="false" customHeight="false" outlineLevel="0" collapsed="false">
      <c r="A923" s="7" t="s">
        <v>947</v>
      </c>
      <c r="B923" s="8" t="n">
        <v>98.314523</v>
      </c>
      <c r="C923" s="9" t="n">
        <f aca="false">IF(AND(ISNUMBER(B923),ISNUMBER(B922),B922&lt;&gt;0),B923/B922-1,"")</f>
        <v>-0.00147610406921173</v>
      </c>
      <c r="D923" s="9" t="n">
        <f aca="false">IF(ISNUMBER(C923),ABS(C923-BTC_Fit!$B$9),"")</f>
        <v>0.00146674080892761</v>
      </c>
    </row>
    <row r="924" customFormat="false" ht="15" hidden="false" customHeight="false" outlineLevel="0" collapsed="false">
      <c r="A924" s="7" t="s">
        <v>948</v>
      </c>
      <c r="B924" s="8" t="n">
        <v>98.418609</v>
      </c>
      <c r="C924" s="9" t="n">
        <f aca="false">IF(AND(ISNUMBER(B924),ISNUMBER(B923),B923&lt;&gt;0),B924/B923-1,"")</f>
        <v>0.00105870421605991</v>
      </c>
      <c r="D924" s="9" t="n">
        <f aca="false">IF(ISNUMBER(C924),ABS(C924-BTC_Fit!$B$9),"")</f>
        <v>0.00106806747634403</v>
      </c>
    </row>
    <row r="925" customFormat="false" ht="15" hidden="false" customHeight="false" outlineLevel="0" collapsed="false">
      <c r="A925" s="7" t="s">
        <v>949</v>
      </c>
      <c r="B925" s="8" t="n">
        <v>98.442164</v>
      </c>
      <c r="C925" s="9" t="n">
        <f aca="false">IF(AND(ISNUMBER(B925),ISNUMBER(B924),B924&lt;&gt;0),B925/B924-1,"")</f>
        <v>0.00023933481929217</v>
      </c>
      <c r="D925" s="9" t="n">
        <f aca="false">IF(ISNUMBER(C925),ABS(C925-BTC_Fit!$B$9),"")</f>
        <v>0.000248698079576282</v>
      </c>
    </row>
    <row r="926" customFormat="false" ht="15" hidden="false" customHeight="false" outlineLevel="0" collapsed="false">
      <c r="A926" s="7" t="s">
        <v>950</v>
      </c>
      <c r="B926" s="8" t="n">
        <v>98.450008</v>
      </c>
      <c r="C926" s="9" t="n">
        <f aca="false">IF(AND(ISNUMBER(B926),ISNUMBER(B925),B925&lt;&gt;0),B926/B925-1,"")</f>
        <v>7.96813040395694E-005</v>
      </c>
      <c r="D926" s="9" t="n">
        <f aca="false">IF(ISNUMBER(C926),ABS(C926-BTC_Fit!$B$9),"")</f>
        <v>8.90445643236815E-005</v>
      </c>
    </row>
    <row r="927" customFormat="false" ht="15" hidden="false" customHeight="false" outlineLevel="0" collapsed="false">
      <c r="A927" s="7" t="s">
        <v>951</v>
      </c>
      <c r="B927" s="8" t="n">
        <v>98.351942</v>
      </c>
      <c r="C927" s="9" t="n">
        <f aca="false">IF(AND(ISNUMBER(B927),ISNUMBER(B926),B926&lt;&gt;0),B927/B926-1,"")</f>
        <v>-0.000996099461972655</v>
      </c>
      <c r="D927" s="9" t="n">
        <f aca="false">IF(ISNUMBER(C927),ABS(C927-BTC_Fit!$B$9),"")</f>
        <v>0.000986736201688543</v>
      </c>
    </row>
    <row r="928" customFormat="false" ht="15" hidden="false" customHeight="false" outlineLevel="0" collapsed="false">
      <c r="A928" s="7" t="s">
        <v>952</v>
      </c>
      <c r="B928" s="8" t="n">
        <v>98.291732</v>
      </c>
      <c r="C928" s="9" t="n">
        <f aca="false">IF(AND(ISNUMBER(B928),ISNUMBER(B927),B927&lt;&gt;0),B928/B927-1,"")</f>
        <v>-0.000612189233640148</v>
      </c>
      <c r="D928" s="9" t="n">
        <f aca="false">IF(ISNUMBER(C928),ABS(C928-BTC_Fit!$B$9),"")</f>
        <v>0.000602825973356036</v>
      </c>
    </row>
    <row r="929" customFormat="false" ht="15" hidden="false" customHeight="false" outlineLevel="0" collapsed="false">
      <c r="A929" s="7" t="s">
        <v>953</v>
      </c>
      <c r="B929" s="8" t="n">
        <v>98.191107</v>
      </c>
      <c r="C929" s="9" t="n">
        <f aca="false">IF(AND(ISNUMBER(B929),ISNUMBER(B928),B928&lt;&gt;0),B929/B928-1,"")</f>
        <v>-0.00102373819193657</v>
      </c>
      <c r="D929" s="9" t="n">
        <f aca="false">IF(ISNUMBER(C929),ABS(C929-BTC_Fit!$B$9),"")</f>
        <v>0.00101437493165246</v>
      </c>
    </row>
    <row r="930" customFormat="false" ht="15" hidden="false" customHeight="false" outlineLevel="0" collapsed="false">
      <c r="A930" s="7" t="s">
        <v>954</v>
      </c>
      <c r="B930" s="8" t="n">
        <v>98.298651</v>
      </c>
      <c r="C930" s="9" t="n">
        <f aca="false">IF(AND(ISNUMBER(B930),ISNUMBER(B929),B929&lt;&gt;0),B930/B929-1,"")</f>
        <v>0.00109525193559534</v>
      </c>
      <c r="D930" s="9" t="n">
        <f aca="false">IF(ISNUMBER(C930),ABS(C930-BTC_Fit!$B$9),"")</f>
        <v>0.00110461519587945</v>
      </c>
    </row>
    <row r="931" customFormat="false" ht="15" hidden="false" customHeight="false" outlineLevel="0" collapsed="false">
      <c r="A931" s="7" t="s">
        <v>955</v>
      </c>
      <c r="B931" s="8" t="n">
        <v>98.314971</v>
      </c>
      <c r="C931" s="9" t="n">
        <f aca="false">IF(AND(ISNUMBER(B931),ISNUMBER(B930),B930&lt;&gt;0),B931/B930-1,"")</f>
        <v>0.000166024658873498</v>
      </c>
      <c r="D931" s="9" t="n">
        <f aca="false">IF(ISNUMBER(C931),ABS(C931-BTC_Fit!$B$9),"")</f>
        <v>0.00017538791915761</v>
      </c>
    </row>
    <row r="932" customFormat="false" ht="15" hidden="false" customHeight="false" outlineLevel="0" collapsed="false">
      <c r="A932" s="7" t="s">
        <v>956</v>
      </c>
      <c r="B932" s="8" t="n">
        <v>98.371191</v>
      </c>
      <c r="C932" s="9" t="n">
        <f aca="false">IF(AND(ISNUMBER(B932),ISNUMBER(B931),B931&lt;&gt;0),B932/B931-1,"")</f>
        <v>0.000571835595618353</v>
      </c>
      <c r="D932" s="9" t="n">
        <f aca="false">IF(ISNUMBER(C932),ABS(C932-BTC_Fit!$B$9),"")</f>
        <v>0.000581198855902465</v>
      </c>
    </row>
    <row r="933" customFormat="false" ht="15" hidden="false" customHeight="false" outlineLevel="0" collapsed="false">
      <c r="A933" s="7" t="s">
        <v>957</v>
      </c>
      <c r="B933" s="8" t="n">
        <v>98.324787</v>
      </c>
      <c r="C933" s="9" t="n">
        <f aca="false">IF(AND(ISNUMBER(B933),ISNUMBER(B932),B932&lt;&gt;0),B933/B932-1,"")</f>
        <v>-0.00047172347440616</v>
      </c>
      <c r="D933" s="9" t="n">
        <f aca="false">IF(ISNUMBER(C933),ABS(C933-BTC_Fit!$B$9),"")</f>
        <v>0.000462360214122048</v>
      </c>
    </row>
    <row r="934" customFormat="false" ht="15" hidden="false" customHeight="false" outlineLevel="0" collapsed="false">
      <c r="A934" s="7" t="s">
        <v>958</v>
      </c>
      <c r="B934" s="8" t="n">
        <v>98.29844</v>
      </c>
      <c r="C934" s="9" t="n">
        <f aca="false">IF(AND(ISNUMBER(B934),ISNUMBER(B933),B933&lt;&gt;0),B934/B933-1,"")</f>
        <v>-0.000267958882026353</v>
      </c>
      <c r="D934" s="9" t="n">
        <f aca="false">IF(ISNUMBER(C934),ABS(C934-BTC_Fit!$B$9),"")</f>
        <v>0.000258595621742241</v>
      </c>
    </row>
    <row r="935" customFormat="false" ht="15" hidden="false" customHeight="false" outlineLevel="0" collapsed="false">
      <c r="A935" s="7" t="s">
        <v>959</v>
      </c>
      <c r="B935" s="8" t="n">
        <v>98.279766</v>
      </c>
      <c r="C935" s="9" t="n">
        <f aca="false">IF(AND(ISNUMBER(B935),ISNUMBER(B934),B934&lt;&gt;0),B935/B934-1,"")</f>
        <v>-0.000189972496003055</v>
      </c>
      <c r="D935" s="9" t="n">
        <f aca="false">IF(ISNUMBER(C935),ABS(C935-BTC_Fit!$B$9),"")</f>
        <v>0.000180609235718943</v>
      </c>
    </row>
    <row r="936" customFormat="false" ht="15" hidden="false" customHeight="false" outlineLevel="0" collapsed="false">
      <c r="A936" s="7" t="s">
        <v>960</v>
      </c>
      <c r="B936" s="8" t="n">
        <v>98.344693</v>
      </c>
      <c r="C936" s="9" t="n">
        <f aca="false">IF(AND(ISNUMBER(B936),ISNUMBER(B935),B935&lt;&gt;0),B936/B935-1,"")</f>
        <v>0.000660634458572229</v>
      </c>
      <c r="D936" s="9" t="n">
        <f aca="false">IF(ISNUMBER(C936),ABS(C936-BTC_Fit!$B$9),"")</f>
        <v>0.000669997718856341</v>
      </c>
    </row>
    <row r="937" customFormat="false" ht="15" hidden="false" customHeight="false" outlineLevel="0" collapsed="false">
      <c r="A937" s="7" t="s">
        <v>961</v>
      </c>
      <c r="B937" s="8" t="n">
        <v>98.414334</v>
      </c>
      <c r="C937" s="9" t="n">
        <f aca="false">IF(AND(ISNUMBER(B937),ISNUMBER(B936),B936&lt;&gt;0),B937/B936-1,"")</f>
        <v>0.000708131754501462</v>
      </c>
      <c r="D937" s="9" t="n">
        <f aca="false">IF(ISNUMBER(C937),ABS(C937-BTC_Fit!$B$9),"")</f>
        <v>0.000717495014785574</v>
      </c>
    </row>
    <row r="938" customFormat="false" ht="15" hidden="false" customHeight="false" outlineLevel="0" collapsed="false">
      <c r="A938" s="7" t="s">
        <v>962</v>
      </c>
      <c r="B938" s="8" t="n">
        <v>98.336142</v>
      </c>
      <c r="C938" s="9" t="n">
        <f aca="false">IF(AND(ISNUMBER(B938),ISNUMBER(B937),B937&lt;&gt;0),B938/B937-1,"")</f>
        <v>-0.000794518408263611</v>
      </c>
      <c r="D938" s="9" t="n">
        <f aca="false">IF(ISNUMBER(C938),ABS(C938-BTC_Fit!$B$9),"")</f>
        <v>0.000785155147979499</v>
      </c>
    </row>
    <row r="939" customFormat="false" ht="15" hidden="false" customHeight="false" outlineLevel="0" collapsed="false">
      <c r="A939" s="7" t="s">
        <v>963</v>
      </c>
      <c r="B939" s="8" t="n">
        <v>98.52609</v>
      </c>
      <c r="C939" s="9" t="n">
        <f aca="false">IF(AND(ISNUMBER(B939),ISNUMBER(B938),B938&lt;&gt;0),B939/B938-1,"")</f>
        <v>0.00193161940398268</v>
      </c>
      <c r="D939" s="9" t="n">
        <f aca="false">IF(ISNUMBER(C939),ABS(C939-BTC_Fit!$B$9),"")</f>
        <v>0.00194098266426679</v>
      </c>
    </row>
    <row r="940" customFormat="false" ht="15" hidden="false" customHeight="false" outlineLevel="0" collapsed="false">
      <c r="A940" s="7" t="s">
        <v>964</v>
      </c>
      <c r="B940" s="8" t="n">
        <v>98.400026</v>
      </c>
      <c r="C940" s="9" t="n">
        <f aca="false">IF(AND(ISNUMBER(B940),ISNUMBER(B939),B939&lt;&gt;0),B940/B939-1,"")</f>
        <v>-0.00127949865868016</v>
      </c>
      <c r="D940" s="9" t="n">
        <f aca="false">IF(ISNUMBER(C940),ABS(C940-BTC_Fit!$B$9),"")</f>
        <v>0.00127013539839604</v>
      </c>
    </row>
    <row r="941" customFormat="false" ht="15" hidden="false" customHeight="false" outlineLevel="0" collapsed="false">
      <c r="A941" s="7" t="s">
        <v>965</v>
      </c>
      <c r="B941" s="8" t="n">
        <v>98.539189</v>
      </c>
      <c r="C941" s="9" t="n">
        <f aca="false">IF(AND(ISNUMBER(B941),ISNUMBER(B940),B940&lt;&gt;0),B941/B940-1,"")</f>
        <v>0.00141425775639537</v>
      </c>
      <c r="D941" s="9" t="n">
        <f aca="false">IF(ISNUMBER(C941),ABS(C941-BTC_Fit!$B$9),"")</f>
        <v>0.00142362101667948</v>
      </c>
    </row>
    <row r="942" customFormat="false" ht="15" hidden="false" customHeight="false" outlineLevel="0" collapsed="false">
      <c r="A942" s="7" t="s">
        <v>966</v>
      </c>
      <c r="B942" s="8" t="n">
        <v>98.396805</v>
      </c>
      <c r="C942" s="9" t="n">
        <f aca="false">IF(AND(ISNUMBER(B942),ISNUMBER(B941),B941&lt;&gt;0),B942/B941-1,"")</f>
        <v>-0.0014449479587253</v>
      </c>
      <c r="D942" s="9" t="n">
        <f aca="false">IF(ISNUMBER(C942),ABS(C942-BTC_Fit!$B$9),"")</f>
        <v>0.00143558469844118</v>
      </c>
    </row>
    <row r="943" customFormat="false" ht="15" hidden="false" customHeight="false" outlineLevel="0" collapsed="false">
      <c r="A943" s="7" t="s">
        <v>967</v>
      </c>
      <c r="B943" s="8" t="n">
        <v>98.340428</v>
      </c>
      <c r="C943" s="9" t="n">
        <f aca="false">IF(AND(ISNUMBER(B943),ISNUMBER(B942),B942&lt;&gt;0),B943/B942-1,"")</f>
        <v>-0.000572955595458558</v>
      </c>
      <c r="D943" s="9" t="n">
        <f aca="false">IF(ISNUMBER(C943),ABS(C943-BTC_Fit!$B$9),"")</f>
        <v>0.000563592335174445</v>
      </c>
    </row>
    <row r="944" customFormat="false" ht="15" hidden="false" customHeight="false" outlineLevel="0" collapsed="false">
      <c r="A944" s="7" t="s">
        <v>968</v>
      </c>
      <c r="B944" s="8" t="n">
        <v>98.444934</v>
      </c>
      <c r="C944" s="9" t="n">
        <f aca="false">IF(AND(ISNUMBER(B944),ISNUMBER(B943),B943&lt;&gt;0),B944/B943-1,"")</f>
        <v>0.00106269620872501</v>
      </c>
      <c r="D944" s="9" t="n">
        <f aca="false">IF(ISNUMBER(C944),ABS(C944-BTC_Fit!$B$9),"")</f>
        <v>0.00107205946900912</v>
      </c>
    </row>
    <row r="945" customFormat="false" ht="15" hidden="false" customHeight="false" outlineLevel="0" collapsed="false">
      <c r="A945" s="7" t="s">
        <v>969</v>
      </c>
      <c r="B945" s="8" t="n">
        <v>98.354165</v>
      </c>
      <c r="C945" s="9" t="n">
        <f aca="false">IF(AND(ISNUMBER(B945),ISNUMBER(B944),B944&lt;&gt;0),B945/B944-1,"")</f>
        <v>-0.000922028146212228</v>
      </c>
      <c r="D945" s="9" t="n">
        <f aca="false">IF(ISNUMBER(C945),ABS(C945-BTC_Fit!$B$9),"")</f>
        <v>0.000912664885928116</v>
      </c>
    </row>
    <row r="946" customFormat="false" ht="15" hidden="false" customHeight="false" outlineLevel="0" collapsed="false">
      <c r="A946" s="7" t="s">
        <v>970</v>
      </c>
      <c r="B946" s="8" t="n">
        <v>98.337365</v>
      </c>
      <c r="C946" s="9" t="n">
        <f aca="false">IF(AND(ISNUMBER(B946),ISNUMBER(B945),B945&lt;&gt;0),B946/B945-1,"")</f>
        <v>-0.000170811271693383</v>
      </c>
      <c r="D946" s="9" t="n">
        <f aca="false">IF(ISNUMBER(C946),ABS(C946-BTC_Fit!$B$9),"")</f>
        <v>0.000161448011409271</v>
      </c>
    </row>
    <row r="947" customFormat="false" ht="15" hidden="false" customHeight="false" outlineLevel="0" collapsed="false">
      <c r="A947" s="7" t="s">
        <v>971</v>
      </c>
      <c r="B947" s="8" t="n">
        <v>98.328013</v>
      </c>
      <c r="C947" s="9" t="n">
        <f aca="false">IF(AND(ISNUMBER(B947),ISNUMBER(B946),B946&lt;&gt;0),B947/B946-1,"")</f>
        <v>-9.51011855971906E-005</v>
      </c>
      <c r="D947" s="9" t="n">
        <f aca="false">IF(ISNUMBER(C947),ABS(C947-BTC_Fit!$B$9),"")</f>
        <v>8.57379253130786E-005</v>
      </c>
    </row>
    <row r="948" customFormat="false" ht="15" hidden="false" customHeight="false" outlineLevel="0" collapsed="false">
      <c r="A948" s="7" t="s">
        <v>972</v>
      </c>
      <c r="B948" s="8" t="n">
        <v>98.264978</v>
      </c>
      <c r="C948" s="9" t="n">
        <f aca="false">IF(AND(ISNUMBER(B948),ISNUMBER(B947),B947&lt;&gt;0),B948/B947-1,"")</f>
        <v>-0.000641068583375093</v>
      </c>
      <c r="D948" s="9" t="n">
        <f aca="false">IF(ISNUMBER(C948),ABS(C948-BTC_Fit!$B$9),"")</f>
        <v>0.000631705323090981</v>
      </c>
    </row>
    <row r="949" customFormat="false" ht="15" hidden="false" customHeight="false" outlineLevel="0" collapsed="false">
      <c r="A949" s="7" t="s">
        <v>973</v>
      </c>
      <c r="B949" s="8" t="n">
        <v>98.313228</v>
      </c>
      <c r="C949" s="9" t="n">
        <f aca="false">IF(AND(ISNUMBER(B949),ISNUMBER(B948),B948&lt;&gt;0),B949/B948-1,"")</f>
        <v>0.000491019292753414</v>
      </c>
      <c r="D949" s="9" t="n">
        <f aca="false">IF(ISNUMBER(C949),ABS(C949-BTC_Fit!$B$9),"")</f>
        <v>0.000500382553037526</v>
      </c>
    </row>
    <row r="950" customFormat="false" ht="15" hidden="false" customHeight="false" outlineLevel="0" collapsed="false">
      <c r="A950" s="7" t="s">
        <v>974</v>
      </c>
      <c r="B950" s="8" t="n">
        <v>98.420548</v>
      </c>
      <c r="C950" s="9" t="n">
        <f aca="false">IF(AND(ISNUMBER(B950),ISNUMBER(B949),B949&lt;&gt;0),B950/B949-1,"")</f>
        <v>0.00109161302281735</v>
      </c>
      <c r="D950" s="9" t="n">
        <f aca="false">IF(ISNUMBER(C950),ABS(C950-BTC_Fit!$B$9),"")</f>
        <v>0.00110097628310146</v>
      </c>
    </row>
    <row r="951" customFormat="false" ht="15" hidden="false" customHeight="false" outlineLevel="0" collapsed="false">
      <c r="A951" s="7" t="s">
        <v>975</v>
      </c>
      <c r="B951" s="8" t="n">
        <v>98.543044</v>
      </c>
      <c r="C951" s="9" t="n">
        <f aca="false">IF(AND(ISNUMBER(B951),ISNUMBER(B950),B950&lt;&gt;0),B951/B950-1,"")</f>
        <v>0.00124461814620247</v>
      </c>
      <c r="D951" s="9" t="n">
        <f aca="false">IF(ISNUMBER(C951),ABS(C951-BTC_Fit!$B$9),"")</f>
        <v>0.00125398140648658</v>
      </c>
    </row>
    <row r="952" customFormat="false" ht="15" hidden="false" customHeight="false" outlineLevel="0" collapsed="false">
      <c r="A952" s="7" t="s">
        <v>976</v>
      </c>
      <c r="B952" s="8" t="n">
        <v>98.508663</v>
      </c>
      <c r="C952" s="9" t="n">
        <f aca="false">IF(AND(ISNUMBER(B952),ISNUMBER(B951),B951&lt;&gt;0),B952/B951-1,"")</f>
        <v>-0.000348893220712743</v>
      </c>
      <c r="D952" s="9" t="n">
        <f aca="false">IF(ISNUMBER(C952),ABS(C952-BTC_Fit!$B$9),"")</f>
        <v>0.000339529960428631</v>
      </c>
    </row>
    <row r="953" customFormat="false" ht="15" hidden="false" customHeight="false" outlineLevel="0" collapsed="false">
      <c r="A953" s="7" t="s">
        <v>977</v>
      </c>
      <c r="B953" s="8" t="n">
        <v>98.514309</v>
      </c>
      <c r="C953" s="9" t="n">
        <f aca="false">IF(AND(ISNUMBER(B953),ISNUMBER(B952),B952&lt;&gt;0),B953/B952-1,"")</f>
        <v>5.73147561651055E-005</v>
      </c>
      <c r="D953" s="9" t="n">
        <f aca="false">IF(ISNUMBER(C953),ABS(C953-BTC_Fit!$B$9),"")</f>
        <v>6.66780164492176E-005</v>
      </c>
    </row>
    <row r="954" customFormat="false" ht="15" hidden="false" customHeight="false" outlineLevel="0" collapsed="false">
      <c r="A954" s="7" t="s">
        <v>978</v>
      </c>
      <c r="B954" s="8" t="n">
        <v>98.452286</v>
      </c>
      <c r="C954" s="9" t="n">
        <f aca="false">IF(AND(ISNUMBER(B954),ISNUMBER(B953),B953&lt;&gt;0),B954/B953-1,"")</f>
        <v>-0.000629583667891343</v>
      </c>
      <c r="D954" s="9" t="n">
        <f aca="false">IF(ISNUMBER(C954),ABS(C954-BTC_Fit!$B$9),"")</f>
        <v>0.00062022040760723</v>
      </c>
    </row>
    <row r="955" customFormat="false" ht="15" hidden="false" customHeight="false" outlineLevel="0" collapsed="false">
      <c r="A955" s="7" t="s">
        <v>979</v>
      </c>
      <c r="B955" s="8" t="n">
        <v>98.389004</v>
      </c>
      <c r="C955" s="9" t="n">
        <f aca="false">IF(AND(ISNUMBER(B955),ISNUMBER(B954),B954&lt;&gt;0),B955/B954-1,"")</f>
        <v>-0.000642768213629963</v>
      </c>
      <c r="D955" s="9" t="n">
        <f aca="false">IF(ISNUMBER(C955),ABS(C955-BTC_Fit!$B$9),"")</f>
        <v>0.000633404953345851</v>
      </c>
    </row>
    <row r="956" customFormat="false" ht="15" hidden="false" customHeight="false" outlineLevel="0" collapsed="false">
      <c r="A956" s="7" t="s">
        <v>980</v>
      </c>
      <c r="B956" s="8" t="n">
        <v>98.288798</v>
      </c>
      <c r="C956" s="9" t="n">
        <f aca="false">IF(AND(ISNUMBER(B956),ISNUMBER(B955),B955&lt;&gt;0),B956/B955-1,"")</f>
        <v>-0.00101846747020629</v>
      </c>
      <c r="D956" s="9" t="n">
        <f aca="false">IF(ISNUMBER(C956),ABS(C956-BTC_Fit!$B$9),"")</f>
        <v>0.00100910420992217</v>
      </c>
    </row>
    <row r="957" customFormat="false" ht="15" hidden="false" customHeight="false" outlineLevel="0" collapsed="false">
      <c r="A957" s="7" t="s">
        <v>981</v>
      </c>
      <c r="B957" s="8" t="n">
        <v>98.476385</v>
      </c>
      <c r="C957" s="9" t="n">
        <f aca="false">IF(AND(ISNUMBER(B957),ISNUMBER(B956),B956&lt;&gt;0),B957/B956-1,"")</f>
        <v>0.00190852878270009</v>
      </c>
      <c r="D957" s="9" t="n">
        <f aca="false">IF(ISNUMBER(C957),ABS(C957-BTC_Fit!$B$9),"")</f>
        <v>0.0019178920429842</v>
      </c>
    </row>
    <row r="958" customFormat="false" ht="15" hidden="false" customHeight="false" outlineLevel="0" collapsed="false">
      <c r="A958" s="7" t="s">
        <v>982</v>
      </c>
      <c r="B958" s="8" t="n">
        <v>98.608974</v>
      </c>
      <c r="C958" s="9" t="n">
        <f aca="false">IF(AND(ISNUMBER(B958),ISNUMBER(B957),B957&lt;&gt;0),B958/B957-1,"")</f>
        <v>0.00134640401351049</v>
      </c>
      <c r="D958" s="9" t="n">
        <f aca="false">IF(ISNUMBER(C958),ABS(C958-BTC_Fit!$B$9),"")</f>
        <v>0.00135576727379461</v>
      </c>
    </row>
    <row r="959" customFormat="false" ht="15" hidden="false" customHeight="false" outlineLevel="0" collapsed="false">
      <c r="A959" s="7" t="s">
        <v>983</v>
      </c>
      <c r="B959" s="8" t="n">
        <v>98.680776</v>
      </c>
      <c r="C959" s="9" t="n">
        <f aca="false">IF(AND(ISNUMBER(B959),ISNUMBER(B958),B958&lt;&gt;0),B959/B958-1,"")</f>
        <v>0.000728148738267986</v>
      </c>
      <c r="D959" s="9" t="n">
        <f aca="false">IF(ISNUMBER(C959),ABS(C959-BTC_Fit!$B$9),"")</f>
        <v>0.000737511998552098</v>
      </c>
    </row>
    <row r="960" customFormat="false" ht="15" hidden="false" customHeight="false" outlineLevel="0" collapsed="false">
      <c r="A960" s="7" t="s">
        <v>984</v>
      </c>
      <c r="B960" s="8" t="n">
        <v>98.683969</v>
      </c>
      <c r="C960" s="9" t="n">
        <f aca="false">IF(AND(ISNUMBER(B960),ISNUMBER(B959),B959&lt;&gt;0),B960/B959-1,"")</f>
        <v>3.23568594557955E-005</v>
      </c>
      <c r="D960" s="9" t="n">
        <f aca="false">IF(ISNUMBER(C960),ABS(C960-BTC_Fit!$B$9),"")</f>
        <v>4.17201197399075E-005</v>
      </c>
    </row>
    <row r="961" customFormat="false" ht="15" hidden="false" customHeight="false" outlineLevel="0" collapsed="false">
      <c r="A961" s="7" t="s">
        <v>985</v>
      </c>
      <c r="B961" s="8" t="n">
        <v>98.682285</v>
      </c>
      <c r="C961" s="9" t="n">
        <f aca="false">IF(AND(ISNUMBER(B961),ISNUMBER(B960),B960&lt;&gt;0),B961/B960-1,"")</f>
        <v>-1.70645750984244E-005</v>
      </c>
      <c r="D961" s="9" t="n">
        <f aca="false">IF(ISNUMBER(C961),ABS(C961-BTC_Fit!$B$9),"")</f>
        <v>7.70131481431235E-006</v>
      </c>
    </row>
    <row r="962" customFormat="false" ht="15" hidden="false" customHeight="false" outlineLevel="0" collapsed="false">
      <c r="A962" s="7" t="s">
        <v>986</v>
      </c>
      <c r="B962" s="8" t="n">
        <v>98.687733</v>
      </c>
      <c r="C962" s="9" t="n">
        <f aca="false">IF(AND(ISNUMBER(B962),ISNUMBER(B961),B961&lt;&gt;0),B962/B961-1,"")</f>
        <v>5.5207477208219E-005</v>
      </c>
      <c r="D962" s="9" t="n">
        <f aca="false">IF(ISNUMBER(C962),ABS(C962-BTC_Fit!$B$9),"")</f>
        <v>6.4570737492331E-005</v>
      </c>
    </row>
    <row r="963" customFormat="false" ht="15" hidden="false" customHeight="false" outlineLevel="0" collapsed="false">
      <c r="A963" s="7" t="s">
        <v>987</v>
      </c>
      <c r="B963" s="8" t="n">
        <v>98.694478</v>
      </c>
      <c r="C963" s="9" t="n">
        <f aca="false">IF(AND(ISNUMBER(B963),ISNUMBER(B962),B962&lt;&gt;0),B963/B962-1,"")</f>
        <v>6.83468937321408E-005</v>
      </c>
      <c r="D963" s="9" t="n">
        <f aca="false">IF(ISNUMBER(C963),ABS(C963-BTC_Fit!$B$9),"")</f>
        <v>7.77101540162528E-005</v>
      </c>
    </row>
    <row r="964" customFormat="false" ht="15" hidden="false" customHeight="false" outlineLevel="0" collapsed="false">
      <c r="A964" s="7" t="s">
        <v>988</v>
      </c>
      <c r="B964" s="8" t="n">
        <v>98.682019</v>
      </c>
      <c r="C964" s="9" t="n">
        <f aca="false">IF(AND(ISNUMBER(B964),ISNUMBER(B963),B963&lt;&gt;0),B964/B963-1,"")</f>
        <v>-0.00012623806572043</v>
      </c>
      <c r="D964" s="9" t="n">
        <f aca="false">IF(ISNUMBER(C964),ABS(C964-BTC_Fit!$B$9),"")</f>
        <v>0.000116874805436318</v>
      </c>
    </row>
    <row r="965" customFormat="false" ht="15" hidden="false" customHeight="false" outlineLevel="0" collapsed="false">
      <c r="A965" s="7" t="s">
        <v>989</v>
      </c>
      <c r="B965" s="8" t="n">
        <v>98.563571</v>
      </c>
      <c r="C965" s="9" t="n">
        <f aca="false">IF(AND(ISNUMBER(B965),ISNUMBER(B964),B964&lt;&gt;0),B965/B964-1,"")</f>
        <v>-0.00120029972228275</v>
      </c>
      <c r="D965" s="9" t="n">
        <f aca="false">IF(ISNUMBER(C965),ABS(C965-BTC_Fit!$B$9),"")</f>
        <v>0.00119093646199864</v>
      </c>
    </row>
    <row r="966" customFormat="false" ht="15" hidden="false" customHeight="false" outlineLevel="0" collapsed="false">
      <c r="A966" s="7" t="s">
        <v>990</v>
      </c>
      <c r="B966" s="8" t="n">
        <v>98.441067</v>
      </c>
      <c r="C966" s="9" t="n">
        <f aca="false">IF(AND(ISNUMBER(B966),ISNUMBER(B965),B965&lt;&gt;0),B966/B965-1,"")</f>
        <v>-0.00124289327950577</v>
      </c>
      <c r="D966" s="9" t="n">
        <f aca="false">IF(ISNUMBER(C966),ABS(C966-BTC_Fit!$B$9),"")</f>
        <v>0.00123353001922166</v>
      </c>
    </row>
    <row r="967" customFormat="false" ht="15" hidden="false" customHeight="false" outlineLevel="0" collapsed="false">
      <c r="A967" s="7" t="s">
        <v>991</v>
      </c>
      <c r="B967" s="8" t="n">
        <v>98.649148</v>
      </c>
      <c r="C967" s="9" t="n">
        <f aca="false">IF(AND(ISNUMBER(B967),ISNUMBER(B966),B966&lt;&gt;0),B967/B966-1,"")</f>
        <v>0.00211376213547121</v>
      </c>
      <c r="D967" s="9" t="n">
        <f aca="false">IF(ISNUMBER(C967),ABS(C967-BTC_Fit!$B$9),"")</f>
        <v>0.00212312539575532</v>
      </c>
    </row>
    <row r="968" customFormat="false" ht="15" hidden="false" customHeight="false" outlineLevel="0" collapsed="false">
      <c r="A968" s="7" t="s">
        <v>992</v>
      </c>
      <c r="B968" s="8" t="n">
        <v>98.645898</v>
      </c>
      <c r="C968" s="9" t="n">
        <f aca="false">IF(AND(ISNUMBER(B968),ISNUMBER(B967),B967&lt;&gt;0),B968/B967-1,"")</f>
        <v>-3.2945038714316E-005</v>
      </c>
      <c r="D968" s="9" t="n">
        <f aca="false">IF(ISNUMBER(C968),ABS(C968-BTC_Fit!$B$9),"")</f>
        <v>2.35817784302039E-005</v>
      </c>
    </row>
    <row r="969" customFormat="false" ht="15" hidden="false" customHeight="false" outlineLevel="0" collapsed="false">
      <c r="A969" s="7" t="s">
        <v>993</v>
      </c>
      <c r="B969" s="8" t="n">
        <v>98.856207</v>
      </c>
      <c r="C969" s="9" t="n">
        <f aca="false">IF(AND(ISNUMBER(B969),ISNUMBER(B968),B968&lt;&gt;0),B969/B968-1,"")</f>
        <v>0.00213195889807793</v>
      </c>
      <c r="D969" s="9" t="n">
        <f aca="false">IF(ISNUMBER(C969),ABS(C969-BTC_Fit!$B$9),"")</f>
        <v>0.00214132215836205</v>
      </c>
    </row>
    <row r="970" customFormat="false" ht="15" hidden="false" customHeight="false" outlineLevel="0" collapsed="false">
      <c r="A970" s="7" t="s">
        <v>994</v>
      </c>
      <c r="B970" s="8" t="n">
        <v>98.756798</v>
      </c>
      <c r="C970" s="9" t="n">
        <f aca="false">IF(AND(ISNUMBER(B970),ISNUMBER(B969),B969&lt;&gt;0),B970/B969-1,"")</f>
        <v>-0.00100559188964222</v>
      </c>
      <c r="D970" s="9" t="n">
        <f aca="false">IF(ISNUMBER(C970),ABS(C970-BTC_Fit!$B$9),"")</f>
        <v>0.000996228629358109</v>
      </c>
    </row>
    <row r="971" customFormat="false" ht="15" hidden="false" customHeight="false" outlineLevel="0" collapsed="false">
      <c r="A971" s="7" t="s">
        <v>995</v>
      </c>
      <c r="B971" s="8" t="n">
        <v>98.767039</v>
      </c>
      <c r="C971" s="9" t="n">
        <f aca="false">IF(AND(ISNUMBER(B971),ISNUMBER(B970),B970&lt;&gt;0),B971/B970-1,"")</f>
        <v>0.00010369919040909</v>
      </c>
      <c r="D971" s="9" t="n">
        <f aca="false">IF(ISNUMBER(C971),ABS(C971-BTC_Fit!$B$9),"")</f>
        <v>0.000113062450693202</v>
      </c>
    </row>
    <row r="972" customFormat="false" ht="15" hidden="false" customHeight="false" outlineLevel="0" collapsed="false">
      <c r="A972" s="7" t="s">
        <v>996</v>
      </c>
      <c r="B972" s="8" t="n">
        <v>98.688955</v>
      </c>
      <c r="C972" s="9" t="n">
        <f aca="false">IF(AND(ISNUMBER(B972),ISNUMBER(B971),B971&lt;&gt;0),B972/B971-1,"")</f>
        <v>-0.000790587637237827</v>
      </c>
      <c r="D972" s="9" t="n">
        <f aca="false">IF(ISNUMBER(C972),ABS(C972-BTC_Fit!$B$9),"")</f>
        <v>0.000781224376953715</v>
      </c>
    </row>
    <row r="973" customFormat="false" ht="15" hidden="false" customHeight="false" outlineLevel="0" collapsed="false">
      <c r="A973" s="7" t="s">
        <v>997</v>
      </c>
      <c r="B973" s="8" t="n">
        <v>98.628514</v>
      </c>
      <c r="C973" s="9" t="n">
        <f aca="false">IF(AND(ISNUMBER(B973),ISNUMBER(B972),B972&lt;&gt;0),B973/B972-1,"")</f>
        <v>-0.00061243935554911</v>
      </c>
      <c r="D973" s="9" t="n">
        <f aca="false">IF(ISNUMBER(C973),ABS(C973-BTC_Fit!$B$9),"")</f>
        <v>0.000603076095264998</v>
      </c>
    </row>
    <row r="974" customFormat="false" ht="15" hidden="false" customHeight="false" outlineLevel="0" collapsed="false">
      <c r="A974" s="7" t="s">
        <v>998</v>
      </c>
      <c r="B974" s="8" t="n">
        <v>98.378941</v>
      </c>
      <c r="C974" s="9" t="n">
        <f aca="false">IF(AND(ISNUMBER(B974),ISNUMBER(B973),B973&lt;&gt;0),B974/B973-1,"")</f>
        <v>-0.00253043455567015</v>
      </c>
      <c r="D974" s="9" t="n">
        <f aca="false">IF(ISNUMBER(C974),ABS(C974-BTC_Fit!$B$9),"")</f>
        <v>0.00252107129538604</v>
      </c>
    </row>
    <row r="975" customFormat="false" ht="15" hidden="false" customHeight="false" outlineLevel="0" collapsed="false">
      <c r="A975" s="7" t="s">
        <v>999</v>
      </c>
      <c r="B975" s="8" t="n">
        <v>98.251807</v>
      </c>
      <c r="C975" s="9" t="n">
        <f aca="false">IF(AND(ISNUMBER(B975),ISNUMBER(B974),B974&lt;&gt;0),B975/B974-1,"")</f>
        <v>-0.00129228876330345</v>
      </c>
      <c r="D975" s="9" t="n">
        <f aca="false">IF(ISNUMBER(C975),ABS(C975-BTC_Fit!$B$9),"")</f>
        <v>0.00128292550301934</v>
      </c>
    </row>
    <row r="976" customFormat="false" ht="15" hidden="false" customHeight="false" outlineLevel="0" collapsed="false">
      <c r="A976" s="7" t="s">
        <v>1000</v>
      </c>
      <c r="B976" s="8" t="n">
        <v>98.410439</v>
      </c>
      <c r="C976" s="9" t="n">
        <f aca="false">IF(AND(ISNUMBER(B976),ISNUMBER(B975),B975&lt;&gt;0),B976/B975-1,"")</f>
        <v>0.00161454536912475</v>
      </c>
      <c r="D976" s="9" t="n">
        <f aca="false">IF(ISNUMBER(C976),ABS(C976-BTC_Fit!$B$9),"")</f>
        <v>0.00162390862940887</v>
      </c>
    </row>
    <row r="977" customFormat="false" ht="15" hidden="false" customHeight="false" outlineLevel="0" collapsed="false">
      <c r="A977" s="7" t="s">
        <v>1001</v>
      </c>
      <c r="B977" s="8" t="n">
        <v>98.371335</v>
      </c>
      <c r="C977" s="9" t="n">
        <f aca="false">IF(AND(ISNUMBER(B977),ISNUMBER(B976),B976&lt;&gt;0),B977/B976-1,"")</f>
        <v>-0.000397356219496103</v>
      </c>
      <c r="D977" s="9" t="n">
        <f aca="false">IF(ISNUMBER(C977),ABS(C977-BTC_Fit!$B$9),"")</f>
        <v>0.000387992959211991</v>
      </c>
    </row>
    <row r="978" customFormat="false" ht="15" hidden="false" customHeight="false" outlineLevel="0" collapsed="false">
      <c r="A978" s="7" t="s">
        <v>1002</v>
      </c>
      <c r="B978" s="8" t="n">
        <v>98.392909</v>
      </c>
      <c r="C978" s="9" t="n">
        <f aca="false">IF(AND(ISNUMBER(B978),ISNUMBER(B977),B977&lt;&gt;0),B978/B977-1,"")</f>
        <v>0.000219311855430338</v>
      </c>
      <c r="D978" s="9" t="n">
        <f aca="false">IF(ISNUMBER(C978),ABS(C978-BTC_Fit!$B$9),"")</f>
        <v>0.00022867511571445</v>
      </c>
    </row>
    <row r="979" customFormat="false" ht="15" hidden="false" customHeight="false" outlineLevel="0" collapsed="false">
      <c r="A979" s="7" t="s">
        <v>1003</v>
      </c>
      <c r="B979" s="8" t="n">
        <v>98.386485</v>
      </c>
      <c r="C979" s="9" t="n">
        <f aca="false">IF(AND(ISNUMBER(B979),ISNUMBER(B978),B978&lt;&gt;0),B979/B978-1,"")</f>
        <v>-6.52892577859277E-005</v>
      </c>
      <c r="D979" s="9" t="n">
        <f aca="false">IF(ISNUMBER(C979),ABS(C979-BTC_Fit!$B$9),"")</f>
        <v>5.59259975018156E-005</v>
      </c>
    </row>
    <row r="980" customFormat="false" ht="15" hidden="false" customHeight="false" outlineLevel="0" collapsed="false">
      <c r="A980" s="7" t="s">
        <v>1004</v>
      </c>
      <c r="B980" s="8" t="n">
        <v>98.366826</v>
      </c>
      <c r="C980" s="9" t="n">
        <f aca="false">IF(AND(ISNUMBER(B980),ISNUMBER(B979),B979&lt;&gt;0),B980/B979-1,"")</f>
        <v>-0.000199814029335332</v>
      </c>
      <c r="D980" s="9" t="n">
        <f aca="false">IF(ISNUMBER(C980),ABS(C980-BTC_Fit!$B$9),"")</f>
        <v>0.00019045076905122</v>
      </c>
    </row>
    <row r="981" customFormat="false" ht="15" hidden="false" customHeight="false" outlineLevel="0" collapsed="false">
      <c r="A981" s="7" t="s">
        <v>1005</v>
      </c>
      <c r="B981" s="8" t="n">
        <v>98.37266</v>
      </c>
      <c r="C981" s="9" t="n">
        <f aca="false">IF(AND(ISNUMBER(B981),ISNUMBER(B980),B980&lt;&gt;0),B981/B980-1,"")</f>
        <v>5.93086128446441E-005</v>
      </c>
      <c r="D981" s="9" t="n">
        <f aca="false">IF(ISNUMBER(C981),ABS(C981-BTC_Fit!$B$9),"")</f>
        <v>6.86718731287561E-005</v>
      </c>
    </row>
    <row r="982" customFormat="false" ht="15" hidden="false" customHeight="false" outlineLevel="0" collapsed="false">
      <c r="A982" s="7" t="s">
        <v>1006</v>
      </c>
      <c r="B982" s="8" t="n">
        <v>98.285699</v>
      </c>
      <c r="C982" s="9" t="n">
        <f aca="false">IF(AND(ISNUMBER(B982),ISNUMBER(B981),B981&lt;&gt;0),B982/B981-1,"")</f>
        <v>-0.000883995614228583</v>
      </c>
      <c r="D982" s="9" t="n">
        <f aca="false">IF(ISNUMBER(C982),ABS(C982-BTC_Fit!$B$9),"")</f>
        <v>0.000874632353944471</v>
      </c>
    </row>
    <row r="983" customFormat="false" ht="15" hidden="false" customHeight="false" outlineLevel="0" collapsed="false">
      <c r="A983" s="7" t="s">
        <v>1007</v>
      </c>
      <c r="B983" s="8" t="n">
        <v>98.620185</v>
      </c>
      <c r="C983" s="9" t="n">
        <f aca="false">IF(AND(ISNUMBER(B983),ISNUMBER(B982),B982&lt;&gt;0),B983/B982-1,"")</f>
        <v>0.00340320111067238</v>
      </c>
      <c r="D983" s="9" t="n">
        <f aca="false">IF(ISNUMBER(C983),ABS(C983-BTC_Fit!$B$9),"")</f>
        <v>0.00341256437095649</v>
      </c>
    </row>
    <row r="984" customFormat="false" ht="15" hidden="false" customHeight="false" outlineLevel="0" collapsed="false">
      <c r="A984" s="7" t="s">
        <v>1008</v>
      </c>
      <c r="B984" s="8" t="n">
        <v>98.710034</v>
      </c>
      <c r="C984" s="9" t="n">
        <f aca="false">IF(AND(ISNUMBER(B984),ISNUMBER(B983),B983&lt;&gt;0),B984/B983-1,"")</f>
        <v>0.000911060955726128</v>
      </c>
      <c r="D984" s="9" t="n">
        <f aca="false">IF(ISNUMBER(C984),ABS(C984-BTC_Fit!$B$9),"")</f>
        <v>0.000920424216010241</v>
      </c>
    </row>
    <row r="985" customFormat="false" ht="15" hidden="false" customHeight="false" outlineLevel="0" collapsed="false">
      <c r="A985" s="7" t="s">
        <v>1009</v>
      </c>
      <c r="B985" s="8" t="n">
        <v>98.768682</v>
      </c>
      <c r="C985" s="9" t="n">
        <f aca="false">IF(AND(ISNUMBER(B985),ISNUMBER(B984),B984&lt;&gt;0),B985/B984-1,"")</f>
        <v>0.000594144258931229</v>
      </c>
      <c r="D985" s="9" t="n">
        <f aca="false">IF(ISNUMBER(C985),ABS(C985-BTC_Fit!$B$9),"")</f>
        <v>0.000603507519215341</v>
      </c>
    </row>
    <row r="986" customFormat="false" ht="15" hidden="false" customHeight="false" outlineLevel="0" collapsed="false">
      <c r="A986" s="7" t="s">
        <v>1010</v>
      </c>
      <c r="B986" s="8" t="n">
        <v>98.762947</v>
      </c>
      <c r="C986" s="9" t="n">
        <f aca="false">IF(AND(ISNUMBER(B986),ISNUMBER(B985),B985&lt;&gt;0),B986/B985-1,"")</f>
        <v>-5.80649643578957E-005</v>
      </c>
      <c r="D986" s="9" t="n">
        <f aca="false">IF(ISNUMBER(C986),ABS(C986-BTC_Fit!$B$9),"")</f>
        <v>4.87017040737836E-005</v>
      </c>
    </row>
    <row r="987" customFormat="false" ht="15" hidden="false" customHeight="false" outlineLevel="0" collapsed="false">
      <c r="A987" s="7" t="s">
        <v>1011</v>
      </c>
      <c r="B987" s="8" t="n">
        <v>98.657618</v>
      </c>
      <c r="C987" s="9" t="n">
        <f aca="false">IF(AND(ISNUMBER(B987),ISNUMBER(B986),B986&lt;&gt;0),B987/B986-1,"")</f>
        <v>-0.00106648295944423</v>
      </c>
      <c r="D987" s="9" t="n">
        <f aca="false">IF(ISNUMBER(C987),ABS(C987-BTC_Fit!$B$9),"")</f>
        <v>0.00105711969916011</v>
      </c>
    </row>
    <row r="988" customFormat="false" ht="15" hidden="false" customHeight="false" outlineLevel="0" collapsed="false">
      <c r="A988" s="7" t="s">
        <v>1012</v>
      </c>
      <c r="B988" s="8" t="n">
        <v>98.821079</v>
      </c>
      <c r="C988" s="9" t="n">
        <f aca="false">IF(AND(ISNUMBER(B988),ISNUMBER(B987),B987&lt;&gt;0),B988/B987-1,"")</f>
        <v>0.00165685127325887</v>
      </c>
      <c r="D988" s="9" t="n">
        <f aca="false">IF(ISNUMBER(C988),ABS(C988-BTC_Fit!$B$9),"")</f>
        <v>0.00166621453354299</v>
      </c>
    </row>
    <row r="989" customFormat="false" ht="15" hidden="false" customHeight="false" outlineLevel="0" collapsed="false">
      <c r="A989" s="7" t="s">
        <v>1013</v>
      </c>
      <c r="B989" s="8" t="n">
        <v>98.78714</v>
      </c>
      <c r="C989" s="9" t="n">
        <f aca="false">IF(AND(ISNUMBER(B989),ISNUMBER(B988),B988&lt;&gt;0),B989/B988-1,"")</f>
        <v>-0.000343438872995927</v>
      </c>
      <c r="D989" s="9" t="n">
        <f aca="false">IF(ISNUMBER(C989),ABS(C989-BTC_Fit!$B$9),"")</f>
        <v>0.000334075612711815</v>
      </c>
    </row>
    <row r="990" customFormat="false" ht="15" hidden="false" customHeight="false" outlineLevel="0" collapsed="false">
      <c r="A990" s="7" t="s">
        <v>1014</v>
      </c>
      <c r="B990" s="8" t="n">
        <v>98.582611</v>
      </c>
      <c r="C990" s="9" t="n">
        <f aca="false">IF(AND(ISNUMBER(B990),ISNUMBER(B989),B989&lt;&gt;0),B990/B989-1,"")</f>
        <v>-0.00207040106637357</v>
      </c>
      <c r="D990" s="9" t="n">
        <f aca="false">IF(ISNUMBER(C990),ABS(C990-BTC_Fit!$B$9),"")</f>
        <v>0.00206103780608946</v>
      </c>
    </row>
    <row r="991" customFormat="false" ht="15" hidden="false" customHeight="false" outlineLevel="0" collapsed="false">
      <c r="A991" s="7" t="s">
        <v>1015</v>
      </c>
      <c r="B991" s="8" t="n">
        <v>98.549018</v>
      </c>
      <c r="C991" s="9" t="n">
        <f aca="false">IF(AND(ISNUMBER(B991),ISNUMBER(B990),B990&lt;&gt;0),B991/B990-1,"")</f>
        <v>-0.000340759893243225</v>
      </c>
      <c r="D991" s="9" t="n">
        <f aca="false">IF(ISNUMBER(C991),ABS(C991-BTC_Fit!$B$9),"")</f>
        <v>0.000331396632959113</v>
      </c>
    </row>
    <row r="992" customFormat="false" ht="15" hidden="false" customHeight="false" outlineLevel="0" collapsed="false">
      <c r="A992" s="7" t="s">
        <v>1016</v>
      </c>
      <c r="B992" s="8" t="n">
        <v>98.627863</v>
      </c>
      <c r="C992" s="9" t="n">
        <f aca="false">IF(AND(ISNUMBER(B992),ISNUMBER(B991),B991&lt;&gt;0),B992/B991-1,"")</f>
        <v>0.000800058707840279</v>
      </c>
      <c r="D992" s="9" t="n">
        <f aca="false">IF(ISNUMBER(C992),ABS(C992-BTC_Fit!$B$9),"")</f>
        <v>0.000809421968124391</v>
      </c>
    </row>
    <row r="993" customFormat="false" ht="15" hidden="false" customHeight="false" outlineLevel="0" collapsed="false">
      <c r="A993" s="7" t="s">
        <v>1017</v>
      </c>
      <c r="B993" s="8" t="n">
        <v>98.652858</v>
      </c>
      <c r="C993" s="9" t="n">
        <f aca="false">IF(AND(ISNUMBER(B993),ISNUMBER(B992),B992&lt;&gt;0),B993/B992-1,"")</f>
        <v>0.000253427370721759</v>
      </c>
      <c r="D993" s="9" t="n">
        <f aca="false">IF(ISNUMBER(C993),ABS(C993-BTC_Fit!$B$9),"")</f>
        <v>0.000262790631005871</v>
      </c>
    </row>
    <row r="994" customFormat="false" ht="15" hidden="false" customHeight="false" outlineLevel="0" collapsed="false">
      <c r="A994" s="7" t="s">
        <v>1018</v>
      </c>
      <c r="B994" s="8" t="n">
        <v>98.7147</v>
      </c>
      <c r="C994" s="9" t="n">
        <f aca="false">IF(AND(ISNUMBER(B994),ISNUMBER(B993),B993&lt;&gt;0),B994/B993-1,"")</f>
        <v>0.000626864758444201</v>
      </c>
      <c r="D994" s="9" t="n">
        <f aca="false">IF(ISNUMBER(C994),ABS(C994-BTC_Fit!$B$9),"")</f>
        <v>0.000636228018728313</v>
      </c>
    </row>
    <row r="995" customFormat="false" ht="15" hidden="false" customHeight="false" outlineLevel="0" collapsed="false">
      <c r="A995" s="7" t="s">
        <v>1019</v>
      </c>
      <c r="B995" s="8" t="n">
        <v>98.793323</v>
      </c>
      <c r="C995" s="9" t="n">
        <f aca="false">IF(AND(ISNUMBER(B995),ISNUMBER(B994),B994&lt;&gt;0),B995/B994-1,"")</f>
        <v>0.000796466990225397</v>
      </c>
      <c r="D995" s="9" t="n">
        <f aca="false">IF(ISNUMBER(C995),ABS(C995-BTC_Fit!$B$9),"")</f>
        <v>0.000805830250509509</v>
      </c>
    </row>
    <row r="996" customFormat="false" ht="15" hidden="false" customHeight="false" outlineLevel="0" collapsed="false">
      <c r="A996" s="7" t="s">
        <v>1020</v>
      </c>
      <c r="B996" s="8" t="n">
        <v>98.717013</v>
      </c>
      <c r="C996" s="9" t="n">
        <f aca="false">IF(AND(ISNUMBER(B996),ISNUMBER(B995),B995&lt;&gt;0),B996/B995-1,"")</f>
        <v>-0.000772420621988901</v>
      </c>
      <c r="D996" s="9" t="n">
        <f aca="false">IF(ISNUMBER(C996),ABS(C996-BTC_Fit!$B$9),"")</f>
        <v>0.000763057361704789</v>
      </c>
    </row>
    <row r="997" customFormat="false" ht="15" hidden="false" customHeight="false" outlineLevel="0" collapsed="false">
      <c r="A997" s="7" t="s">
        <v>1021</v>
      </c>
      <c r="B997" s="8" t="n">
        <v>98.884134</v>
      </c>
      <c r="C997" s="9" t="n">
        <f aca="false">IF(AND(ISNUMBER(B997),ISNUMBER(B996),B996&lt;&gt;0),B997/B996-1,"")</f>
        <v>0.00169293007275262</v>
      </c>
      <c r="D997" s="9" t="n">
        <f aca="false">IF(ISNUMBER(C997),ABS(C997-BTC_Fit!$B$9),"")</f>
        <v>0.00170229333303673</v>
      </c>
    </row>
    <row r="998" customFormat="false" ht="15" hidden="false" customHeight="false" outlineLevel="0" collapsed="false">
      <c r="A998" s="7" t="s">
        <v>1022</v>
      </c>
      <c r="B998" s="8" t="n">
        <v>98.87235</v>
      </c>
      <c r="C998" s="9" t="n">
        <f aca="false">IF(AND(ISNUMBER(B998),ISNUMBER(B997),B997&lt;&gt;0),B998/B997-1,"")</f>
        <v>-0.000119169775001593</v>
      </c>
      <c r="D998" s="9" t="n">
        <f aca="false">IF(ISNUMBER(C998),ABS(C998-BTC_Fit!$B$9),"")</f>
        <v>0.000109806514717481</v>
      </c>
    </row>
    <row r="999" customFormat="false" ht="15" hidden="false" customHeight="false" outlineLevel="0" collapsed="false">
      <c r="A999" s="7" t="s">
        <v>1023</v>
      </c>
      <c r="B999" s="8" t="n">
        <v>98.901338</v>
      </c>
      <c r="C999" s="9" t="n">
        <f aca="false">IF(AND(ISNUMBER(B999),ISNUMBER(B998),B998&lt;&gt;0),B999/B998-1,"")</f>
        <v>0.000293186113205612</v>
      </c>
      <c r="D999" s="9" t="n">
        <f aca="false">IF(ISNUMBER(C999),ABS(C999-BTC_Fit!$B$9),"")</f>
        <v>0.000302549373489724</v>
      </c>
    </row>
    <row r="1000" customFormat="false" ht="15" hidden="false" customHeight="false" outlineLevel="0" collapsed="false">
      <c r="A1000" s="7" t="s">
        <v>1024</v>
      </c>
      <c r="B1000" s="8" t="n">
        <v>98.422646</v>
      </c>
      <c r="C1000" s="9" t="n">
        <f aca="false">IF(AND(ISNUMBER(B1000),ISNUMBER(B999),B999&lt;&gt;0),B1000/B999-1,"")</f>
        <v>-0.00484009629879822</v>
      </c>
      <c r="D1000" s="9" t="n">
        <f aca="false">IF(ISNUMBER(C1000),ABS(C1000-BTC_Fit!$B$9),"")</f>
        <v>0.00483073303851411</v>
      </c>
    </row>
    <row r="1001" customFormat="false" ht="15" hidden="false" customHeight="false" outlineLevel="0" collapsed="false">
      <c r="A1001" s="7" t="s">
        <v>1025</v>
      </c>
      <c r="B1001" s="8" t="n">
        <v>98.805559</v>
      </c>
      <c r="C1001" s="9" t="n">
        <f aca="false">IF(AND(ISNUMBER(B1001),ISNUMBER(B1000),B1000&lt;&gt;0),B1001/B1000-1,"")</f>
        <v>0.00389049690860777</v>
      </c>
      <c r="D1001" s="9" t="n">
        <f aca="false">IF(ISNUMBER(C1001),ABS(C1001-BTC_Fit!$B$9),"")</f>
        <v>0.00389986016889188</v>
      </c>
    </row>
    <row r="1002" customFormat="false" ht="15" hidden="false" customHeight="false" outlineLevel="0" collapsed="false">
      <c r="A1002" s="7" t="s">
        <v>1026</v>
      </c>
      <c r="B1002" s="8" t="n">
        <v>98.754283</v>
      </c>
      <c r="C1002" s="9" t="n">
        <f aca="false">IF(AND(ISNUMBER(B1002),ISNUMBER(B1001),B1001&lt;&gt;0),B1002/B1001-1,"")</f>
        <v>-0.000518958654947777</v>
      </c>
      <c r="D1002" s="9" t="n">
        <f aca="false">IF(ISNUMBER(C1002),ABS(C1002-BTC_Fit!$B$9),"")</f>
        <v>0.000509595394663664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6"/>
    <col collapsed="false" customWidth="true" hidden="false" outlineLevel="0" max="4" min="4" style="0" width="14"/>
    <col collapsed="false" customWidth="true" hidden="false" outlineLevel="0" max="5" min="5" style="0" width="28"/>
    <col collapsed="false" customWidth="true" hidden="false" outlineLevel="0" max="7" min="6" style="0" width="18"/>
    <col collapsed="false" customWidth="true" hidden="false" outlineLevel="0" max="11" min="8" style="0" width="14"/>
  </cols>
  <sheetData>
    <row r="1" customFormat="false" ht="24" hidden="false" customHeight="true" outlineLevel="0" collapsed="false">
      <c r="A1" s="1" t="s">
        <v>1027</v>
      </c>
      <c r="B1" s="2"/>
      <c r="C1" s="2"/>
      <c r="D1" s="2"/>
      <c r="E1" s="2"/>
      <c r="F1" s="2"/>
      <c r="G1" s="2"/>
      <c r="H1" s="2"/>
      <c r="I1" s="2"/>
      <c r="J1" s="2"/>
      <c r="K1" s="2"/>
      <c r="L1" s="2"/>
    </row>
    <row r="3" customFormat="false" ht="15" hidden="false" customHeight="false" outlineLevel="0" collapsed="false">
      <c r="A3" s="0" t="s">
        <v>1028</v>
      </c>
      <c r="B3" s="10" t="n">
        <v>0.05</v>
      </c>
      <c r="C3" s="11" t="s">
        <v>1029</v>
      </c>
    </row>
    <row r="5" customFormat="false" ht="15" hidden="false" customHeight="false" outlineLevel="0" collapsed="false">
      <c r="A5" s="5" t="s">
        <v>1030</v>
      </c>
      <c r="B5" s="5" t="s">
        <v>1031</v>
      </c>
      <c r="E5" s="5" t="s">
        <v>1032</v>
      </c>
      <c r="F5" s="5" t="s">
        <v>1033</v>
      </c>
      <c r="G5" s="5" t="s">
        <v>1034</v>
      </c>
      <c r="H5" s="5" t="s">
        <v>1035</v>
      </c>
      <c r="I5" s="5" t="s">
        <v>1036</v>
      </c>
    </row>
    <row r="6" customFormat="false" ht="15" hidden="false" customHeight="false" outlineLevel="0" collapsed="false">
      <c r="A6" s="11" t="s">
        <v>1037</v>
      </c>
      <c r="B6" s="12" t="n">
        <f aca="false">COUNT(BTC_Data!$C$3:$C$1002)</f>
        <v>1000</v>
      </c>
      <c r="E6" s="13" t="s">
        <v>1038</v>
      </c>
      <c r="F6" s="14" t="n">
        <f aca="false">MAX(H37:H1036)</f>
        <v>0.0631746149487305</v>
      </c>
      <c r="G6" s="14" t="n">
        <f aca="false">SQRT(-LN($B$3/2)/2)/SQRT($B$6)</f>
        <v>0.0429469408346738</v>
      </c>
      <c r="H6" s="13" t="str">
        <f aca="false">IF(F6&gt;G6,"Yes","No")</f>
        <v>Yes</v>
      </c>
      <c r="I6" s="13" t="n">
        <f aca="false">RANK(F6,$F$6:$F$9,1)</f>
        <v>4</v>
      </c>
    </row>
    <row r="7" customFormat="false" ht="15" hidden="false" customHeight="false" outlineLevel="0" collapsed="false">
      <c r="A7" s="11" t="s">
        <v>1039</v>
      </c>
      <c r="B7" s="15" t="n">
        <f aca="false">AVERAGE(BTC_Data!$C$3:$C$1002)</f>
        <v>-1.17255821384866E-005</v>
      </c>
      <c r="E7" s="13" t="s">
        <v>1040</v>
      </c>
      <c r="F7" s="14" t="n">
        <f aca="false">MAX(I37:I1036)</f>
        <v>0.0409422891630875</v>
      </c>
      <c r="G7" s="14" t="n">
        <f aca="false">SQRT(-LN($B$3/2)/2)/SQRT($B$6)</f>
        <v>0.0429469408346738</v>
      </c>
      <c r="H7" s="13" t="str">
        <f aca="false">IF(F7&gt;G7,"Yes","No")</f>
        <v>No</v>
      </c>
      <c r="I7" s="13" t="n">
        <f aca="false">RANK(F7,$F$6:$F$9,1)</f>
        <v>2</v>
      </c>
    </row>
    <row r="8" customFormat="false" ht="15" hidden="false" customHeight="false" outlineLevel="0" collapsed="false">
      <c r="A8" s="11" t="s">
        <v>1041</v>
      </c>
      <c r="B8" s="9" t="n">
        <f aca="false">STDEV(BTC_Data!$C$3:$C$1002)</f>
        <v>0.001273247183273</v>
      </c>
      <c r="E8" s="13" t="s">
        <v>1042</v>
      </c>
      <c r="F8" s="14" t="n">
        <f aca="false">MAX(J37:J1036)</f>
        <v>0.018102330197009</v>
      </c>
      <c r="G8" s="14" t="n">
        <f aca="false">SQRT(-LN($B$3/2)/2)/SQRT($B$6)</f>
        <v>0.0429469408346738</v>
      </c>
      <c r="H8" s="13" t="str">
        <f aca="false">IF(F8&gt;G8,"Yes","No")</f>
        <v>No</v>
      </c>
      <c r="I8" s="13" t="n">
        <f aca="false">RANK(F8,$F$6:$F$9,1)</f>
        <v>1</v>
      </c>
    </row>
    <row r="9" customFormat="false" ht="15" hidden="false" customHeight="false" outlineLevel="0" collapsed="false">
      <c r="A9" s="11" t="s">
        <v>1043</v>
      </c>
      <c r="B9" s="15" t="n">
        <f aca="false">MEDIAN(BTC_Data!$C$3:$C$1002)</f>
        <v>-9.36326028411205E-006</v>
      </c>
      <c r="E9" s="13" t="s">
        <v>1044</v>
      </c>
      <c r="F9" s="14" t="n">
        <f aca="false">MAX(K37:K1036)</f>
        <v>0.0419313566185233</v>
      </c>
      <c r="G9" s="14" t="n">
        <f aca="false">SQRT(-LN($B$3/2)/2)/SQRT($B$6)</f>
        <v>0.0429469408346738</v>
      </c>
      <c r="H9" s="13" t="str">
        <f aca="false">IF(F9&gt;G9,"Yes","No")</f>
        <v>No</v>
      </c>
      <c r="I9" s="13" t="n">
        <f aca="false">RANK(F9,$F$6:$F$9,1)</f>
        <v>3</v>
      </c>
    </row>
    <row r="10" customFormat="false" ht="15" hidden="false" customHeight="false" outlineLevel="0" collapsed="false">
      <c r="A10" s="11" t="s">
        <v>1045</v>
      </c>
      <c r="B10" s="16" t="n">
        <f aca="false">SKEW(BTC_Data!$C$3:$C$1002)</f>
        <v>0.0451473723726155</v>
      </c>
    </row>
    <row r="11" customFormat="false" ht="15" hidden="false" customHeight="false" outlineLevel="0" collapsed="false">
      <c r="A11" s="11" t="s">
        <v>1046</v>
      </c>
      <c r="B11" s="16" t="n">
        <f aca="false">KURT(BTC_Data!$C$3:$C$1002)</f>
        <v>2.32126546505145</v>
      </c>
      <c r="E11" s="6" t="s">
        <v>1047</v>
      </c>
      <c r="F11" s="17" t="str">
        <f aca="false">INDEX(E6:E9,MATCH(MIN(F6:F9),F6:F9,0))</f>
        <v>Laplace</v>
      </c>
    </row>
    <row r="12" customFormat="false" ht="15" hidden="false" customHeight="false" outlineLevel="0" collapsed="false">
      <c r="A12" s="11" t="s">
        <v>1048</v>
      </c>
      <c r="B12" s="6" t="str">
        <f aca="false">IF(B6&gt;=30,"OK","Too few returns")</f>
        <v>OK</v>
      </c>
      <c r="E12" s="11" t="s">
        <v>1049</v>
      </c>
      <c r="F12" s="18" t="n">
        <f aca="false">MIN(F6:F9)</f>
        <v>0.018102330197009</v>
      </c>
    </row>
    <row r="13" customFormat="false" ht="15" hidden="false" customHeight="false" outlineLevel="0" collapsed="false">
      <c r="E13" s="6" t="s">
        <v>1050</v>
      </c>
      <c r="F13" s="11" t="str">
        <f aca="false">"Best fit: "&amp;F11&amp;" (D = "&amp;TEXT(F12,"0.0000")&amp;"). Normal D = "&amp;TEXT(F6,"0.0000")&amp;". "&amp;IF(F6&gt;F12,"Normal fits worse, consistent with fat-tailed crypto returns.","Normal is competitive.")</f>
        <v>Best fit: Laplace (D = 0.0181). Normal D = 0.0632. Normal fits worse, consistent with fat-tailed crypto returns.</v>
      </c>
    </row>
    <row r="14" customFormat="false" ht="15" hidden="false" customHeight="false" outlineLevel="0" collapsed="false">
      <c r="A14" s="5" t="s">
        <v>1051</v>
      </c>
      <c r="B14" s="5" t="s">
        <v>1031</v>
      </c>
      <c r="C14" s="5" t="s">
        <v>1052</v>
      </c>
    </row>
    <row r="15" customFormat="false" ht="15" hidden="false" customHeight="false" outlineLevel="0" collapsed="false">
      <c r="A15" s="11" t="s">
        <v>1053</v>
      </c>
      <c r="B15" s="19" t="n">
        <f aca="false">B7</f>
        <v>-1.17255821384866E-005</v>
      </c>
      <c r="C15" s="11" t="s">
        <v>1054</v>
      </c>
      <c r="E15" s="6" t="s">
        <v>1055</v>
      </c>
    </row>
    <row r="16" customFormat="false" ht="15" hidden="false" customHeight="false" outlineLevel="0" collapsed="false">
      <c r="A16" s="11" t="s">
        <v>1056</v>
      </c>
      <c r="B16" s="19" t="n">
        <f aca="false">B8</f>
        <v>0.001273247183273</v>
      </c>
      <c r="C16" s="11" t="s">
        <v>1057</v>
      </c>
      <c r="E16" s="11" t="s">
        <v>1058</v>
      </c>
      <c r="F16" s="20" t="s">
        <v>1059</v>
      </c>
    </row>
    <row r="17" customFormat="false" ht="15" hidden="false" customHeight="false" outlineLevel="0" collapsed="false">
      <c r="A17" s="11" t="s">
        <v>1060</v>
      </c>
      <c r="B17" s="12" t="n">
        <f aca="false">IF(B11&gt;0,MIN(100,MAX(3,ROUND(4+6/B11,0))),100)</f>
        <v>7</v>
      </c>
      <c r="C17" s="11" t="s">
        <v>1061</v>
      </c>
      <c r="E17" s="11" t="s">
        <v>1062</v>
      </c>
      <c r="F17" s="20"/>
    </row>
    <row r="18" customFormat="false" ht="15" hidden="false" customHeight="false" outlineLevel="0" collapsed="false">
      <c r="A18" s="11" t="s">
        <v>1063</v>
      </c>
      <c r="B18" s="19" t="n">
        <f aca="false">B8*SQRT((B17-2)/B17)</f>
        <v>0.00107609027426428</v>
      </c>
      <c r="C18" s="11" t="s">
        <v>1064</v>
      </c>
      <c r="E18" s="11" t="s">
        <v>1065</v>
      </c>
      <c r="F18" s="20"/>
    </row>
    <row r="19" customFormat="false" ht="15" hidden="false" customHeight="false" outlineLevel="0" collapsed="false">
      <c r="A19" s="11" t="s">
        <v>1066</v>
      </c>
      <c r="B19" s="19" t="n">
        <f aca="false">B9</f>
        <v>-9.36326028411205E-006</v>
      </c>
      <c r="C19" s="11" t="s">
        <v>1067</v>
      </c>
      <c r="E19" s="11" t="s">
        <v>1068</v>
      </c>
    </row>
    <row r="20" customFormat="false" ht="15" hidden="false" customHeight="false" outlineLevel="0" collapsed="false">
      <c r="A20" s="11" t="s">
        <v>1069</v>
      </c>
      <c r="B20" s="19" t="n">
        <f aca="false">AVERAGE(BTC_Data!$D$3:$D$1002)</f>
        <v>0.000911143200617885</v>
      </c>
      <c r="C20" s="11" t="s">
        <v>1070</v>
      </c>
    </row>
    <row r="21" customFormat="false" ht="15" hidden="false" customHeight="false" outlineLevel="0" collapsed="false">
      <c r="A21" s="11" t="s">
        <v>1071</v>
      </c>
      <c r="B21" s="19" t="n">
        <f aca="false">B8*SQRT(3)/PI()</f>
        <v>0.000701977963152812</v>
      </c>
      <c r="C21" s="11" t="s">
        <v>1064</v>
      </c>
    </row>
    <row r="36" customFormat="false" ht="15" hidden="false" customHeight="false" outlineLevel="0" collapsed="false">
      <c r="A36" s="5" t="s">
        <v>1072</v>
      </c>
      <c r="B36" s="5" t="s">
        <v>1073</v>
      </c>
      <c r="C36" s="5" t="s">
        <v>1074</v>
      </c>
      <c r="D36" s="5" t="s">
        <v>1075</v>
      </c>
      <c r="E36" s="5" t="s">
        <v>1076</v>
      </c>
      <c r="F36" s="5" t="s">
        <v>1077</v>
      </c>
      <c r="G36" s="5" t="s">
        <v>1078</v>
      </c>
      <c r="H36" s="5" t="s">
        <v>1079</v>
      </c>
      <c r="I36" s="5" t="s">
        <v>1080</v>
      </c>
      <c r="J36" s="5" t="s">
        <v>1081</v>
      </c>
      <c r="K36" s="5" t="s">
        <v>1082</v>
      </c>
    </row>
    <row r="37" customFormat="false" ht="15" hidden="false" customHeight="false" outlineLevel="0" collapsed="false">
      <c r="A37" s="11" t="n">
        <v>1</v>
      </c>
      <c r="B37" s="9" t="n">
        <f aca="false">IF(A37&gt;$B$6,"",SMALL(BTC_Data!$C$3:$C$1002,A37))</f>
        <v>-0.00540459767562251</v>
      </c>
      <c r="C37" s="21" t="n">
        <f aca="false">IF(B37="","",A37/$B$6)</f>
        <v>0.001</v>
      </c>
      <c r="D37" s="21" t="n">
        <f aca="false">IF(B37="","",NORMDIST(B37,$B$15,$B$16,TRUE()))</f>
        <v>1.14008441513433E-005</v>
      </c>
      <c r="E37" s="21" t="n">
        <f aca="false">IF(B37="","",IF(B37&gt;=$B$15,1-TDIST((B37-$B$15)/$B$18,$B$17,1),TDIST(($B$15-B37)/$B$18,$B$17,1)))</f>
        <v>0.000772536832087345</v>
      </c>
      <c r="F37" s="21" t="n">
        <f aca="false">IF(B37="","",IF(B37&lt;$B$19,0.5*EXP((B37-$B$19)/$B$20),1-0.5*EXP(-(B37-$B$19)/$B$20)))</f>
        <v>0.0013407349079179</v>
      </c>
      <c r="G37" s="21" t="n">
        <f aca="false">IF(B37="","",1/(1+EXP(-(B37-$B$15)/$B$21)))</f>
        <v>0.00046065742457018</v>
      </c>
      <c r="H37" s="21" t="n">
        <f aca="false">IF(B37="","",MAX(ABS($A37/$B$6-D37),ABS(($A37-1)/$B$6-D37)))</f>
        <v>0.000988599155848657</v>
      </c>
      <c r="I37" s="21" t="n">
        <f aca="false">IF(B37="","",MAX(ABS($A37/$B$6-E37),ABS(($A37-1)/$B$6-E37)))</f>
        <v>0.000772536832087345</v>
      </c>
      <c r="J37" s="21" t="n">
        <f aca="false">IF(B37="","",MAX(ABS($A37/$B$6-F37),ABS(($A37-1)/$B$6-F37)))</f>
        <v>0.0013407349079179</v>
      </c>
      <c r="K37" s="21" t="n">
        <f aca="false">IF(B37="","",MAX(ABS($A37/$B$6-G37),ABS(($A37-1)/$B$6-G37)))</f>
        <v>0.00053934257542982</v>
      </c>
    </row>
    <row r="38" customFormat="false" ht="15" hidden="false" customHeight="false" outlineLevel="0" collapsed="false">
      <c r="A38" s="11" t="n">
        <v>2</v>
      </c>
      <c r="B38" s="9" t="n">
        <f aca="false">IF(A38&gt;$B$6,"",SMALL(BTC_Data!$C$3:$C$1002,A38))</f>
        <v>-0.00513662656395619</v>
      </c>
      <c r="C38" s="21" t="n">
        <f aca="false">IF(B38="","",A38/$B$6)</f>
        <v>0.002</v>
      </c>
      <c r="D38" s="21" t="n">
        <f aca="false">IF(B38="","",NORMDIST(B38,$B$15,$B$16,TRUE()))</f>
        <v>2.8479950902002E-005</v>
      </c>
      <c r="E38" s="21" t="n">
        <f aca="false">IF(B38="","",IF(B38&gt;=$B$15,1-TDIST((B38-$B$15)/$B$18,$B$17,1),TDIST(($B$15-B38)/$B$18,$B$17,1)))</f>
        <v>0.00102672591976151</v>
      </c>
      <c r="F38" s="21" t="n">
        <f aca="false">IF(B38="","",IF(B38&lt;$B$19,0.5*EXP((B38-$B$19)/$B$20),1-0.5*EXP(-(B38-$B$19)/$B$20)))</f>
        <v>0.00179916411900953</v>
      </c>
      <c r="G38" s="21" t="n">
        <f aca="false">IF(B38="","",1/(1+EXP(-(B38-$B$15)/$B$21)))</f>
        <v>0.000674639020576599</v>
      </c>
      <c r="H38" s="21" t="n">
        <f aca="false">IF(B38="","",MAX(ABS($A38/$B$6-D38),ABS(($A38-1)/$B$6-D38)))</f>
        <v>0.001971520049098</v>
      </c>
      <c r="I38" s="21" t="n">
        <f aca="false">IF(B38="","",MAX(ABS($A38/$B$6-E38),ABS(($A38-1)/$B$6-E38)))</f>
        <v>0.000973274080238487</v>
      </c>
      <c r="J38" s="21" t="n">
        <f aca="false">IF(B38="","",MAX(ABS($A38/$B$6-F38),ABS(($A38-1)/$B$6-F38)))</f>
        <v>0.000799164119009533</v>
      </c>
      <c r="K38" s="21" t="n">
        <f aca="false">IF(B38="","",MAX(ABS($A38/$B$6-G38),ABS(($A38-1)/$B$6-G38)))</f>
        <v>0.0013253609794234</v>
      </c>
    </row>
    <row r="39" customFormat="false" ht="15" hidden="false" customHeight="false" outlineLevel="0" collapsed="false">
      <c r="A39" s="11" t="n">
        <v>3</v>
      </c>
      <c r="B39" s="9" t="n">
        <f aca="false">IF(A39&gt;$B$6,"",SMALL(BTC_Data!$C$3:$C$1002,A39))</f>
        <v>-0.00484009629879822</v>
      </c>
      <c r="C39" s="21" t="n">
        <f aca="false">IF(B39="","",A39/$B$6)</f>
        <v>0.003</v>
      </c>
      <c r="D39" s="21" t="n">
        <f aca="false">IF(B39="","",NORMDIST(B39,$B$15,$B$16,TRUE()))</f>
        <v>7.46680889025836E-005</v>
      </c>
      <c r="E39" s="21" t="n">
        <f aca="false">IF(B39="","",IF(B39&gt;=$B$15,1-TDIST((B39-$B$15)/$B$18,$B$17,1),TDIST(($B$15-B39)/$B$18,$B$17,1)))</f>
        <v>0.00142121997438129</v>
      </c>
      <c r="F39" s="21" t="n">
        <f aca="false">IF(B39="","",IF(B39&lt;$B$19,0.5*EXP((B39-$B$19)/$B$20),1-0.5*EXP(-(B39-$B$19)/$B$20)))</f>
        <v>0.00249121554858177</v>
      </c>
      <c r="G39" s="21" t="n">
        <f aca="false">IF(B39="","",1/(1+EXP(-(B39-$B$15)/$B$21)))</f>
        <v>0.00102889866040153</v>
      </c>
      <c r="H39" s="21" t="n">
        <f aca="false">IF(B39="","",MAX(ABS($A39/$B$6-D39),ABS(($A39-1)/$B$6-D39)))</f>
        <v>0.00292533191109742</v>
      </c>
      <c r="I39" s="21" t="n">
        <f aca="false">IF(B39="","",MAX(ABS($A39/$B$6-E39),ABS(($A39-1)/$B$6-E39)))</f>
        <v>0.00157878002561871</v>
      </c>
      <c r="J39" s="21" t="n">
        <f aca="false">IF(B39="","",MAX(ABS($A39/$B$6-F39),ABS(($A39-1)/$B$6-F39)))</f>
        <v>0.000508784451418229</v>
      </c>
      <c r="K39" s="21" t="n">
        <f aca="false">IF(B39="","",MAX(ABS($A39/$B$6-G39),ABS(($A39-1)/$B$6-G39)))</f>
        <v>0.00197110133959847</v>
      </c>
    </row>
    <row r="40" customFormat="false" ht="15" hidden="false" customHeight="false" outlineLevel="0" collapsed="false">
      <c r="A40" s="11" t="n">
        <v>4</v>
      </c>
      <c r="B40" s="9" t="n">
        <f aca="false">IF(A40&gt;$B$6,"",SMALL(BTC_Data!$C$3:$C$1002,A40))</f>
        <v>-0.00434376534633485</v>
      </c>
      <c r="C40" s="21" t="n">
        <f aca="false">IF(B40="","",A40/$B$6)</f>
        <v>0.004</v>
      </c>
      <c r="D40" s="21" t="n">
        <f aca="false">IF(B40="","",NORMDIST(B40,$B$15,$B$16,TRUE()))</f>
        <v>0.00033403816867698</v>
      </c>
      <c r="E40" s="21" t="n">
        <f aca="false">IF(B40="","",IF(B40&gt;=$B$15,1-TDIST((B40-$B$15)/$B$18,$B$17,1),TDIST(($B$15-B40)/$B$18,$B$17,1)))</f>
        <v>0.00251149500253061</v>
      </c>
      <c r="F40" s="21" t="n">
        <f aca="false">IF(B40="","",IF(B40&lt;$B$19,0.5*EXP((B40-$B$19)/$B$20),1-0.5*EXP(-(B40-$B$19)/$B$20)))</f>
        <v>0.00429522981789588</v>
      </c>
      <c r="G40" s="21" t="n">
        <f aca="false">IF(B40="","",1/(1+EXP(-(B40-$B$15)/$B$21)))</f>
        <v>0.00208439401235533</v>
      </c>
      <c r="H40" s="21" t="n">
        <f aca="false">IF(B40="","",MAX(ABS($A40/$B$6-D40),ABS(($A40-1)/$B$6-D40)))</f>
        <v>0.00366596183132302</v>
      </c>
      <c r="I40" s="21" t="n">
        <f aca="false">IF(B40="","",MAX(ABS($A40/$B$6-E40),ABS(($A40-1)/$B$6-E40)))</f>
        <v>0.00148850499746939</v>
      </c>
      <c r="J40" s="21" t="n">
        <f aca="false">IF(B40="","",MAX(ABS($A40/$B$6-F40),ABS(($A40-1)/$B$6-F40)))</f>
        <v>0.00129522981789588</v>
      </c>
      <c r="K40" s="21" t="n">
        <f aca="false">IF(B40="","",MAX(ABS($A40/$B$6-G40),ABS(($A40-1)/$B$6-G40)))</f>
        <v>0.00191560598764467</v>
      </c>
    </row>
    <row r="41" customFormat="false" ht="15" hidden="false" customHeight="false" outlineLevel="0" collapsed="false">
      <c r="A41" s="11" t="n">
        <v>5</v>
      </c>
      <c r="B41" s="9" t="n">
        <f aca="false">IF(A41&gt;$B$6,"",SMALL(BTC_Data!$C$3:$C$1002,A41))</f>
        <v>-0.00423945312351037</v>
      </c>
      <c r="C41" s="21" t="n">
        <f aca="false">IF(B41="","",A41/$B$6)</f>
        <v>0.005</v>
      </c>
      <c r="D41" s="21" t="n">
        <f aca="false">IF(B41="","",NORMDIST(B41,$B$15,$B$16,TRUE()))</f>
        <v>0.000449395240346891</v>
      </c>
      <c r="E41" s="21" t="n">
        <f aca="false">IF(B41="","",IF(B41&gt;=$B$15,1-TDIST((B41-$B$15)/$B$18,$B$17,1),TDIST(($B$15-B41)/$B$18,$B$17,1)))</f>
        <v>0.00284226919011218</v>
      </c>
      <c r="F41" s="21" t="n">
        <f aca="false">IF(B41="","",IF(B41&lt;$B$19,0.5*EXP((B41-$B$19)/$B$20),1-0.5*EXP(-(B41-$B$19)/$B$20)))</f>
        <v>0.00481622321284174</v>
      </c>
      <c r="G41" s="21" t="n">
        <f aca="false">IF(B41="","",1/(1+EXP(-(B41-$B$15)/$B$21)))</f>
        <v>0.00241751914941461</v>
      </c>
      <c r="H41" s="21" t="n">
        <f aca="false">IF(B41="","",MAX(ABS($A41/$B$6-D41),ABS(($A41-1)/$B$6-D41)))</f>
        <v>0.00455060475965311</v>
      </c>
      <c r="I41" s="21" t="n">
        <f aca="false">IF(B41="","",MAX(ABS($A41/$B$6-E41),ABS(($A41-1)/$B$6-E41)))</f>
        <v>0.00215773080988782</v>
      </c>
      <c r="J41" s="21" t="n">
        <f aca="false">IF(B41="","",MAX(ABS($A41/$B$6-F41),ABS(($A41-1)/$B$6-F41)))</f>
        <v>0.000816223212841737</v>
      </c>
      <c r="K41" s="21" t="n">
        <f aca="false">IF(B41="","",MAX(ABS($A41/$B$6-G41),ABS(($A41-1)/$B$6-G41)))</f>
        <v>0.00258248085058539</v>
      </c>
    </row>
    <row r="42" customFormat="false" ht="15" hidden="false" customHeight="false" outlineLevel="0" collapsed="false">
      <c r="A42" s="11" t="n">
        <v>6</v>
      </c>
      <c r="B42" s="9" t="n">
        <f aca="false">IF(A42&gt;$B$6,"",SMALL(BTC_Data!$C$3:$C$1002,A42))</f>
        <v>-0.00419245011043712</v>
      </c>
      <c r="C42" s="21" t="n">
        <f aca="false">IF(B42="","",A42/$B$6)</f>
        <v>0.006</v>
      </c>
      <c r="D42" s="21" t="n">
        <f aca="false">IF(B42="","",NORMDIST(B42,$B$15,$B$16,TRUE()))</f>
        <v>0.000512608367058162</v>
      </c>
      <c r="E42" s="21" t="n">
        <f aca="false">IF(B42="","",IF(B42&gt;=$B$15,1-TDIST((B42-$B$15)/$B$18,$B$17,1),TDIST(($B$15-B42)/$B$18,$B$17,1)))</f>
        <v>0.00300661654125302</v>
      </c>
      <c r="F42" s="21" t="n">
        <f aca="false">IF(B42="","",IF(B42&lt;$B$19,0.5*EXP((B42-$B$19)/$B$20),1-0.5*EXP(-(B42-$B$19)/$B$20)))</f>
        <v>0.00507119713534318</v>
      </c>
      <c r="G42" s="21" t="n">
        <f aca="false">IF(B42="","",1/(1+EXP(-(B42-$B$15)/$B$21)))</f>
        <v>0.00258450094166859</v>
      </c>
      <c r="H42" s="21" t="n">
        <f aca="false">IF(B42="","",MAX(ABS($A42/$B$6-D42),ABS(($A42-1)/$B$6-D42)))</f>
        <v>0.00548739163294184</v>
      </c>
      <c r="I42" s="21" t="n">
        <f aca="false">IF(B42="","",MAX(ABS($A42/$B$6-E42),ABS(($A42-1)/$B$6-E42)))</f>
        <v>0.00299338345874698</v>
      </c>
      <c r="J42" s="21" t="n">
        <f aca="false">IF(B42="","",MAX(ABS($A42/$B$6-F42),ABS(($A42-1)/$B$6-F42)))</f>
        <v>0.000928802864656824</v>
      </c>
      <c r="K42" s="21" t="n">
        <f aca="false">IF(B42="","",MAX(ABS($A42/$B$6-G42),ABS(($A42-1)/$B$6-G42)))</f>
        <v>0.00341549905833141</v>
      </c>
    </row>
    <row r="43" customFormat="false" ht="15" hidden="false" customHeight="false" outlineLevel="0" collapsed="false">
      <c r="A43" s="11" t="n">
        <v>7</v>
      </c>
      <c r="B43" s="9" t="n">
        <f aca="false">IF(A43&gt;$B$6,"",SMALL(BTC_Data!$C$3:$C$1002,A43))</f>
        <v>-0.00407042871523866</v>
      </c>
      <c r="C43" s="21" t="n">
        <f aca="false">IF(B43="","",A43/$B$6)</f>
        <v>0.007</v>
      </c>
      <c r="D43" s="21" t="n">
        <f aca="false">IF(B43="","",NORMDIST(B43,$B$15,$B$16,TRUE()))</f>
        <v>0.000717098623861548</v>
      </c>
      <c r="E43" s="21" t="n">
        <f aca="false">IF(B43="","",IF(B43&gt;=$B$15,1-TDIST((B43-$B$15)/$B$18,$B$17,1),TDIST(($B$15-B43)/$B$18,$B$17,1)))</f>
        <v>0.00348365757343925</v>
      </c>
      <c r="F43" s="21" t="n">
        <f aca="false">IF(B43="","",IF(B43&lt;$B$19,0.5*EXP((B43-$B$19)/$B$20),1-0.5*EXP(-(B43-$B$19)/$B$20)))</f>
        <v>0.00579791352596674</v>
      </c>
      <c r="G43" s="21" t="n">
        <f aca="false">IF(B43="","",1/(1+EXP(-(B43-$B$15)/$B$21)))</f>
        <v>0.00307365374022254</v>
      </c>
      <c r="H43" s="21" t="n">
        <f aca="false">IF(B43="","",MAX(ABS($A43/$B$6-D43),ABS(($A43-1)/$B$6-D43)))</f>
        <v>0.00628290137613845</v>
      </c>
      <c r="I43" s="21" t="n">
        <f aca="false">IF(B43="","",MAX(ABS($A43/$B$6-E43),ABS(($A43-1)/$B$6-E43)))</f>
        <v>0.00351634242656075</v>
      </c>
      <c r="J43" s="21" t="n">
        <f aca="false">IF(B43="","",MAX(ABS($A43/$B$6-F43),ABS(($A43-1)/$B$6-F43)))</f>
        <v>0.00120208647403326</v>
      </c>
      <c r="K43" s="21" t="n">
        <f aca="false">IF(B43="","",MAX(ABS($A43/$B$6-G43),ABS(($A43-1)/$B$6-G43)))</f>
        <v>0.00392634625977746</v>
      </c>
    </row>
    <row r="44" customFormat="false" ht="15" hidden="false" customHeight="false" outlineLevel="0" collapsed="false">
      <c r="A44" s="11" t="n">
        <v>8</v>
      </c>
      <c r="B44" s="9" t="n">
        <f aca="false">IF(A44&gt;$B$6,"",SMALL(BTC_Data!$C$3:$C$1002,A44))</f>
        <v>-0.00380228109993475</v>
      </c>
      <c r="C44" s="21" t="n">
        <f aca="false">IF(B44="","",A44/$B$6)</f>
        <v>0.008</v>
      </c>
      <c r="D44" s="21" t="n">
        <f aca="false">IF(B44="","",NORMDIST(B44,$B$15,$B$16,TRUE()))</f>
        <v>0.00145505227343076</v>
      </c>
      <c r="E44" s="21" t="n">
        <f aca="false">IF(B44="","",IF(B44&gt;=$B$15,1-TDIST((B44-$B$15)/$B$18,$B$17,1),TDIST(($B$15-B44)/$B$18,$B$17,1)))</f>
        <v>0.0048473423140275</v>
      </c>
      <c r="F44" s="21" t="n">
        <f aca="false">IF(B44="","",IF(B44&lt;$B$19,0.5*EXP((B44-$B$19)/$B$20),1-0.5*EXP(-(B44-$B$19)/$B$20)))</f>
        <v>0.00778186564022912</v>
      </c>
      <c r="G44" s="21" t="n">
        <f aca="false">IF(B44="","",1/(1+EXP(-(B44-$B$15)/$B$21)))</f>
        <v>0.00449707335671401</v>
      </c>
      <c r="H44" s="21" t="n">
        <f aca="false">IF(B44="","",MAX(ABS($A44/$B$6-D44),ABS(($A44-1)/$B$6-D44)))</f>
        <v>0.00654494772656924</v>
      </c>
      <c r="I44" s="21" t="n">
        <f aca="false">IF(B44="","",MAX(ABS($A44/$B$6-E44),ABS(($A44-1)/$B$6-E44)))</f>
        <v>0.0031526576859725</v>
      </c>
      <c r="J44" s="21" t="n">
        <f aca="false">IF(B44="","",MAX(ABS($A44/$B$6-F44),ABS(($A44-1)/$B$6-F44)))</f>
        <v>0.000781865640229116</v>
      </c>
      <c r="K44" s="21" t="n">
        <f aca="false">IF(B44="","",MAX(ABS($A44/$B$6-G44),ABS(($A44-1)/$B$6-G44)))</f>
        <v>0.00350292664328599</v>
      </c>
    </row>
    <row r="45" customFormat="false" ht="15" hidden="false" customHeight="false" outlineLevel="0" collapsed="false">
      <c r="A45" s="11" t="n">
        <v>9</v>
      </c>
      <c r="B45" s="9" t="n">
        <f aca="false">IF(A45&gt;$B$6,"",SMALL(BTC_Data!$C$3:$C$1002,A45))</f>
        <v>-0.00379642429465144</v>
      </c>
      <c r="C45" s="21" t="n">
        <f aca="false">IF(B45="","",A45/$B$6)</f>
        <v>0.009</v>
      </c>
      <c r="D45" s="21" t="n">
        <f aca="false">IF(B45="","",NORMDIST(B45,$B$15,$B$16,TRUE()))</f>
        <v>0.00147703389643836</v>
      </c>
      <c r="E45" s="21" t="n">
        <f aca="false">IF(B45="","",IF(B45&gt;=$B$15,1-TDIST((B45-$B$15)/$B$18,$B$17,1),TDIST(($B$15-B45)/$B$18,$B$17,1)))</f>
        <v>0.00488294091335405</v>
      </c>
      <c r="F45" s="21" t="n">
        <f aca="false">IF(B45="","",IF(B45&lt;$B$19,0.5*EXP((B45-$B$19)/$B$20),1-0.5*EXP(-(B45-$B$19)/$B$20)))</f>
        <v>0.00783204838825293</v>
      </c>
      <c r="G45" s="21" t="n">
        <f aca="false">IF(B45="","",1/(1+EXP(-(B45-$B$15)/$B$21)))</f>
        <v>0.0045345798480881</v>
      </c>
      <c r="H45" s="21" t="n">
        <f aca="false">IF(B45="","",MAX(ABS($A45/$B$6-D45),ABS(($A45-1)/$B$6-D45)))</f>
        <v>0.00752296610356164</v>
      </c>
      <c r="I45" s="21" t="n">
        <f aca="false">IF(B45="","",MAX(ABS($A45/$B$6-E45),ABS(($A45-1)/$B$6-E45)))</f>
        <v>0.00411705908664595</v>
      </c>
      <c r="J45" s="21" t="n">
        <f aca="false">IF(B45="","",MAX(ABS($A45/$B$6-F45),ABS(($A45-1)/$B$6-F45)))</f>
        <v>0.00116795161174707</v>
      </c>
      <c r="K45" s="21" t="n">
        <f aca="false">IF(B45="","",MAX(ABS($A45/$B$6-G45),ABS(($A45-1)/$B$6-G45)))</f>
        <v>0.0044654201519119</v>
      </c>
    </row>
    <row r="46" customFormat="false" ht="15" hidden="false" customHeight="false" outlineLevel="0" collapsed="false">
      <c r="A46" s="11" t="n">
        <v>10</v>
      </c>
      <c r="B46" s="9" t="n">
        <f aca="false">IF(A46&gt;$B$6,"",SMALL(BTC_Data!$C$3:$C$1002,A46))</f>
        <v>-0.00359003867696783</v>
      </c>
      <c r="C46" s="21" t="n">
        <f aca="false">IF(B46="","",A46/$B$6)</f>
        <v>0.01</v>
      </c>
      <c r="D46" s="21" t="n">
        <f aca="false">IF(B46="","",NORMDIST(B46,$B$15,$B$16,TRUE()))</f>
        <v>0.00247412365214378</v>
      </c>
      <c r="E46" s="21" t="n">
        <f aca="false">IF(B46="","",IF(B46&gt;=$B$15,1-TDIST((B46-$B$15)/$B$18,$B$17,1),TDIST(($B$15-B46)/$B$18,$B$17,1)))</f>
        <v>0.00633633580075137</v>
      </c>
      <c r="F46" s="21" t="n">
        <f aca="false">IF(B46="","",IF(B46&lt;$B$19,0.5*EXP((B46-$B$19)/$B$20),1-0.5*EXP(-(B46-$B$19)/$B$20)))</f>
        <v>0.00982310148059846</v>
      </c>
      <c r="G46" s="21" t="n">
        <f aca="false">IF(B46="","",1/(1+EXP(-(B46-$B$15)/$B$21)))</f>
        <v>0.00607504615277991</v>
      </c>
      <c r="H46" s="21" t="n">
        <f aca="false">IF(B46="","",MAX(ABS($A46/$B$6-D46),ABS(($A46-1)/$B$6-D46)))</f>
        <v>0.00752587634785622</v>
      </c>
      <c r="I46" s="21" t="n">
        <f aca="false">IF(B46="","",MAX(ABS($A46/$B$6-E46),ABS(($A46-1)/$B$6-E46)))</f>
        <v>0.00366366419924863</v>
      </c>
      <c r="J46" s="21" t="n">
        <f aca="false">IF(B46="","",MAX(ABS($A46/$B$6-F46),ABS(($A46-1)/$B$6-F46)))</f>
        <v>0.00082310148059846</v>
      </c>
      <c r="K46" s="21" t="n">
        <f aca="false">IF(B46="","",MAX(ABS($A46/$B$6-G46),ABS(($A46-1)/$B$6-G46)))</f>
        <v>0.00392495384722009</v>
      </c>
    </row>
    <row r="47" customFormat="false" ht="15" hidden="false" customHeight="false" outlineLevel="0" collapsed="false">
      <c r="A47" s="11" t="n">
        <v>11</v>
      </c>
      <c r="B47" s="9" t="n">
        <f aca="false">IF(A47&gt;$B$6,"",SMALL(BTC_Data!$C$3:$C$1002,A47))</f>
        <v>-0.00345760208480739</v>
      </c>
      <c r="C47" s="21" t="n">
        <f aca="false">IF(B47="","",A47/$B$6)</f>
        <v>0.011</v>
      </c>
      <c r="D47" s="21" t="n">
        <f aca="false">IF(B47="","",NORMDIST(B47,$B$15,$B$16,TRUE()))</f>
        <v>0.00340117235925861</v>
      </c>
      <c r="E47" s="21" t="n">
        <f aca="false">IF(B47="","",IF(B47&gt;=$B$15,1-TDIST((B47-$B$15)/$B$18,$B$17,1),TDIST(($B$15-B47)/$B$18,$B$17,1)))</f>
        <v>0.00750972658022958</v>
      </c>
      <c r="F47" s="21" t="n">
        <f aca="false">IF(B47="","",IF(B47&lt;$B$19,0.5*EXP((B47-$B$19)/$B$20),1-0.5*EXP(-(B47-$B$19)/$B$20)))</f>
        <v>0.0113598933100199</v>
      </c>
      <c r="G47" s="21" t="n">
        <f aca="false">IF(B47="","",1/(1+EXP(-(B47-$B$15)/$B$21)))</f>
        <v>0.00732718232811255</v>
      </c>
      <c r="H47" s="21" t="n">
        <f aca="false">IF(B47="","",MAX(ABS($A47/$B$6-D47),ABS(($A47-1)/$B$6-D47)))</f>
        <v>0.00759882764074139</v>
      </c>
      <c r="I47" s="21" t="n">
        <f aca="false">IF(B47="","",MAX(ABS($A47/$B$6-E47),ABS(($A47-1)/$B$6-E47)))</f>
        <v>0.00349027341977042</v>
      </c>
      <c r="J47" s="21" t="n">
        <f aca="false">IF(B47="","",MAX(ABS($A47/$B$6-F47),ABS(($A47-1)/$B$6-F47)))</f>
        <v>0.0013598933100199</v>
      </c>
      <c r="K47" s="21" t="n">
        <f aca="false">IF(B47="","",MAX(ABS($A47/$B$6-G47),ABS(($A47-1)/$B$6-G47)))</f>
        <v>0.00367281767188745</v>
      </c>
    </row>
    <row r="48" customFormat="false" ht="15" hidden="false" customHeight="false" outlineLevel="0" collapsed="false">
      <c r="A48" s="11" t="n">
        <v>12</v>
      </c>
      <c r="B48" s="9" t="n">
        <f aca="false">IF(A48&gt;$B$6,"",SMALL(BTC_Data!$C$3:$C$1002,A48))</f>
        <v>-0.00333430300896975</v>
      </c>
      <c r="C48" s="21" t="n">
        <f aca="false">IF(B48="","",A48/$B$6)</f>
        <v>0.012</v>
      </c>
      <c r="D48" s="21" t="n">
        <f aca="false">IF(B48="","",NORMDIST(B48,$B$15,$B$16,TRUE()))</f>
        <v>0.00453332745607105</v>
      </c>
      <c r="E48" s="21" t="n">
        <f aca="false">IF(B48="","",IF(B48&gt;=$B$15,1-TDIST((B48-$B$15)/$B$18,$B$17,1),TDIST(($B$15-B48)/$B$18,$B$17,1)))</f>
        <v>0.00881266182744039</v>
      </c>
      <c r="F48" s="21" t="n">
        <f aca="false">IF(B48="","",IF(B48&lt;$B$19,0.5*EXP((B48-$B$19)/$B$20),1-0.5*EXP(-(B48-$B$19)/$B$20)))</f>
        <v>0.013006022369396</v>
      </c>
      <c r="G48" s="21" t="n">
        <f aca="false">IF(B48="","",1/(1+EXP(-(B48-$B$15)/$B$21)))</f>
        <v>0.00872184084302252</v>
      </c>
      <c r="H48" s="21" t="n">
        <f aca="false">IF(B48="","",MAX(ABS($A48/$B$6-D48),ABS(($A48-1)/$B$6-D48)))</f>
        <v>0.00746667254392895</v>
      </c>
      <c r="I48" s="21" t="n">
        <f aca="false">IF(B48="","",MAX(ABS($A48/$B$6-E48),ABS(($A48-1)/$B$6-E48)))</f>
        <v>0.00318733817255961</v>
      </c>
      <c r="J48" s="21" t="n">
        <f aca="false">IF(B48="","",MAX(ABS($A48/$B$6-F48),ABS(($A48-1)/$B$6-F48)))</f>
        <v>0.002006022369396</v>
      </c>
      <c r="K48" s="21" t="n">
        <f aca="false">IF(B48="","",MAX(ABS($A48/$B$6-G48),ABS(($A48-1)/$B$6-G48)))</f>
        <v>0.00327815915697748</v>
      </c>
    </row>
    <row r="49" customFormat="false" ht="15" hidden="false" customHeight="false" outlineLevel="0" collapsed="false">
      <c r="A49" s="11" t="n">
        <v>13</v>
      </c>
      <c r="B49" s="9" t="n">
        <f aca="false">IF(A49&gt;$B$6,"",SMALL(BTC_Data!$C$3:$C$1002,A49))</f>
        <v>-0.00332216746339409</v>
      </c>
      <c r="C49" s="21" t="n">
        <f aca="false">IF(B49="","",A49/$B$6)</f>
        <v>0.013</v>
      </c>
      <c r="D49" s="21" t="n">
        <f aca="false">IF(B49="","",NORMDIST(B49,$B$15,$B$16,TRUE()))</f>
        <v>0.00466119650747765</v>
      </c>
      <c r="E49" s="21" t="n">
        <f aca="false">IF(B49="","",IF(B49&gt;=$B$15,1-TDIST((B49-$B$15)/$B$18,$B$17,1),TDIST(($B$15-B49)/$B$18,$B$17,1)))</f>
        <v>0.00895335015545465</v>
      </c>
      <c r="F49" s="21" t="n">
        <f aca="false">IF(B49="","",IF(B49&lt;$B$19,0.5*EXP((B49-$B$19)/$B$20),1-0.5*EXP(-(B49-$B$19)/$B$20)))</f>
        <v>0.0131804087503344</v>
      </c>
      <c r="G49" s="21" t="n">
        <f aca="false">IF(B49="","",1/(1+EXP(-(B49-$B$15)/$B$21)))</f>
        <v>0.00887258234799956</v>
      </c>
      <c r="H49" s="21" t="n">
        <f aca="false">IF(B49="","",MAX(ABS($A49/$B$6-D49),ABS(($A49-1)/$B$6-D49)))</f>
        <v>0.00833880349252235</v>
      </c>
      <c r="I49" s="21" t="n">
        <f aca="false">IF(B49="","",MAX(ABS($A49/$B$6-E49),ABS(($A49-1)/$B$6-E49)))</f>
        <v>0.00404664984454535</v>
      </c>
      <c r="J49" s="21" t="n">
        <f aca="false">IF(B49="","",MAX(ABS($A49/$B$6-F49),ABS(($A49-1)/$B$6-F49)))</f>
        <v>0.00118040875033439</v>
      </c>
      <c r="K49" s="21" t="n">
        <f aca="false">IF(B49="","",MAX(ABS($A49/$B$6-G49),ABS(($A49-1)/$B$6-G49)))</f>
        <v>0.00412741765200044</v>
      </c>
    </row>
    <row r="50" customFormat="false" ht="15" hidden="false" customHeight="false" outlineLevel="0" collapsed="false">
      <c r="A50" s="11" t="n">
        <v>14</v>
      </c>
      <c r="B50" s="9" t="n">
        <f aca="false">IF(A50&gt;$B$6,"",SMALL(BTC_Data!$C$3:$C$1002,A50))</f>
        <v>-0.00322209509831739</v>
      </c>
      <c r="C50" s="21" t="n">
        <f aca="false">IF(B50="","",A50/$B$6)</f>
        <v>0.014</v>
      </c>
      <c r="D50" s="21" t="n">
        <f aca="false">IF(B50="","",NORMDIST(B50,$B$15,$B$16,TRUE()))</f>
        <v>0.00584439162548421</v>
      </c>
      <c r="E50" s="21" t="n">
        <f aca="false">IF(B50="","",IF(B50&gt;=$B$15,1-TDIST((B50-$B$15)/$B$18,$B$17,1),TDIST(($B$15-B50)/$B$18,$B$17,1)))</f>
        <v>0.0102086542855947</v>
      </c>
      <c r="F50" s="21" t="n">
        <f aca="false">IF(B50="","",IF(B50&lt;$B$19,0.5*EXP((B50-$B$19)/$B$20),1-0.5*EXP(-(B50-$B$19)/$B$20)))</f>
        <v>0.0147105245864472</v>
      </c>
      <c r="G50" s="21" t="n">
        <f aca="false">IF(B50="","",1/(1+EXP(-(B50-$B$15)/$B$21)))</f>
        <v>0.0102181449644695</v>
      </c>
      <c r="H50" s="21" t="n">
        <f aca="false">IF(B50="","",MAX(ABS($A50/$B$6-D50),ABS(($A50-1)/$B$6-D50)))</f>
        <v>0.00815560837451579</v>
      </c>
      <c r="I50" s="21" t="n">
        <f aca="false">IF(B50="","",MAX(ABS($A50/$B$6-E50),ABS(($A50-1)/$B$6-E50)))</f>
        <v>0.00379134571440534</v>
      </c>
      <c r="J50" s="21" t="n">
        <f aca="false">IF(B50="","",MAX(ABS($A50/$B$6-F50),ABS(($A50-1)/$B$6-F50)))</f>
        <v>0.00171052458644718</v>
      </c>
      <c r="K50" s="21" t="n">
        <f aca="false">IF(B50="","",MAX(ABS($A50/$B$6-G50),ABS(($A50-1)/$B$6-G50)))</f>
        <v>0.00378185503553049</v>
      </c>
    </row>
    <row r="51" customFormat="false" ht="15" hidden="false" customHeight="false" outlineLevel="0" collapsed="false">
      <c r="A51" s="11" t="n">
        <v>15</v>
      </c>
      <c r="B51" s="9" t="n">
        <f aca="false">IF(A51&gt;$B$6,"",SMALL(BTC_Data!$C$3:$C$1002,A51))</f>
        <v>-0.00317514068497671</v>
      </c>
      <c r="C51" s="21" t="n">
        <f aca="false">IF(B51="","",A51/$B$6)</f>
        <v>0.015</v>
      </c>
      <c r="D51" s="21" t="n">
        <f aca="false">IF(B51="","",NORMDIST(B51,$B$15,$B$16,TRUE()))</f>
        <v>0.00648621072985062</v>
      </c>
      <c r="E51" s="21" t="n">
        <f aca="false">IF(B51="","",IF(B51&gt;=$B$15,1-TDIST((B51-$B$15)/$B$18,$B$17,1),TDIST(($B$15-B51)/$B$18,$B$17,1)))</f>
        <v>0.0108607928450072</v>
      </c>
      <c r="F51" s="21" t="n">
        <f aca="false">IF(B51="","",IF(B51&lt;$B$19,0.5*EXP((B51-$B$19)/$B$20),1-0.5*EXP(-(B51-$B$19)/$B$20)))</f>
        <v>0.0154884829548328</v>
      </c>
      <c r="G51" s="21" t="n">
        <f aca="false">IF(B51="","",1/(1+EXP(-(B51-$B$15)/$B$21)))</f>
        <v>0.010917283553967</v>
      </c>
      <c r="H51" s="21" t="n">
        <f aca="false">IF(B51="","",MAX(ABS($A51/$B$6-D51),ABS(($A51-1)/$B$6-D51)))</f>
        <v>0.00851378927014938</v>
      </c>
      <c r="I51" s="21" t="n">
        <f aca="false">IF(B51="","",MAX(ABS($A51/$B$6-E51),ABS(($A51-1)/$B$6-E51)))</f>
        <v>0.00413920715499281</v>
      </c>
      <c r="J51" s="21" t="n">
        <f aca="false">IF(B51="","",MAX(ABS($A51/$B$6-F51),ABS(($A51-1)/$B$6-F51)))</f>
        <v>0.00148848295483279</v>
      </c>
      <c r="K51" s="21" t="n">
        <f aca="false">IF(B51="","",MAX(ABS($A51/$B$6-G51),ABS(($A51-1)/$B$6-G51)))</f>
        <v>0.00408271644603301</v>
      </c>
    </row>
    <row r="52" customFormat="false" ht="15" hidden="false" customHeight="false" outlineLevel="0" collapsed="false">
      <c r="A52" s="11" t="n">
        <v>16</v>
      </c>
      <c r="B52" s="9" t="n">
        <f aca="false">IF(A52&gt;$B$6,"",SMALL(BTC_Data!$C$3:$C$1002,A52))</f>
        <v>-0.00306578528733237</v>
      </c>
      <c r="C52" s="21" t="n">
        <f aca="false">IF(B52="","",A52/$B$6)</f>
        <v>0.016</v>
      </c>
      <c r="D52" s="21" t="n">
        <f aca="false">IF(B52="","",NORMDIST(B52,$B$15,$B$16,TRUE()))</f>
        <v>0.00822807608939617</v>
      </c>
      <c r="E52" s="21" t="n">
        <f aca="false">IF(B52="","",IF(B52&gt;=$B$15,1-TDIST((B52-$B$15)/$B$18,$B$17,1),TDIST(($B$15-B52)/$B$18,$B$17,1)))</f>
        <v>0.0125563134609166</v>
      </c>
      <c r="F52" s="21" t="n">
        <f aca="false">IF(B52="","",IF(B52&lt;$B$19,0.5*EXP((B52-$B$19)/$B$20),1-0.5*EXP(-(B52-$B$19)/$B$20)))</f>
        <v>0.0174635648569914</v>
      </c>
      <c r="G52" s="21" t="n">
        <f aca="false">IF(B52="","",1/(1+EXP(-(B52-$B$15)/$B$21)))</f>
        <v>0.012734187963391</v>
      </c>
      <c r="H52" s="21" t="n">
        <f aca="false">IF(B52="","",MAX(ABS($A52/$B$6-D52),ABS(($A52-1)/$B$6-D52)))</f>
        <v>0.00777192391060383</v>
      </c>
      <c r="I52" s="21" t="n">
        <f aca="false">IF(B52="","",MAX(ABS($A52/$B$6-E52),ABS(($A52-1)/$B$6-E52)))</f>
        <v>0.00344368653908342</v>
      </c>
      <c r="J52" s="21" t="n">
        <f aca="false">IF(B52="","",MAX(ABS($A52/$B$6-F52),ABS(($A52-1)/$B$6-F52)))</f>
        <v>0.00246356485699141</v>
      </c>
      <c r="K52" s="21" t="n">
        <f aca="false">IF(B52="","",MAX(ABS($A52/$B$6-G52),ABS(($A52-1)/$B$6-G52)))</f>
        <v>0.00326581203660904</v>
      </c>
    </row>
    <row r="53" customFormat="false" ht="15" hidden="false" customHeight="false" outlineLevel="0" collapsed="false">
      <c r="A53" s="11" t="n">
        <v>17</v>
      </c>
      <c r="B53" s="9" t="n">
        <f aca="false">IF(A53&gt;$B$6,"",SMALL(BTC_Data!$C$3:$C$1002,A53))</f>
        <v>-0.00300852627159698</v>
      </c>
      <c r="C53" s="21" t="n">
        <f aca="false">IF(B53="","",A53/$B$6)</f>
        <v>0.017</v>
      </c>
      <c r="D53" s="21" t="n">
        <f aca="false">IF(B53="","",NORMDIST(B53,$B$15,$B$16,TRUE()))</f>
        <v>0.00929461190480948</v>
      </c>
      <c r="E53" s="21" t="n">
        <f aca="false">IF(B53="","",IF(B53&gt;=$B$15,1-TDIST((B53-$B$15)/$B$18,$B$17,1),TDIST(($B$15-B53)/$B$18,$B$17,1)))</f>
        <v>0.0135532830111441</v>
      </c>
      <c r="F53" s="21" t="n">
        <f aca="false">IF(B53="","",IF(B53&lt;$B$19,0.5*EXP((B53-$B$19)/$B$20),1-0.5*EXP(-(B53-$B$19)/$B$20)))</f>
        <v>0.0185962463310543</v>
      </c>
      <c r="G53" s="21" t="n">
        <f aca="false">IF(B53="","",1/(1+EXP(-(B53-$B$15)/$B$21)))</f>
        <v>0.0138014932880289</v>
      </c>
      <c r="H53" s="21" t="n">
        <f aca="false">IF(B53="","",MAX(ABS($A53/$B$6-D53),ABS(($A53-1)/$B$6-D53)))</f>
        <v>0.00770538809519052</v>
      </c>
      <c r="I53" s="21" t="n">
        <f aca="false">IF(B53="","",MAX(ABS($A53/$B$6-E53),ABS(($A53-1)/$B$6-E53)))</f>
        <v>0.00344671698885595</v>
      </c>
      <c r="J53" s="21" t="n">
        <f aca="false">IF(B53="","",MAX(ABS($A53/$B$6-F53),ABS(($A53-1)/$B$6-F53)))</f>
        <v>0.00259624633105434</v>
      </c>
      <c r="K53" s="21" t="n">
        <f aca="false">IF(B53="","",MAX(ABS($A53/$B$6-G53),ABS(($A53-1)/$B$6-G53)))</f>
        <v>0.00319850671197109</v>
      </c>
    </row>
    <row r="54" customFormat="false" ht="15" hidden="false" customHeight="false" outlineLevel="0" collapsed="false">
      <c r="A54" s="11" t="n">
        <v>18</v>
      </c>
      <c r="B54" s="9" t="n">
        <f aca="false">IF(A54&gt;$B$6,"",SMALL(BTC_Data!$C$3:$C$1002,A54))</f>
        <v>-0.00300001002830286</v>
      </c>
      <c r="C54" s="21" t="n">
        <f aca="false">IF(B54="","",A54/$B$6)</f>
        <v>0.018</v>
      </c>
      <c r="D54" s="21" t="n">
        <f aca="false">IF(B54="","",NORMDIST(B54,$B$15,$B$16,TRUE()))</f>
        <v>0.00946315982921283</v>
      </c>
      <c r="E54" s="21" t="n">
        <f aca="false">IF(B54="","",IF(B54&gt;=$B$15,1-TDIST((B54-$B$15)/$B$18,$B$17,1),TDIST(($B$15-B54)/$B$18,$B$17,1)))</f>
        <v>0.0137085240169469</v>
      </c>
      <c r="F54" s="21" t="n">
        <f aca="false">IF(B54="","",IF(B54&lt;$B$19,0.5*EXP((B54-$B$19)/$B$20),1-0.5*EXP(-(B54-$B$19)/$B$20)))</f>
        <v>0.0187708759543878</v>
      </c>
      <c r="G54" s="21" t="n">
        <f aca="false">IF(B54="","",1/(1+EXP(-(B54-$B$15)/$B$21)))</f>
        <v>0.0139675968298541</v>
      </c>
      <c r="H54" s="21" t="n">
        <f aca="false">IF(B54="","",MAX(ABS($A54/$B$6-D54),ABS(($A54-1)/$B$6-D54)))</f>
        <v>0.00853684017078717</v>
      </c>
      <c r="I54" s="21" t="n">
        <f aca="false">IF(B54="","",MAX(ABS($A54/$B$6-E54),ABS(($A54-1)/$B$6-E54)))</f>
        <v>0.00429147598305312</v>
      </c>
      <c r="J54" s="21" t="n">
        <f aca="false">IF(B54="","",MAX(ABS($A54/$B$6-F54),ABS(($A54-1)/$B$6-F54)))</f>
        <v>0.0017708759543878</v>
      </c>
      <c r="K54" s="21" t="n">
        <f aca="false">IF(B54="","",MAX(ABS($A54/$B$6-G54),ABS(($A54-1)/$B$6-G54)))</f>
        <v>0.00403240317014588</v>
      </c>
    </row>
    <row r="55" customFormat="false" ht="15" hidden="false" customHeight="false" outlineLevel="0" collapsed="false">
      <c r="A55" s="11" t="n">
        <v>19</v>
      </c>
      <c r="B55" s="9" t="n">
        <f aca="false">IF(A55&gt;$B$6,"",SMALL(BTC_Data!$C$3:$C$1002,A55))</f>
        <v>-0.00298382691337806</v>
      </c>
      <c r="C55" s="21" t="n">
        <f aca="false">IF(B55="","",A55/$B$6)</f>
        <v>0.019</v>
      </c>
      <c r="D55" s="21" t="n">
        <f aca="false">IF(B55="","",NORMDIST(B55,$B$15,$B$16,TRUE()))</f>
        <v>0.00979082246190212</v>
      </c>
      <c r="E55" s="21" t="n">
        <f aca="false">IF(B55="","",IF(B55&gt;=$B$15,1-TDIST((B55-$B$15)/$B$18,$B$17,1),TDIST(($B$15-B55)/$B$18,$B$17,1)))</f>
        <v>0.0140086848788528</v>
      </c>
      <c r="F55" s="21" t="n">
        <f aca="false">IF(B55="","",IF(B55&lt;$B$19,0.5*EXP((B55-$B$19)/$B$20),1-0.5*EXP(-(B55-$B$19)/$B$20)))</f>
        <v>0.0191072500566341</v>
      </c>
      <c r="G55" s="21" t="n">
        <f aca="false">IF(B55="","",1/(1+EXP(-(B55-$B$15)/$B$21)))</f>
        <v>0.0142886860410438</v>
      </c>
      <c r="H55" s="21" t="n">
        <f aca="false">IF(B55="","",MAX(ABS($A55/$B$6-D55),ABS(($A55-1)/$B$6-D55)))</f>
        <v>0.00920917753809789</v>
      </c>
      <c r="I55" s="21" t="n">
        <f aca="false">IF(B55="","",MAX(ABS($A55/$B$6-E55),ABS(($A55-1)/$B$6-E55)))</f>
        <v>0.0049913151211472</v>
      </c>
      <c r="J55" s="21" t="n">
        <f aca="false">IF(B55="","",MAX(ABS($A55/$B$6-F55),ABS(($A55-1)/$B$6-F55)))</f>
        <v>0.00110725005663415</v>
      </c>
      <c r="K55" s="21" t="n">
        <f aca="false">IF(B55="","",MAX(ABS($A55/$B$6-G55),ABS(($A55-1)/$B$6-G55)))</f>
        <v>0.00471131395895617</v>
      </c>
    </row>
    <row r="56" customFormat="false" ht="15" hidden="false" customHeight="false" outlineLevel="0" collapsed="false">
      <c r="A56" s="11" t="n">
        <v>20</v>
      </c>
      <c r="B56" s="9" t="n">
        <f aca="false">IF(A56&gt;$B$6,"",SMALL(BTC_Data!$C$3:$C$1002,A56))</f>
        <v>-0.00294153166093325</v>
      </c>
      <c r="C56" s="21" t="n">
        <f aca="false">IF(B56="","",A56/$B$6)</f>
        <v>0.02</v>
      </c>
      <c r="D56" s="21" t="n">
        <f aca="false">IF(B56="","",NORMDIST(B56,$B$15,$B$16,TRUE()))</f>
        <v>0.0106943881480382</v>
      </c>
      <c r="E56" s="21" t="n">
        <f aca="false">IF(B56="","",IF(B56&gt;=$B$15,1-TDIST((B56-$B$15)/$B$18,$B$17,1),TDIST(($B$15-B56)/$B$18,$B$17,1)))</f>
        <v>0.0148261407123005</v>
      </c>
      <c r="F56" s="21" t="n">
        <f aca="false">IF(B56="","",IF(B56&lt;$B$19,0.5*EXP((B56-$B$19)/$B$20),1-0.5*EXP(-(B56-$B$19)/$B$20)))</f>
        <v>0.0200151168542663</v>
      </c>
      <c r="G56" s="21" t="n">
        <f aca="false">IF(B56="","",1/(1+EXP(-(B56-$B$15)/$B$21)))</f>
        <v>0.0151626109330072</v>
      </c>
      <c r="H56" s="21" t="n">
        <f aca="false">IF(B56="","",MAX(ABS($A56/$B$6-D56),ABS(($A56-1)/$B$6-D56)))</f>
        <v>0.00930561185196176</v>
      </c>
      <c r="I56" s="21" t="n">
        <f aca="false">IF(B56="","",MAX(ABS($A56/$B$6-E56),ABS(($A56-1)/$B$6-E56)))</f>
        <v>0.0051738592876995</v>
      </c>
      <c r="J56" s="21" t="n">
        <f aca="false">IF(B56="","",MAX(ABS($A56/$B$6-F56),ABS(($A56-1)/$B$6-F56)))</f>
        <v>0.00101511685426634</v>
      </c>
      <c r="K56" s="21" t="n">
        <f aca="false">IF(B56="","",MAX(ABS($A56/$B$6-G56),ABS(($A56-1)/$B$6-G56)))</f>
        <v>0.00483738906699281</v>
      </c>
    </row>
    <row r="57" customFormat="false" ht="15" hidden="false" customHeight="false" outlineLevel="0" collapsed="false">
      <c r="A57" s="11" t="n">
        <v>21</v>
      </c>
      <c r="B57" s="9" t="n">
        <f aca="false">IF(A57&gt;$B$6,"",SMALL(BTC_Data!$C$3:$C$1002,A57))</f>
        <v>-0.00284676420137775</v>
      </c>
      <c r="C57" s="21" t="n">
        <f aca="false">IF(B57="","",A57/$B$6)</f>
        <v>0.021</v>
      </c>
      <c r="D57" s="21" t="n">
        <f aca="false">IF(B57="","",NORMDIST(B57,$B$15,$B$16,TRUE()))</f>
        <v>0.0129863149333983</v>
      </c>
      <c r="E57" s="21" t="n">
        <f aca="false">IF(B57="","",IF(B57&gt;=$B$15,1-TDIST((B57-$B$15)/$B$18,$B$17,1),TDIST(($B$15-B57)/$B$18,$B$17,1)))</f>
        <v>0.0168440025483507</v>
      </c>
      <c r="F57" s="21" t="n">
        <f aca="false">IF(B57="","",IF(B57&lt;$B$19,0.5*EXP((B57-$B$19)/$B$20),1-0.5*EXP(-(B57-$B$19)/$B$20)))</f>
        <v>0.0222089915776345</v>
      </c>
      <c r="G57" s="21" t="n">
        <f aca="false">IF(B57="","",1/(1+EXP(-(B57-$B$15)/$B$21)))</f>
        <v>0.0173162270515481</v>
      </c>
      <c r="H57" s="21" t="n">
        <f aca="false">IF(B57="","",MAX(ABS($A57/$B$6-D57),ABS(($A57-1)/$B$6-D57)))</f>
        <v>0.00801368506660167</v>
      </c>
      <c r="I57" s="21" t="n">
        <f aca="false">IF(B57="","",MAX(ABS($A57/$B$6-E57),ABS(($A57-1)/$B$6-E57)))</f>
        <v>0.0041559974516493</v>
      </c>
      <c r="J57" s="21" t="n">
        <f aca="false">IF(B57="","",MAX(ABS($A57/$B$6-F57),ABS(($A57-1)/$B$6-F57)))</f>
        <v>0.00220899157763454</v>
      </c>
      <c r="K57" s="21" t="n">
        <f aca="false">IF(B57="","",MAX(ABS($A57/$B$6-G57),ABS(($A57-1)/$B$6-G57)))</f>
        <v>0.00368377294845187</v>
      </c>
    </row>
    <row r="58" customFormat="false" ht="15" hidden="false" customHeight="false" outlineLevel="0" collapsed="false">
      <c r="A58" s="11" t="n">
        <v>22</v>
      </c>
      <c r="B58" s="9" t="n">
        <f aca="false">IF(A58&gt;$B$6,"",SMALL(BTC_Data!$C$3:$C$1002,A58))</f>
        <v>-0.00282722770309729</v>
      </c>
      <c r="C58" s="21" t="n">
        <f aca="false">IF(B58="","",A58/$B$6)</f>
        <v>0.022</v>
      </c>
      <c r="D58" s="21" t="n">
        <f aca="false">IF(B58="","",NORMDIST(B58,$B$15,$B$16,TRUE()))</f>
        <v>0.0135083329958708</v>
      </c>
      <c r="E58" s="21" t="n">
        <f aca="false">IF(B58="","",IF(B58&gt;=$B$15,1-TDIST((B58-$B$15)/$B$18,$B$17,1),TDIST(($B$15-B58)/$B$18,$B$17,1)))</f>
        <v>0.0172944480652244</v>
      </c>
      <c r="F58" s="21" t="n">
        <f aca="false">IF(B58="","",IF(B58&lt;$B$19,0.5*EXP((B58-$B$19)/$B$20),1-0.5*EXP(-(B58-$B$19)/$B$20)))</f>
        <v>0.0226903330243815</v>
      </c>
      <c r="G58" s="21" t="n">
        <f aca="false">IF(B58="","",1/(1+EXP(-(B58-$B$15)/$B$21)))</f>
        <v>0.0177962206887796</v>
      </c>
      <c r="H58" s="21" t="n">
        <f aca="false">IF(B58="","",MAX(ABS($A58/$B$6-D58),ABS(($A58-1)/$B$6-D58)))</f>
        <v>0.00849166700412915</v>
      </c>
      <c r="I58" s="21" t="n">
        <f aca="false">IF(B58="","",MAX(ABS($A58/$B$6-E58),ABS(($A58-1)/$B$6-E58)))</f>
        <v>0.00470555193477561</v>
      </c>
      <c r="J58" s="21" t="n">
        <f aca="false">IF(B58="","",MAX(ABS($A58/$B$6-F58),ABS(($A58-1)/$B$6-F58)))</f>
        <v>0.00169033302438146</v>
      </c>
      <c r="K58" s="21" t="n">
        <f aca="false">IF(B58="","",MAX(ABS($A58/$B$6-G58),ABS(($A58-1)/$B$6-G58)))</f>
        <v>0.00420377931122039</v>
      </c>
    </row>
    <row r="59" customFormat="false" ht="15" hidden="false" customHeight="false" outlineLevel="0" collapsed="false">
      <c r="A59" s="11" t="n">
        <v>23</v>
      </c>
      <c r="B59" s="9" t="n">
        <f aca="false">IF(A59&gt;$B$6,"",SMALL(BTC_Data!$C$3:$C$1002,A59))</f>
        <v>-0.00278253416086793</v>
      </c>
      <c r="C59" s="21" t="n">
        <f aca="false">IF(B59="","",A59/$B$6)</f>
        <v>0.023</v>
      </c>
      <c r="D59" s="21" t="n">
        <f aca="false">IF(B59="","",NORMDIST(B59,$B$15,$B$16,TRUE()))</f>
        <v>0.0147710920009149</v>
      </c>
      <c r="E59" s="21" t="n">
        <f aca="false">IF(B59="","",IF(B59&gt;=$B$15,1-TDIST((B59-$B$15)/$B$18,$B$17,1),TDIST(($B$15-B59)/$B$18,$B$17,1)))</f>
        <v>0.0183726280211817</v>
      </c>
      <c r="F59" s="21" t="n">
        <f aca="false">IF(B59="","",IF(B59&lt;$B$19,0.5*EXP((B59-$B$19)/$B$20),1-0.5*EXP(-(B59-$B$19)/$B$20)))</f>
        <v>0.0238310925090808</v>
      </c>
      <c r="G59" s="21" t="n">
        <f aca="false">IF(B59="","",1/(1+EXP(-(B59-$B$15)/$B$21)))</f>
        <v>0.0189439555732275</v>
      </c>
      <c r="H59" s="21" t="n">
        <f aca="false">IF(B59="","",MAX(ABS($A59/$B$6-D59),ABS(($A59-1)/$B$6-D59)))</f>
        <v>0.00822890799908506</v>
      </c>
      <c r="I59" s="21" t="n">
        <f aca="false">IF(B59="","",MAX(ABS($A59/$B$6-E59),ABS(($A59-1)/$B$6-E59)))</f>
        <v>0.00462737197881831</v>
      </c>
      <c r="J59" s="21" t="n">
        <f aca="false">IF(B59="","",MAX(ABS($A59/$B$6-F59),ABS(($A59-1)/$B$6-F59)))</f>
        <v>0.00183109250908082</v>
      </c>
      <c r="K59" s="21" t="n">
        <f aca="false">IF(B59="","",MAX(ABS($A59/$B$6-G59),ABS(($A59-1)/$B$6-G59)))</f>
        <v>0.00405604442677249</v>
      </c>
    </row>
    <row r="60" customFormat="false" ht="15" hidden="false" customHeight="false" outlineLevel="0" collapsed="false">
      <c r="A60" s="11" t="n">
        <v>24</v>
      </c>
      <c r="B60" s="9" t="n">
        <f aca="false">IF(A60&gt;$B$6,"",SMALL(BTC_Data!$C$3:$C$1002,A60))</f>
        <v>-0.00277890596350994</v>
      </c>
      <c r="C60" s="21" t="n">
        <f aca="false">IF(B60="","",A60/$B$6)</f>
        <v>0.024</v>
      </c>
      <c r="D60" s="21" t="n">
        <f aca="false">IF(B60="","",NORMDIST(B60,$B$15,$B$16,TRUE()))</f>
        <v>0.0148779193951335</v>
      </c>
      <c r="E60" s="21" t="n">
        <f aca="false">IF(B60="","",IF(B60&gt;=$B$15,1-TDIST((B60-$B$15)/$B$18,$B$17,1),TDIST(($B$15-B60)/$B$18,$B$17,1)))</f>
        <v>0.0184631605949174</v>
      </c>
      <c r="F60" s="21" t="n">
        <f aca="false">IF(B60="","",IF(B60&lt;$B$19,0.5*EXP((B60-$B$19)/$B$20),1-0.5*EXP(-(B60-$B$19)/$B$20)))</f>
        <v>0.0239261777672299</v>
      </c>
      <c r="G60" s="21" t="n">
        <f aca="false">IF(B60="","",1/(1+EXP(-(B60-$B$15)/$B$21)))</f>
        <v>0.0190402524261078</v>
      </c>
      <c r="H60" s="21" t="n">
        <f aca="false">IF(B60="","",MAX(ABS($A60/$B$6-D60),ABS(($A60-1)/$B$6-D60)))</f>
        <v>0.00912208060486651</v>
      </c>
      <c r="I60" s="21" t="n">
        <f aca="false">IF(B60="","",MAX(ABS($A60/$B$6-E60),ABS(($A60-1)/$B$6-E60)))</f>
        <v>0.00553683940508262</v>
      </c>
      <c r="J60" s="21" t="n">
        <f aca="false">IF(B60="","",MAX(ABS($A60/$B$6-F60),ABS(($A60-1)/$B$6-F60)))</f>
        <v>0.000926177767229877</v>
      </c>
      <c r="K60" s="21" t="n">
        <f aca="false">IF(B60="","",MAX(ABS($A60/$B$6-G60),ABS(($A60-1)/$B$6-G60)))</f>
        <v>0.00495974757389215</v>
      </c>
    </row>
    <row r="61" customFormat="false" ht="15" hidden="false" customHeight="false" outlineLevel="0" collapsed="false">
      <c r="A61" s="11" t="n">
        <v>25</v>
      </c>
      <c r="B61" s="9" t="n">
        <f aca="false">IF(A61&gt;$B$6,"",SMALL(BTC_Data!$C$3:$C$1002,A61))</f>
        <v>-0.00276573216990728</v>
      </c>
      <c r="C61" s="21" t="n">
        <f aca="false">IF(B61="","",A61/$B$6)</f>
        <v>0.025</v>
      </c>
      <c r="D61" s="21" t="n">
        <f aca="false">IF(B61="","",NORMDIST(B61,$B$15,$B$16,TRUE()))</f>
        <v>0.0152714074283497</v>
      </c>
      <c r="E61" s="21" t="n">
        <f aca="false">IF(B61="","",IF(B61&gt;=$B$15,1-TDIST((B61-$B$15)/$B$18,$B$17,1),TDIST(($B$15-B61)/$B$18,$B$17,1)))</f>
        <v>0.0187957851268871</v>
      </c>
      <c r="F61" s="21" t="n">
        <f aca="false">IF(B61="","",IF(B61&lt;$B$19,0.5*EXP((B61-$B$19)/$B$20),1-0.5*EXP(-(B61-$B$19)/$B$20)))</f>
        <v>0.0242746281571155</v>
      </c>
      <c r="G61" s="21" t="n">
        <f aca="false">IF(B61="","",1/(1+EXP(-(B61-$B$15)/$B$21)))</f>
        <v>0.0193939533139693</v>
      </c>
      <c r="H61" s="21" t="n">
        <f aca="false">IF(B61="","",MAX(ABS($A61/$B$6-D61),ABS(($A61-1)/$B$6-D61)))</f>
        <v>0.00972859257165029</v>
      </c>
      <c r="I61" s="21" t="n">
        <f aca="false">IF(B61="","",MAX(ABS($A61/$B$6-E61),ABS(($A61-1)/$B$6-E61)))</f>
        <v>0.00620421487311288</v>
      </c>
      <c r="J61" s="21" t="n">
        <f aca="false">IF(B61="","",MAX(ABS($A61/$B$6-F61),ABS(($A61-1)/$B$6-F61)))</f>
        <v>0.000725371842884466</v>
      </c>
      <c r="K61" s="21" t="n">
        <f aca="false">IF(B61="","",MAX(ABS($A61/$B$6-G61),ABS(($A61-1)/$B$6-G61)))</f>
        <v>0.00560604668603075</v>
      </c>
    </row>
    <row r="62" customFormat="false" ht="15" hidden="false" customHeight="false" outlineLevel="0" collapsed="false">
      <c r="A62" s="11" t="n">
        <v>26</v>
      </c>
      <c r="B62" s="9" t="n">
        <f aca="false">IF(A62&gt;$B$6,"",SMALL(BTC_Data!$C$3:$C$1002,A62))</f>
        <v>-0.00270255452720181</v>
      </c>
      <c r="C62" s="21" t="n">
        <f aca="false">IF(B62="","",A62/$B$6)</f>
        <v>0.026</v>
      </c>
      <c r="D62" s="21" t="n">
        <f aca="false">IF(B62="","",NORMDIST(B62,$B$15,$B$16,TRUE()))</f>
        <v>0.0172850076849011</v>
      </c>
      <c r="E62" s="21" t="n">
        <f aca="false">IF(B62="","",IF(B62&gt;=$B$15,1-TDIST((B62-$B$15)/$B$18,$B$17,1),TDIST(($B$15-B62)/$B$18,$B$17,1)))</f>
        <v>0.0204793037947524</v>
      </c>
      <c r="F62" s="21" t="n">
        <f aca="false">IF(B62="","",IF(B62&lt;$B$19,0.5*EXP((B62-$B$19)/$B$20),1-0.5*EXP(-(B62-$B$19)/$B$20)))</f>
        <v>0.0260175307170829</v>
      </c>
      <c r="G62" s="21" t="n">
        <f aca="false">IF(B62="","",1/(1+EXP(-(B62-$B$15)/$B$21)))</f>
        <v>0.0211816674653842</v>
      </c>
      <c r="H62" s="21" t="n">
        <f aca="false">IF(B62="","",MAX(ABS($A62/$B$6-D62),ABS(($A62-1)/$B$6-D62)))</f>
        <v>0.00871499231509893</v>
      </c>
      <c r="I62" s="21" t="n">
        <f aca="false">IF(B62="","",MAX(ABS($A62/$B$6-E62),ABS(($A62-1)/$B$6-E62)))</f>
        <v>0.00552069620524756</v>
      </c>
      <c r="J62" s="21" t="n">
        <f aca="false">IF(B62="","",MAX(ABS($A62/$B$6-F62),ABS(($A62-1)/$B$6-F62)))</f>
        <v>0.00101753071708294</v>
      </c>
      <c r="K62" s="21" t="n">
        <f aca="false">IF(B62="","",MAX(ABS($A62/$B$6-G62),ABS(($A62-1)/$B$6-G62)))</f>
        <v>0.00481833253461583</v>
      </c>
    </row>
    <row r="63" customFormat="false" ht="15" hidden="false" customHeight="false" outlineLevel="0" collapsed="false">
      <c r="A63" s="11" t="n">
        <v>27</v>
      </c>
      <c r="B63" s="9" t="n">
        <f aca="false">IF(A63&gt;$B$6,"",SMALL(BTC_Data!$C$3:$C$1002,A63))</f>
        <v>-0.00270123773010234</v>
      </c>
      <c r="C63" s="21" t="n">
        <f aca="false">IF(B63="","",A63/$B$6)</f>
        <v>0.027</v>
      </c>
      <c r="D63" s="21" t="n">
        <f aca="false">IF(B63="","",NORMDIST(B63,$B$15,$B$16,TRUE()))</f>
        <v>0.017329281676884</v>
      </c>
      <c r="E63" s="21" t="n">
        <f aca="false">IF(B63="","",IF(B63&gt;=$B$15,1-TDIST((B63-$B$15)/$B$18,$B$17,1),TDIST(($B$15-B63)/$B$18,$B$17,1)))</f>
        <v>0.0205160052714287</v>
      </c>
      <c r="F63" s="21" t="n">
        <f aca="false">IF(B63="","",IF(B63&lt;$B$19,0.5*EXP((B63-$B$19)/$B$20),1-0.5*EXP(-(B63-$B$19)/$B$20)))</f>
        <v>0.0260551588059192</v>
      </c>
      <c r="G63" s="21" t="n">
        <f aca="false">IF(B63="","",1/(1+EXP(-(B63-$B$15)/$B$21)))</f>
        <v>0.0212205941797067</v>
      </c>
      <c r="H63" s="21" t="n">
        <f aca="false">IF(B63="","",MAX(ABS($A63/$B$6-D63),ABS(($A63-1)/$B$6-D63)))</f>
        <v>0.00967071832311599</v>
      </c>
      <c r="I63" s="21" t="n">
        <f aca="false">IF(B63="","",MAX(ABS($A63/$B$6-E63),ABS(($A63-1)/$B$6-E63)))</f>
        <v>0.00648399472857129</v>
      </c>
      <c r="J63" s="21" t="n">
        <f aca="false">IF(B63="","",MAX(ABS($A63/$B$6-F63),ABS(($A63-1)/$B$6-F63)))</f>
        <v>0.000944841194080781</v>
      </c>
      <c r="K63" s="21" t="n">
        <f aca="false">IF(B63="","",MAX(ABS($A63/$B$6-G63),ABS(($A63-1)/$B$6-G63)))</f>
        <v>0.00577940582029331</v>
      </c>
    </row>
    <row r="64" customFormat="false" ht="15" hidden="false" customHeight="false" outlineLevel="0" collapsed="false">
      <c r="A64" s="11" t="n">
        <v>28</v>
      </c>
      <c r="B64" s="9" t="n">
        <f aca="false">IF(A64&gt;$B$6,"",SMALL(BTC_Data!$C$3:$C$1002,A64))</f>
        <v>-0.00256259890404198</v>
      </c>
      <c r="C64" s="21" t="n">
        <f aca="false">IF(B64="","",A64/$B$6)</f>
        <v>0.028</v>
      </c>
      <c r="D64" s="21" t="n">
        <f aca="false">IF(B64="","",NORMDIST(B64,$B$15,$B$16,TRUE()))</f>
        <v>0.0225650835754994</v>
      </c>
      <c r="E64" s="21" t="n">
        <f aca="false">IF(B64="","",IF(B64&gt;=$B$15,1-TDIST((B64-$B$15)/$B$18,$B$17,1),TDIST(($B$15-B64)/$B$18,$B$17,1)))</f>
        <v>0.0247848314316302</v>
      </c>
      <c r="F64" s="21" t="n">
        <f aca="false">IF(B64="","",IF(B64&lt;$B$19,0.5*EXP((B64-$B$19)/$B$20),1-0.5*EXP(-(B64-$B$19)/$B$20)))</f>
        <v>0.0303372093204678</v>
      </c>
      <c r="G64" s="21" t="n">
        <f aca="false">IF(B64="","",1/(1+EXP(-(B64-$B$15)/$B$21)))</f>
        <v>0.0257348659872156</v>
      </c>
      <c r="H64" s="21" t="n">
        <f aca="false">IF(B64="","",MAX(ABS($A64/$B$6-D64),ABS(($A64-1)/$B$6-D64)))</f>
        <v>0.00543491642450061</v>
      </c>
      <c r="I64" s="21" t="n">
        <f aca="false">IF(B64="","",MAX(ABS($A64/$B$6-E64),ABS(($A64-1)/$B$6-E64)))</f>
        <v>0.00321516856836984</v>
      </c>
      <c r="J64" s="21" t="n">
        <f aca="false">IF(B64="","",MAX(ABS($A64/$B$6-F64),ABS(($A64-1)/$B$6-F64)))</f>
        <v>0.00333720932046776</v>
      </c>
      <c r="K64" s="21" t="n">
        <f aca="false">IF(B64="","",MAX(ABS($A64/$B$6-G64),ABS(($A64-1)/$B$6-G64)))</f>
        <v>0.00226513401278441</v>
      </c>
    </row>
    <row r="65" customFormat="false" ht="15" hidden="false" customHeight="false" outlineLevel="0" collapsed="false">
      <c r="A65" s="11" t="n">
        <v>29</v>
      </c>
      <c r="B65" s="9" t="n">
        <f aca="false">IF(A65&gt;$B$6,"",SMALL(BTC_Data!$C$3:$C$1002,A65))</f>
        <v>-0.00254392416473803</v>
      </c>
      <c r="C65" s="21" t="n">
        <f aca="false">IF(B65="","",A65/$B$6)</f>
        <v>0.029</v>
      </c>
      <c r="D65" s="21" t="n">
        <f aca="false">IF(B65="","",NORMDIST(B65,$B$15,$B$16,TRUE()))</f>
        <v>0.0233631771262998</v>
      </c>
      <c r="E65" s="21" t="n">
        <f aca="false">IF(B65="","",IF(B65&gt;=$B$15,1-TDIST((B65-$B$15)/$B$18,$B$17,1),TDIST(($B$15-B65)/$B$18,$B$17,1)))</f>
        <v>0.0254257239437028</v>
      </c>
      <c r="F65" s="21" t="n">
        <f aca="false">IF(B65="","",IF(B65&lt;$B$19,0.5*EXP((B65-$B$19)/$B$20),1-0.5*EXP(-(B65-$B$19)/$B$20)))</f>
        <v>0.0309654148814451</v>
      </c>
      <c r="G65" s="21" t="n">
        <f aca="false">IF(B65="","",1/(1+EXP(-(B65-$B$15)/$B$21)))</f>
        <v>0.0264103553381587</v>
      </c>
      <c r="H65" s="21" t="n">
        <f aca="false">IF(B65="","",MAX(ABS($A65/$B$6-D65),ABS(($A65-1)/$B$6-D65)))</f>
        <v>0.00563682287370016</v>
      </c>
      <c r="I65" s="21" t="n">
        <f aca="false">IF(B65="","",MAX(ABS($A65/$B$6-E65),ABS(($A65-1)/$B$6-E65)))</f>
        <v>0.00357427605629723</v>
      </c>
      <c r="J65" s="21" t="n">
        <f aca="false">IF(B65="","",MAX(ABS($A65/$B$6-F65),ABS(($A65-1)/$B$6-F65)))</f>
        <v>0.00296541488144511</v>
      </c>
      <c r="K65" s="21" t="n">
        <f aca="false">IF(B65="","",MAX(ABS($A65/$B$6-G65),ABS(($A65-1)/$B$6-G65)))</f>
        <v>0.00258964466184129</v>
      </c>
    </row>
    <row r="66" customFormat="false" ht="15" hidden="false" customHeight="false" outlineLevel="0" collapsed="false">
      <c r="A66" s="11" t="n">
        <v>30</v>
      </c>
      <c r="B66" s="9" t="n">
        <f aca="false">IF(A66&gt;$B$6,"",SMALL(BTC_Data!$C$3:$C$1002,A66))</f>
        <v>-0.00253703597225963</v>
      </c>
      <c r="C66" s="21" t="n">
        <f aca="false">IF(B66="","",A66/$B$6)</f>
        <v>0.03</v>
      </c>
      <c r="D66" s="21" t="n">
        <f aca="false">IF(B66="","",NORMDIST(B66,$B$15,$B$16,TRUE()))</f>
        <v>0.0236634906725063</v>
      </c>
      <c r="E66" s="21" t="n">
        <f aca="false">IF(B66="","",IF(B66&gt;=$B$15,1-TDIST((B66-$B$15)/$B$18,$B$17,1),TDIST(($B$15-B66)/$B$18,$B$17,1)))</f>
        <v>0.0256663663726895</v>
      </c>
      <c r="F66" s="21" t="n">
        <f aca="false">IF(B66="","",IF(B66&lt;$B$19,0.5*EXP((B66-$B$19)/$B$20),1-0.5*EXP(-(B66-$B$19)/$B$20)))</f>
        <v>0.0312003988283602</v>
      </c>
      <c r="G66" s="21" t="n">
        <f aca="false">IF(B66="","",1/(1+EXP(-(B66-$B$15)/$B$21)))</f>
        <v>0.0266638398379718</v>
      </c>
      <c r="H66" s="21" t="n">
        <f aca="false">IF(B66="","",MAX(ABS($A66/$B$6-D66),ABS(($A66-1)/$B$6-D66)))</f>
        <v>0.00633650932749374</v>
      </c>
      <c r="I66" s="21" t="n">
        <f aca="false">IF(B66="","",MAX(ABS($A66/$B$6-E66),ABS(($A66-1)/$B$6-E66)))</f>
        <v>0.00433363362731052</v>
      </c>
      <c r="J66" s="21" t="n">
        <f aca="false">IF(B66="","",MAX(ABS($A66/$B$6-F66),ABS(($A66-1)/$B$6-F66)))</f>
        <v>0.00220039882836022</v>
      </c>
      <c r="K66" s="21" t="n">
        <f aca="false">IF(B66="","",MAX(ABS($A66/$B$6-G66),ABS(($A66-1)/$B$6-G66)))</f>
        <v>0.00333616016202824</v>
      </c>
    </row>
    <row r="67" customFormat="false" ht="15" hidden="false" customHeight="false" outlineLevel="0" collapsed="false">
      <c r="A67" s="11" t="n">
        <v>31</v>
      </c>
      <c r="B67" s="9" t="n">
        <f aca="false">IF(A67&gt;$B$6,"",SMALL(BTC_Data!$C$3:$C$1002,A67))</f>
        <v>-0.00253043455567015</v>
      </c>
      <c r="C67" s="21" t="n">
        <f aca="false">IF(B67="","",A67/$B$6)</f>
        <v>0.031</v>
      </c>
      <c r="D67" s="21" t="n">
        <f aca="false">IF(B67="","",NORMDIST(B67,$B$15,$B$16,TRUE()))</f>
        <v>0.0239543410970168</v>
      </c>
      <c r="E67" s="21" t="n">
        <f aca="false">IF(B67="","",IF(B67&gt;=$B$15,1-TDIST((B67-$B$15)/$B$18,$B$17,1),TDIST(($B$15-B67)/$B$18,$B$17,1)))</f>
        <v>0.0258991701196902</v>
      </c>
      <c r="F67" s="21" t="n">
        <f aca="false">IF(B67="","",IF(B67&lt;$B$19,0.5*EXP((B67-$B$19)/$B$20),1-0.5*EXP(-(B67-$B$19)/$B$20)))</f>
        <v>0.0314272729038862</v>
      </c>
      <c r="G67" s="21" t="n">
        <f aca="false">IF(B67="","",1/(1+EXP(-(B67-$B$15)/$B$21)))</f>
        <v>0.0269089907262943</v>
      </c>
      <c r="H67" s="21" t="n">
        <f aca="false">IF(B67="","",MAX(ABS($A67/$B$6-D67),ABS(($A67-1)/$B$6-D67)))</f>
        <v>0.00704565890298325</v>
      </c>
      <c r="I67" s="21" t="n">
        <f aca="false">IF(B67="","",MAX(ABS($A67/$B$6-E67),ABS(($A67-1)/$B$6-E67)))</f>
        <v>0.00510082988030976</v>
      </c>
      <c r="J67" s="21" t="n">
        <f aca="false">IF(B67="","",MAX(ABS($A67/$B$6-F67),ABS(($A67-1)/$B$6-F67)))</f>
        <v>0.00142727290388617</v>
      </c>
      <c r="K67" s="21" t="n">
        <f aca="false">IF(B67="","",MAX(ABS($A67/$B$6-G67),ABS(($A67-1)/$B$6-G67)))</f>
        <v>0.00409100927370567</v>
      </c>
    </row>
    <row r="68" customFormat="false" ht="15" hidden="false" customHeight="false" outlineLevel="0" collapsed="false">
      <c r="A68" s="11" t="n">
        <v>32</v>
      </c>
      <c r="B68" s="9" t="n">
        <f aca="false">IF(A68&gt;$B$6,"",SMALL(BTC_Data!$C$3:$C$1002,A68))</f>
        <v>-0.00250786019524984</v>
      </c>
      <c r="C68" s="21" t="n">
        <f aca="false">IF(B68="","",A68/$B$6)</f>
        <v>0.032</v>
      </c>
      <c r="D68" s="21" t="n">
        <f aca="false">IF(B68="","",NORMDIST(B68,$B$15,$B$16,TRUE()))</f>
        <v>0.0249717379765</v>
      </c>
      <c r="E68" s="21" t="n">
        <f aca="false">IF(B68="","",IF(B68&gt;=$B$15,1-TDIST((B68-$B$15)/$B$18,$B$17,1),TDIST(($B$15-B68)/$B$18,$B$17,1)))</f>
        <v>0.0267116580482677</v>
      </c>
      <c r="F68" s="21" t="n">
        <f aca="false">IF(B68="","",IF(B68&lt;$B$19,0.5*EXP((B68-$B$19)/$B$20),1-0.5*EXP(-(B68-$B$19)/$B$20)))</f>
        <v>0.0322156366260528</v>
      </c>
      <c r="G68" s="21" t="n">
        <f aca="false">IF(B68="","",1/(1+EXP(-(B68-$B$15)/$B$21)))</f>
        <v>0.0277639843419242</v>
      </c>
      <c r="H68" s="21" t="n">
        <f aca="false">IF(B68="","",MAX(ABS($A68/$B$6-D68),ABS(($A68-1)/$B$6-D68)))</f>
        <v>0.00702826202350004</v>
      </c>
      <c r="I68" s="21" t="n">
        <f aca="false">IF(B68="","",MAX(ABS($A68/$B$6-E68),ABS(($A68-1)/$B$6-E68)))</f>
        <v>0.00528834195173228</v>
      </c>
      <c r="J68" s="21" t="n">
        <f aca="false">IF(B68="","",MAX(ABS($A68/$B$6-F68),ABS(($A68-1)/$B$6-F68)))</f>
        <v>0.00121563662605283</v>
      </c>
      <c r="K68" s="21" t="n">
        <f aca="false">IF(B68="","",MAX(ABS($A68/$B$6-G68),ABS(($A68-1)/$B$6-G68)))</f>
        <v>0.00423601565807577</v>
      </c>
    </row>
    <row r="69" customFormat="false" ht="15" hidden="false" customHeight="false" outlineLevel="0" collapsed="false">
      <c r="A69" s="11" t="n">
        <v>33</v>
      </c>
      <c r="B69" s="9" t="n">
        <f aca="false">IF(A69&gt;$B$6,"",SMALL(BTC_Data!$C$3:$C$1002,A69))</f>
        <v>-0.00249436157958771</v>
      </c>
      <c r="C69" s="21" t="n">
        <f aca="false">IF(B69="","",A69/$B$6)</f>
        <v>0.033</v>
      </c>
      <c r="D69" s="21" t="n">
        <f aca="false">IF(B69="","",NORMDIST(B69,$B$15,$B$16,TRUE()))</f>
        <v>0.0255972352009034</v>
      </c>
      <c r="E69" s="21" t="n">
        <f aca="false">IF(B69="","",IF(B69&gt;=$B$15,1-TDIST((B69-$B$15)/$B$18,$B$17,1),TDIST(($B$15-B69)/$B$18,$B$17,1)))</f>
        <v>0.027209844051427</v>
      </c>
      <c r="F69" s="21" t="n">
        <f aca="false">IF(B69="","",IF(B69&lt;$B$19,0.5*EXP((B69-$B$19)/$B$20),1-0.5*EXP(-(B69-$B$19)/$B$20)))</f>
        <v>0.0326964652644562</v>
      </c>
      <c r="G69" s="21" t="n">
        <f aca="false">IF(B69="","",1/(1+EXP(-(B69-$B$15)/$B$21)))</f>
        <v>0.0282877867709093</v>
      </c>
      <c r="H69" s="21" t="n">
        <f aca="false">IF(B69="","",MAX(ABS($A69/$B$6-D69),ABS(($A69-1)/$B$6-D69)))</f>
        <v>0.00740276479909656</v>
      </c>
      <c r="I69" s="21" t="n">
        <f aca="false">IF(B69="","",MAX(ABS($A69/$B$6-E69),ABS(($A69-1)/$B$6-E69)))</f>
        <v>0.00579015594857297</v>
      </c>
      <c r="J69" s="21" t="n">
        <f aca="false">IF(B69="","",MAX(ABS($A69/$B$6-F69),ABS(($A69-1)/$B$6-F69)))</f>
        <v>0.000696465264456173</v>
      </c>
      <c r="K69" s="21" t="n">
        <f aca="false">IF(B69="","",MAX(ABS($A69/$B$6-G69),ABS(($A69-1)/$B$6-G69)))</f>
        <v>0.00471221322909066</v>
      </c>
    </row>
    <row r="70" customFormat="false" ht="15" hidden="false" customHeight="false" outlineLevel="0" collapsed="false">
      <c r="A70" s="11" t="n">
        <v>34</v>
      </c>
      <c r="B70" s="9" t="n">
        <f aca="false">IF(A70&gt;$B$6,"",SMALL(BTC_Data!$C$3:$C$1002,A70))</f>
        <v>-0.00237191790952029</v>
      </c>
      <c r="C70" s="21" t="n">
        <f aca="false">IF(B70="","",A70/$B$6)</f>
        <v>0.034</v>
      </c>
      <c r="D70" s="21" t="n">
        <f aca="false">IF(B70="","",NORMDIST(B70,$B$15,$B$16,TRUE()))</f>
        <v>0.0318925060880644</v>
      </c>
      <c r="E70" s="21" t="n">
        <f aca="false">IF(B70="","",IF(B70&gt;=$B$15,1-TDIST((B70-$B$15)/$B$18,$B$17,1),TDIST(($B$15-B70)/$B$18,$B$17,1)))</f>
        <v>0.0321820717222515</v>
      </c>
      <c r="F70" s="21" t="n">
        <f aca="false">IF(B70="","",IF(B70&lt;$B$19,0.5*EXP((B70-$B$19)/$B$20),1-0.5*EXP(-(B70-$B$19)/$B$20)))</f>
        <v>0.0373992868888378</v>
      </c>
      <c r="G70" s="21" t="n">
        <f aca="false">IF(B70="","",1/(1+EXP(-(B70-$B$15)/$B$21)))</f>
        <v>0.0334978301986158</v>
      </c>
      <c r="H70" s="21" t="n">
        <f aca="false">IF(B70="","",MAX(ABS($A70/$B$6-D70),ABS(($A70-1)/$B$6-D70)))</f>
        <v>0.00210749391193557</v>
      </c>
      <c r="I70" s="21" t="n">
        <f aca="false">IF(B70="","",MAX(ABS($A70/$B$6-E70),ABS(($A70-1)/$B$6-E70)))</f>
        <v>0.00181792827774852</v>
      </c>
      <c r="J70" s="21" t="n">
        <f aca="false">IF(B70="","",MAX(ABS($A70/$B$6-F70),ABS(($A70-1)/$B$6-F70)))</f>
        <v>0.00439928688883778</v>
      </c>
      <c r="K70" s="21" t="n">
        <f aca="false">IF(B70="","",MAX(ABS($A70/$B$6-G70),ABS(($A70-1)/$B$6-G70)))</f>
        <v>0.000502169801384157</v>
      </c>
    </row>
    <row r="71" customFormat="false" ht="15" hidden="false" customHeight="false" outlineLevel="0" collapsed="false">
      <c r="A71" s="11" t="n">
        <v>35</v>
      </c>
      <c r="B71" s="9" t="n">
        <f aca="false">IF(A71&gt;$B$6,"",SMALL(BTC_Data!$C$3:$C$1002,A71))</f>
        <v>-0.00236649392356991</v>
      </c>
      <c r="C71" s="21" t="n">
        <f aca="false">IF(B71="","",A71/$B$6)</f>
        <v>0.035</v>
      </c>
      <c r="D71" s="21" t="n">
        <f aca="false">IF(B71="","",NORMDIST(B71,$B$15,$B$16,TRUE()))</f>
        <v>0.032198621157678</v>
      </c>
      <c r="E71" s="21" t="n">
        <f aca="false">IF(B71="","",IF(B71&gt;=$B$15,1-TDIST((B71-$B$15)/$B$18,$B$17,1),TDIST(($B$15-B71)/$B$18,$B$17,1)))</f>
        <v>0.0324224278290109</v>
      </c>
      <c r="F71" s="21" t="n">
        <f aca="false">IF(B71="","",IF(B71&lt;$B$19,0.5*EXP((B71-$B$19)/$B$20),1-0.5*EXP(-(B71-$B$19)/$B$20)))</f>
        <v>0.0376225867976196</v>
      </c>
      <c r="G71" s="21" t="n">
        <f aca="false">IF(B71="","",1/(1+EXP(-(B71-$B$15)/$B$21)))</f>
        <v>0.0337488920197639</v>
      </c>
      <c r="H71" s="21" t="n">
        <f aca="false">IF(B71="","",MAX(ABS($A71/$B$6-D71),ABS(($A71-1)/$B$6-D71)))</f>
        <v>0.00280137884232199</v>
      </c>
      <c r="I71" s="21" t="n">
        <f aca="false">IF(B71="","",MAX(ABS($A71/$B$6-E71),ABS(($A71-1)/$B$6-E71)))</f>
        <v>0.00257757217098911</v>
      </c>
      <c r="J71" s="21" t="n">
        <f aca="false">IF(B71="","",MAX(ABS($A71/$B$6-F71),ABS(($A71-1)/$B$6-F71)))</f>
        <v>0.00362258679761958</v>
      </c>
      <c r="K71" s="21" t="n">
        <f aca="false">IF(B71="","",MAX(ABS($A71/$B$6-G71),ABS(($A71-1)/$B$6-G71)))</f>
        <v>0.00125110798023606</v>
      </c>
    </row>
    <row r="72" customFormat="false" ht="15" hidden="false" customHeight="false" outlineLevel="0" collapsed="false">
      <c r="A72" s="11" t="n">
        <v>36</v>
      </c>
      <c r="B72" s="9" t="n">
        <f aca="false">IF(A72&gt;$B$6,"",SMALL(BTC_Data!$C$3:$C$1002,A72))</f>
        <v>-0.0023639273101298</v>
      </c>
      <c r="C72" s="21" t="n">
        <f aca="false">IF(B72="","",A72/$B$6)</f>
        <v>0.036</v>
      </c>
      <c r="D72" s="21" t="n">
        <f aca="false">IF(B72="","",NORMDIST(B72,$B$15,$B$16,TRUE()))</f>
        <v>0.0323443169760163</v>
      </c>
      <c r="E72" s="21" t="n">
        <f aca="false">IF(B72="","",IF(B72&gt;=$B$15,1-TDIST((B72-$B$15)/$B$18,$B$17,1),TDIST(($B$15-B72)/$B$18,$B$17,1)))</f>
        <v>0.0325367922589241</v>
      </c>
      <c r="F72" s="21" t="n">
        <f aca="false">IF(B72="","",IF(B72&lt;$B$19,0.5*EXP((B72-$B$19)/$B$20),1-0.5*EXP(-(B72-$B$19)/$B$20)))</f>
        <v>0.0377287158551064</v>
      </c>
      <c r="G72" s="21" t="n">
        <f aca="false">IF(B72="","",1/(1+EXP(-(B72-$B$15)/$B$21)))</f>
        <v>0.0338683257547227</v>
      </c>
      <c r="H72" s="21" t="n">
        <f aca="false">IF(B72="","",MAX(ABS($A72/$B$6-D72),ABS(($A72-1)/$B$6-D72)))</f>
        <v>0.00365568302398372</v>
      </c>
      <c r="I72" s="21" t="n">
        <f aca="false">IF(B72="","",MAX(ABS($A72/$B$6-E72),ABS(($A72-1)/$B$6-E72)))</f>
        <v>0.00346320774107592</v>
      </c>
      <c r="J72" s="21" t="n">
        <f aca="false">IF(B72="","",MAX(ABS($A72/$B$6-F72),ABS(($A72-1)/$B$6-F72)))</f>
        <v>0.00272871585510642</v>
      </c>
      <c r="K72" s="21" t="n">
        <f aca="false">IF(B72="","",MAX(ABS($A72/$B$6-G72),ABS(($A72-1)/$B$6-G72)))</f>
        <v>0.00213167424527733</v>
      </c>
    </row>
    <row r="73" customFormat="false" ht="15" hidden="false" customHeight="false" outlineLevel="0" collapsed="false">
      <c r="A73" s="11" t="n">
        <v>37</v>
      </c>
      <c r="B73" s="9" t="n">
        <f aca="false">IF(A73&gt;$B$6,"",SMALL(BTC_Data!$C$3:$C$1002,A73))</f>
        <v>-0.00234404050081205</v>
      </c>
      <c r="C73" s="21" t="n">
        <f aca="false">IF(B73="","",A73/$B$6)</f>
        <v>0.037</v>
      </c>
      <c r="D73" s="21" t="n">
        <f aca="false">IF(B73="","",NORMDIST(B73,$B$15,$B$16,TRUE()))</f>
        <v>0.0334917395700092</v>
      </c>
      <c r="E73" s="21" t="n">
        <f aca="false">IF(B73="","",IF(B73&gt;=$B$15,1-TDIST((B73-$B$15)/$B$18,$B$17,1),TDIST(($B$15-B73)/$B$18,$B$17,1)))</f>
        <v>0.033436772491057</v>
      </c>
      <c r="F73" s="21" t="n">
        <f aca="false">IF(B73="","",IF(B73&lt;$B$19,0.5*EXP((B73-$B$19)/$B$20),1-0.5*EXP(-(B73-$B$19)/$B$20)))</f>
        <v>0.0385612434124105</v>
      </c>
      <c r="G73" s="21" t="n">
        <f aca="false">IF(B73="","",1/(1+EXP(-(B73-$B$15)/$B$21)))</f>
        <v>0.0348076498534377</v>
      </c>
      <c r="H73" s="21" t="n">
        <f aca="false">IF(B73="","",MAX(ABS($A73/$B$6-D73),ABS(($A73-1)/$B$6-D73)))</f>
        <v>0.00350826042999076</v>
      </c>
      <c r="I73" s="21" t="n">
        <f aca="false">IF(B73="","",MAX(ABS($A73/$B$6-E73),ABS(($A73-1)/$B$6-E73)))</f>
        <v>0.00356322750894301</v>
      </c>
      <c r="J73" s="21" t="n">
        <f aca="false">IF(B73="","",MAX(ABS($A73/$B$6-F73),ABS(($A73-1)/$B$6-F73)))</f>
        <v>0.00256124341241053</v>
      </c>
      <c r="K73" s="21" t="n">
        <f aca="false">IF(B73="","",MAX(ABS($A73/$B$6-G73),ABS(($A73-1)/$B$6-G73)))</f>
        <v>0.00219235014656227</v>
      </c>
    </row>
    <row r="74" customFormat="false" ht="15" hidden="false" customHeight="false" outlineLevel="0" collapsed="false">
      <c r="A74" s="11" t="n">
        <v>38</v>
      </c>
      <c r="B74" s="9" t="n">
        <f aca="false">IF(A74&gt;$B$6,"",SMALL(BTC_Data!$C$3:$C$1002,A74))</f>
        <v>-0.00233334525492268</v>
      </c>
      <c r="C74" s="21" t="n">
        <f aca="false">IF(B74="","",A74/$B$6)</f>
        <v>0.038</v>
      </c>
      <c r="D74" s="21" t="n">
        <f aca="false">IF(B74="","",NORMDIST(B74,$B$15,$B$16,TRUE()))</f>
        <v>0.0341225587399675</v>
      </c>
      <c r="E74" s="21" t="n">
        <f aca="false">IF(B74="","",IF(B74&gt;=$B$15,1-TDIST((B74-$B$15)/$B$18,$B$17,1),TDIST(($B$15-B74)/$B$18,$B$17,1)))</f>
        <v>0.033931081813088</v>
      </c>
      <c r="F74" s="21" t="n">
        <f aca="false">IF(B74="","",IF(B74&lt;$B$19,0.5*EXP((B74-$B$19)/$B$20),1-0.5*EXP(-(B74-$B$19)/$B$20)))</f>
        <v>0.0390165527855594</v>
      </c>
      <c r="G74" s="21" t="n">
        <f aca="false">IF(B74="","",1/(1+EXP(-(B74-$B$15)/$B$21)))</f>
        <v>0.0353231591206501</v>
      </c>
      <c r="H74" s="21" t="n">
        <f aca="false">IF(B74="","",MAX(ABS($A74/$B$6-D74),ABS(($A74-1)/$B$6-D74)))</f>
        <v>0.0038774412600325</v>
      </c>
      <c r="I74" s="21" t="n">
        <f aca="false">IF(B74="","",MAX(ABS($A74/$B$6-E74),ABS(($A74-1)/$B$6-E74)))</f>
        <v>0.00406891818691198</v>
      </c>
      <c r="J74" s="21" t="n">
        <f aca="false">IF(B74="","",MAX(ABS($A74/$B$6-F74),ABS(($A74-1)/$B$6-F74)))</f>
        <v>0.00201655278555938</v>
      </c>
      <c r="K74" s="21" t="n">
        <f aca="false">IF(B74="","",MAX(ABS($A74/$B$6-G74),ABS(($A74-1)/$B$6-G74)))</f>
        <v>0.00267684087934991</v>
      </c>
    </row>
    <row r="75" customFormat="false" ht="15" hidden="false" customHeight="false" outlineLevel="0" collapsed="false">
      <c r="A75" s="11" t="n">
        <v>39</v>
      </c>
      <c r="B75" s="9" t="n">
        <f aca="false">IF(A75&gt;$B$6,"",SMALL(BTC_Data!$C$3:$C$1002,A75))</f>
        <v>-0.00226975291626363</v>
      </c>
      <c r="C75" s="21" t="n">
        <f aca="false">IF(B75="","",A75/$B$6)</f>
        <v>0.039</v>
      </c>
      <c r="D75" s="21" t="n">
        <f aca="false">IF(B75="","",NORMDIST(B75,$B$15,$B$16,TRUE()))</f>
        <v>0.0380779226958604</v>
      </c>
      <c r="E75" s="21" t="n">
        <f aca="false">IF(B75="","",IF(B75&gt;=$B$15,1-TDIST((B75-$B$15)/$B$18,$B$17,1),TDIST(($B$15-B75)/$B$18,$B$17,1)))</f>
        <v>0.0370250194386986</v>
      </c>
      <c r="F75" s="21" t="n">
        <f aca="false">IF(B75="","",IF(B75&lt;$B$19,0.5*EXP((B75-$B$19)/$B$20),1-0.5*EXP(-(B75-$B$19)/$B$20)))</f>
        <v>0.041836953231278</v>
      </c>
      <c r="G75" s="21" t="n">
        <f aca="false">IF(B75="","",1/(1+EXP(-(B75-$B$15)/$B$21)))</f>
        <v>0.0385434154559581</v>
      </c>
      <c r="H75" s="21" t="n">
        <f aca="false">IF(B75="","",MAX(ABS($A75/$B$6-D75),ABS(($A75-1)/$B$6-D75)))</f>
        <v>0.000922077304139561</v>
      </c>
      <c r="I75" s="21" t="n">
        <f aca="false">IF(B75="","",MAX(ABS($A75/$B$6-E75),ABS(($A75-1)/$B$6-E75)))</f>
        <v>0.00197498056130137</v>
      </c>
      <c r="J75" s="21" t="n">
        <f aca="false">IF(B75="","",MAX(ABS($A75/$B$6-F75),ABS(($A75-1)/$B$6-F75)))</f>
        <v>0.00383695323127799</v>
      </c>
      <c r="K75" s="21" t="n">
        <f aca="false">IF(B75="","",MAX(ABS($A75/$B$6-G75),ABS(($A75-1)/$B$6-G75)))</f>
        <v>0.000543415455958131</v>
      </c>
    </row>
    <row r="76" customFormat="false" ht="15" hidden="false" customHeight="false" outlineLevel="0" collapsed="false">
      <c r="A76" s="11" t="n">
        <v>40</v>
      </c>
      <c r="B76" s="9" t="n">
        <f aca="false">IF(A76&gt;$B$6,"",SMALL(BTC_Data!$C$3:$C$1002,A76))</f>
        <v>-0.0022520961614021</v>
      </c>
      <c r="C76" s="21" t="n">
        <f aca="false">IF(B76="","",A76/$B$6)</f>
        <v>0.04</v>
      </c>
      <c r="D76" s="21" t="n">
        <f aca="false">IF(B76="","",NORMDIST(B76,$B$15,$B$16,TRUE()))</f>
        <v>0.0392401688217928</v>
      </c>
      <c r="E76" s="21" t="n">
        <f aca="false">IF(B76="","",IF(B76&gt;=$B$15,1-TDIST((B76-$B$15)/$B$18,$B$17,1),TDIST(($B$15-B76)/$B$18,$B$17,1)))</f>
        <v>0.0379329707346505</v>
      </c>
      <c r="F76" s="21" t="n">
        <f aca="false">IF(B76="","",IF(B76&lt;$B$19,0.5*EXP((B76-$B$19)/$B$20),1-0.5*EXP(-(B76-$B$19)/$B$20)))</f>
        <v>0.0426556048434636</v>
      </c>
      <c r="G76" s="21" t="n">
        <f aca="false">IF(B76="","",1/(1+EXP(-(B76-$B$15)/$B$21)))</f>
        <v>0.0394864214142622</v>
      </c>
      <c r="H76" s="21" t="n">
        <f aca="false">IF(B76="","",MAX(ABS($A76/$B$6-D76),ABS(($A76-1)/$B$6-D76)))</f>
        <v>0.000759831178207202</v>
      </c>
      <c r="I76" s="21" t="n">
        <f aca="false">IF(B76="","",MAX(ABS($A76/$B$6-E76),ABS(($A76-1)/$B$6-E76)))</f>
        <v>0.00206702926534946</v>
      </c>
      <c r="J76" s="21" t="n">
        <f aca="false">IF(B76="","",MAX(ABS($A76/$B$6-F76),ABS(($A76-1)/$B$6-F76)))</f>
        <v>0.00365560484346356</v>
      </c>
      <c r="K76" s="21" t="n">
        <f aca="false">IF(B76="","",MAX(ABS($A76/$B$6-G76),ABS(($A76-1)/$B$6-G76)))</f>
        <v>0.000513578585737758</v>
      </c>
    </row>
    <row r="77" customFormat="false" ht="15" hidden="false" customHeight="false" outlineLevel="0" collapsed="false">
      <c r="A77" s="11" t="n">
        <v>41</v>
      </c>
      <c r="B77" s="9" t="n">
        <f aca="false">IF(A77&gt;$B$6,"",SMALL(BTC_Data!$C$3:$C$1002,A77))</f>
        <v>-0.0022491975940333</v>
      </c>
      <c r="C77" s="21" t="n">
        <f aca="false">IF(B77="","",A77/$B$6)</f>
        <v>0.041</v>
      </c>
      <c r="D77" s="21" t="n">
        <f aca="false">IF(B77="","",NORMDIST(B77,$B$15,$B$16,TRUE()))</f>
        <v>0.039433696016289</v>
      </c>
      <c r="E77" s="21" t="n">
        <f aca="false">IF(B77="","",IF(B77&gt;=$B$15,1-TDIST((B77-$B$15)/$B$18,$B$17,1),TDIST(($B$15-B77)/$B$18,$B$17,1)))</f>
        <v>0.0380841259434382</v>
      </c>
      <c r="F77" s="21" t="n">
        <f aca="false">IF(B77="","",IF(B77&lt;$B$19,0.5*EXP((B77-$B$19)/$B$20),1-0.5*EXP(-(B77-$B$19)/$B$20)))</f>
        <v>0.0427915187344492</v>
      </c>
      <c r="G77" s="21" t="n">
        <f aca="false">IF(B77="","",1/(1+EXP(-(B77-$B$15)/$B$21)))</f>
        <v>0.0396433265631365</v>
      </c>
      <c r="H77" s="21" t="n">
        <f aca="false">IF(B77="","",MAX(ABS($A77/$B$6-D77),ABS(($A77-1)/$B$6-D77)))</f>
        <v>0.00156630398371103</v>
      </c>
      <c r="I77" s="21" t="n">
        <f aca="false">IF(B77="","",MAX(ABS($A77/$B$6-E77),ABS(($A77-1)/$B$6-E77)))</f>
        <v>0.00291587405656177</v>
      </c>
      <c r="J77" s="21" t="n">
        <f aca="false">IF(B77="","",MAX(ABS($A77/$B$6-F77),ABS(($A77-1)/$B$6-F77)))</f>
        <v>0.00279151873444915</v>
      </c>
      <c r="K77" s="21" t="n">
        <f aca="false">IF(B77="","",MAX(ABS($A77/$B$6-G77),ABS(($A77-1)/$B$6-G77)))</f>
        <v>0.0013566734368635</v>
      </c>
    </row>
    <row r="78" customFormat="false" ht="15" hidden="false" customHeight="false" outlineLevel="0" collapsed="false">
      <c r="A78" s="11" t="n">
        <v>42</v>
      </c>
      <c r="B78" s="9" t="n">
        <f aca="false">IF(A78&gt;$B$6,"",SMALL(BTC_Data!$C$3:$C$1002,A78))</f>
        <v>-0.00223755124262626</v>
      </c>
      <c r="C78" s="21" t="n">
        <f aca="false">IF(B78="","",A78/$B$6)</f>
        <v>0.042</v>
      </c>
      <c r="D78" s="21" t="n">
        <f aca="false">IF(B78="","",NORMDIST(B78,$B$15,$B$16,TRUE()))</f>
        <v>0.0402191238395029</v>
      </c>
      <c r="E78" s="21" t="n">
        <f aca="false">IF(B78="","",IF(B78&gt;=$B$15,1-TDIST((B78-$B$15)/$B$18,$B$17,1),TDIST(($B$15-B78)/$B$18,$B$17,1)))</f>
        <v>0.03869752653472</v>
      </c>
      <c r="F78" s="21" t="n">
        <f aca="false">IF(B78="","",IF(B78&lt;$B$19,0.5*EXP((B78-$B$19)/$B$20),1-0.5*EXP(-(B78-$B$19)/$B$20)))</f>
        <v>0.0433419961588031</v>
      </c>
      <c r="G78" s="21" t="n">
        <f aca="false">IF(B78="","",1/(1+EXP(-(B78-$B$15)/$B$21)))</f>
        <v>0.0402798124103162</v>
      </c>
      <c r="H78" s="21" t="n">
        <f aca="false">IF(B78="","",MAX(ABS($A78/$B$6-D78),ABS(($A78-1)/$B$6-D78)))</f>
        <v>0.00178087616049714</v>
      </c>
      <c r="I78" s="21" t="n">
        <f aca="false">IF(B78="","",MAX(ABS($A78/$B$6-E78),ABS(($A78-1)/$B$6-E78)))</f>
        <v>0.00330247346528003</v>
      </c>
      <c r="J78" s="21" t="n">
        <f aca="false">IF(B78="","",MAX(ABS($A78/$B$6-F78),ABS(($A78-1)/$B$6-F78)))</f>
        <v>0.00234199615880309</v>
      </c>
      <c r="K78" s="21" t="n">
        <f aca="false">IF(B78="","",MAX(ABS($A78/$B$6-G78),ABS(($A78-1)/$B$6-G78)))</f>
        <v>0.00172018758968386</v>
      </c>
    </row>
    <row r="79" customFormat="false" ht="15" hidden="false" customHeight="false" outlineLevel="0" collapsed="false">
      <c r="A79" s="11" t="n">
        <v>43</v>
      </c>
      <c r="B79" s="9" t="n">
        <f aca="false">IF(A79&gt;$B$6,"",SMALL(BTC_Data!$C$3:$C$1002,A79))</f>
        <v>-0.00222176181636602</v>
      </c>
      <c r="C79" s="21" t="n">
        <f aca="false">IF(B79="","",A79/$B$6)</f>
        <v>0.043</v>
      </c>
      <c r="D79" s="21" t="n">
        <f aca="false">IF(B79="","",NORMDIST(B79,$B$15,$B$16,TRUE()))</f>
        <v>0.0413042023367466</v>
      </c>
      <c r="E79" s="21" t="n">
        <f aca="false">IF(B79="","",IF(B79&gt;=$B$15,1-TDIST((B79-$B$15)/$B$18,$B$17,1),TDIST(($B$15-B79)/$B$18,$B$17,1)))</f>
        <v>0.0395448437294259</v>
      </c>
      <c r="F79" s="21" t="n">
        <f aca="false">IF(B79="","",IF(B79&lt;$B$19,0.5*EXP((B79-$B$19)/$B$20),1-0.5*EXP(-(B79-$B$19)/$B$20)))</f>
        <v>0.0440996259658113</v>
      </c>
      <c r="G79" s="21" t="n">
        <f aca="false">IF(B79="","",1/(1+EXP(-(B79-$B$15)/$B$21)))</f>
        <v>0.041158370714777</v>
      </c>
      <c r="H79" s="21" t="n">
        <f aca="false">IF(B79="","",MAX(ABS($A79/$B$6-D79),ABS(($A79-1)/$B$6-D79)))</f>
        <v>0.00169579766325342</v>
      </c>
      <c r="I79" s="21" t="n">
        <f aca="false">IF(B79="","",MAX(ABS($A79/$B$6-E79),ABS(($A79-1)/$B$6-E79)))</f>
        <v>0.00345515627057411</v>
      </c>
      <c r="J79" s="21" t="n">
        <f aca="false">IF(B79="","",MAX(ABS($A79/$B$6-F79),ABS(($A79-1)/$B$6-F79)))</f>
        <v>0.0020996259658113</v>
      </c>
      <c r="K79" s="21" t="n">
        <f aca="false">IF(B79="","",MAX(ABS($A79/$B$6-G79),ABS(($A79-1)/$B$6-G79)))</f>
        <v>0.00184162928522299</v>
      </c>
    </row>
    <row r="80" customFormat="false" ht="15" hidden="false" customHeight="false" outlineLevel="0" collapsed="false">
      <c r="A80" s="11" t="n">
        <v>44</v>
      </c>
      <c r="B80" s="9" t="n">
        <f aca="false">IF(A80&gt;$B$6,"",SMALL(BTC_Data!$C$3:$C$1002,A80))</f>
        <v>-0.00219817688880519</v>
      </c>
      <c r="C80" s="21" t="n">
        <f aca="false">IF(B80="","",A80/$B$6)</f>
        <v>0.044</v>
      </c>
      <c r="D80" s="21" t="n">
        <f aca="false">IF(B80="","",NORMDIST(B80,$B$15,$B$16,TRUE()))</f>
        <v>0.0429690768411557</v>
      </c>
      <c r="E80" s="21" t="n">
        <f aca="false">IF(B80="","",IF(B80&gt;=$B$15,1-TDIST((B80-$B$15)/$B$18,$B$17,1),TDIST(($B$15-B80)/$B$18,$B$17,1)))</f>
        <v>0.04084488784776</v>
      </c>
      <c r="F80" s="21" t="n">
        <f aca="false">IF(B80="","",IF(B80&lt;$B$19,0.5*EXP((B80-$B$19)/$B$20),1-0.5*EXP(-(B80-$B$19)/$B$20)))</f>
        <v>0.0452560464917103</v>
      </c>
      <c r="G80" s="21" t="n">
        <f aca="false">IF(B80="","",1/(1+EXP(-(B80-$B$15)/$B$21)))</f>
        <v>0.0425049188841464</v>
      </c>
      <c r="H80" s="21" t="n">
        <f aca="false">IF(B80="","",MAX(ABS($A80/$B$6-D80),ABS(($A80-1)/$B$6-D80)))</f>
        <v>0.00103092315884435</v>
      </c>
      <c r="I80" s="21" t="n">
        <f aca="false">IF(B80="","",MAX(ABS($A80/$B$6-E80),ABS(($A80-1)/$B$6-E80)))</f>
        <v>0.00315511215223997</v>
      </c>
      <c r="J80" s="21" t="n">
        <f aca="false">IF(B80="","",MAX(ABS($A80/$B$6-F80),ABS(($A80-1)/$B$6-F80)))</f>
        <v>0.00225604649171034</v>
      </c>
      <c r="K80" s="21" t="n">
        <f aca="false">IF(B80="","",MAX(ABS($A80/$B$6-G80),ABS(($A80-1)/$B$6-G80)))</f>
        <v>0.00149508111585359</v>
      </c>
    </row>
    <row r="81" customFormat="false" ht="15" hidden="false" customHeight="false" outlineLevel="0" collapsed="false">
      <c r="A81" s="11" t="n">
        <v>45</v>
      </c>
      <c r="B81" s="9" t="n">
        <f aca="false">IF(A81&gt;$B$6,"",SMALL(BTC_Data!$C$3:$C$1002,A81))</f>
        <v>-0.00219140063011414</v>
      </c>
      <c r="C81" s="21" t="n">
        <f aca="false">IF(B81="","",A81/$B$6)</f>
        <v>0.045</v>
      </c>
      <c r="D81" s="21" t="n">
        <f aca="false">IF(B81="","",NORMDIST(B81,$B$15,$B$16,TRUE()))</f>
        <v>0.0434573180947875</v>
      </c>
      <c r="E81" s="21" t="n">
        <f aca="false">IF(B81="","",IF(B81&gt;=$B$15,1-TDIST((B81-$B$15)/$B$18,$B$17,1),TDIST(($B$15-B81)/$B$18,$B$17,1)))</f>
        <v>0.0412261741947589</v>
      </c>
      <c r="F81" s="21" t="n">
        <f aca="false">IF(B81="","",IF(B81&lt;$B$19,0.5*EXP((B81-$B$19)/$B$20),1-0.5*EXP(-(B81-$B$19)/$B$20)))</f>
        <v>0.0455938746893285</v>
      </c>
      <c r="G81" s="21" t="n">
        <f aca="false">IF(B81="","",1/(1+EXP(-(B81-$B$15)/$B$21)))</f>
        <v>0.0428995224922051</v>
      </c>
      <c r="H81" s="21" t="n">
        <f aca="false">IF(B81="","",MAX(ABS($A81/$B$6-D81),ABS(($A81-1)/$B$6-D81)))</f>
        <v>0.00154268190521246</v>
      </c>
      <c r="I81" s="21" t="n">
        <f aca="false">IF(B81="","",MAX(ABS($A81/$B$6-E81),ABS(($A81-1)/$B$6-E81)))</f>
        <v>0.00377382580524113</v>
      </c>
      <c r="J81" s="21" t="n">
        <f aca="false">IF(B81="","",MAX(ABS($A81/$B$6-F81),ABS(($A81-1)/$B$6-F81)))</f>
        <v>0.00159387468932851</v>
      </c>
      <c r="K81" s="21" t="n">
        <f aca="false">IF(B81="","",MAX(ABS($A81/$B$6-G81),ABS(($A81-1)/$B$6-G81)))</f>
        <v>0.00210047750779491</v>
      </c>
    </row>
    <row r="82" customFormat="false" ht="15" hidden="false" customHeight="false" outlineLevel="0" collapsed="false">
      <c r="A82" s="11" t="n">
        <v>46</v>
      </c>
      <c r="B82" s="9" t="n">
        <f aca="false">IF(A82&gt;$B$6,"",SMALL(BTC_Data!$C$3:$C$1002,A82))</f>
        <v>-0.00217419877801539</v>
      </c>
      <c r="C82" s="21" t="n">
        <f aca="false">IF(B82="","",A82/$B$6)</f>
        <v>0.046</v>
      </c>
      <c r="D82" s="21" t="n">
        <f aca="false">IF(B82="","",NORMDIST(B82,$B$15,$B$16,TRUE()))</f>
        <v>0.0447168734078416</v>
      </c>
      <c r="E82" s="21" t="n">
        <f aca="false">IF(B82="","",IF(B82&gt;=$B$15,1-TDIST((B82-$B$15)/$B$18,$B$17,1),TDIST(($B$15-B82)/$B$18,$B$17,1)))</f>
        <v>0.0422099670728124</v>
      </c>
      <c r="F82" s="21" t="n">
        <f aca="false">IF(B82="","",IF(B82&lt;$B$19,0.5*EXP((B82-$B$19)/$B$20),1-0.5*EXP(-(B82-$B$19)/$B$20)))</f>
        <v>0.0464628373896458</v>
      </c>
      <c r="G82" s="21" t="n">
        <f aca="false">IF(B82="","",1/(1+EXP(-(B82-$B$15)/$B$21)))</f>
        <v>0.0439170163591931</v>
      </c>
      <c r="H82" s="21" t="n">
        <f aca="false">IF(B82="","",MAX(ABS($A82/$B$6-D82),ABS(($A82-1)/$B$6-D82)))</f>
        <v>0.0012831265921584</v>
      </c>
      <c r="I82" s="21" t="n">
        <f aca="false">IF(B82="","",MAX(ABS($A82/$B$6-E82),ABS(($A82-1)/$B$6-E82)))</f>
        <v>0.00379003292718764</v>
      </c>
      <c r="J82" s="21" t="n">
        <f aca="false">IF(B82="","",MAX(ABS($A82/$B$6-F82),ABS(($A82-1)/$B$6-F82)))</f>
        <v>0.00146283738964583</v>
      </c>
      <c r="K82" s="21" t="n">
        <f aca="false">IF(B82="","",MAX(ABS($A82/$B$6-G82),ABS(($A82-1)/$B$6-G82)))</f>
        <v>0.0020829836408069</v>
      </c>
    </row>
    <row r="83" customFormat="false" ht="15" hidden="false" customHeight="false" outlineLevel="0" collapsed="false">
      <c r="A83" s="11" t="n">
        <v>47</v>
      </c>
      <c r="B83" s="9" t="n">
        <f aca="false">IF(A83&gt;$B$6,"",SMALL(BTC_Data!$C$3:$C$1002,A83))</f>
        <v>-0.00216893710230925</v>
      </c>
      <c r="C83" s="21" t="n">
        <f aca="false">IF(B83="","",A83/$B$6)</f>
        <v>0.047</v>
      </c>
      <c r="D83" s="21" t="n">
        <f aca="false">IF(B83="","",NORMDIST(B83,$B$15,$B$16,TRUE()))</f>
        <v>0.0451079627904827</v>
      </c>
      <c r="E83" s="21" t="n">
        <f aca="false">IF(B83="","",IF(B83&gt;=$B$15,1-TDIST((B83-$B$15)/$B$18,$B$17,1),TDIST(($B$15-B83)/$B$18,$B$17,1)))</f>
        <v>0.0425154935110213</v>
      </c>
      <c r="F83" s="21" t="n">
        <f aca="false">IF(B83="","",IF(B83&lt;$B$19,0.5*EXP((B83-$B$19)/$B$20),1-0.5*EXP(-(B83-$B$19)/$B$20)))</f>
        <v>0.046731927510363</v>
      </c>
      <c r="G83" s="21" t="n">
        <f aca="false">IF(B83="","",1/(1+EXP(-(B83-$B$15)/$B$21)))</f>
        <v>0.0442328178560179</v>
      </c>
      <c r="H83" s="21" t="n">
        <f aca="false">IF(B83="","",MAX(ABS($A83/$B$6-D83),ABS(($A83-1)/$B$6-D83)))</f>
        <v>0.00189203720951733</v>
      </c>
      <c r="I83" s="21" t="n">
        <f aca="false">IF(B83="","",MAX(ABS($A83/$B$6-E83),ABS(($A83-1)/$B$6-E83)))</f>
        <v>0.0044845064889787</v>
      </c>
      <c r="J83" s="21" t="n">
        <f aca="false">IF(B83="","",MAX(ABS($A83/$B$6-F83),ABS(($A83-1)/$B$6-F83)))</f>
        <v>0.000731927510363037</v>
      </c>
      <c r="K83" s="21" t="n">
        <f aca="false">IF(B83="","",MAX(ABS($A83/$B$6-G83),ABS(($A83-1)/$B$6-G83)))</f>
        <v>0.0027671821439821</v>
      </c>
    </row>
    <row r="84" customFormat="false" ht="15" hidden="false" customHeight="false" outlineLevel="0" collapsed="false">
      <c r="A84" s="11" t="n">
        <v>48</v>
      </c>
      <c r="B84" s="9" t="n">
        <f aca="false">IF(A84&gt;$B$6,"",SMALL(BTC_Data!$C$3:$C$1002,A84))</f>
        <v>-0.00216369409353911</v>
      </c>
      <c r="C84" s="21" t="n">
        <f aca="false">IF(B84="","",A84/$B$6)</f>
        <v>0.048</v>
      </c>
      <c r="D84" s="21" t="n">
        <f aca="false">IF(B84="","",NORMDIST(B84,$B$15,$B$16,TRUE()))</f>
        <v>0.0455003978968166</v>
      </c>
      <c r="E84" s="21" t="n">
        <f aca="false">IF(B84="","",IF(B84&gt;=$B$15,1-TDIST((B84-$B$15)/$B$18,$B$17,1),TDIST(($B$15-B84)/$B$18,$B$17,1)))</f>
        <v>0.0428221065035804</v>
      </c>
      <c r="F84" s="21" t="n">
        <f aca="false">IF(B84="","",IF(B84&lt;$B$19,0.5*EXP((B84-$B$19)/$B$20),1-0.5*EXP(-(B84-$B$19)/$B$20)))</f>
        <v>0.0470016131202558</v>
      </c>
      <c r="G84" s="21" t="n">
        <f aca="false">IF(B84="","",1/(1+EXP(-(B84-$B$15)/$B$21)))</f>
        <v>0.0445496525250405</v>
      </c>
      <c r="H84" s="21" t="n">
        <f aca="false">IF(B84="","",MAX(ABS($A84/$B$6-D84),ABS(($A84-1)/$B$6-D84)))</f>
        <v>0.00249960210318344</v>
      </c>
      <c r="I84" s="21" t="n">
        <f aca="false">IF(B84="","",MAX(ABS($A84/$B$6-E84),ABS(($A84-1)/$B$6-E84)))</f>
        <v>0.00517789349641958</v>
      </c>
      <c r="J84" s="21" t="n">
        <f aca="false">IF(B84="","",MAX(ABS($A84/$B$6-F84),ABS(($A84-1)/$B$6-F84)))</f>
        <v>0.000998386879744177</v>
      </c>
      <c r="K84" s="21" t="n">
        <f aca="false">IF(B84="","",MAX(ABS($A84/$B$6-G84),ABS(($A84-1)/$B$6-G84)))</f>
        <v>0.00345034747495947</v>
      </c>
    </row>
    <row r="85" customFormat="false" ht="15" hidden="false" customHeight="false" outlineLevel="0" collapsed="false">
      <c r="A85" s="11" t="n">
        <v>49</v>
      </c>
      <c r="B85" s="9" t="n">
        <f aca="false">IF(A85&gt;$B$6,"",SMALL(BTC_Data!$C$3:$C$1002,A85))</f>
        <v>-0.00212088525486365</v>
      </c>
      <c r="C85" s="21" t="n">
        <f aca="false">IF(B85="","",A85/$B$6)</f>
        <v>0.049</v>
      </c>
      <c r="D85" s="21" t="n">
        <f aca="false">IF(B85="","",NORMDIST(B85,$B$15,$B$16,TRUE()))</f>
        <v>0.0488082593659688</v>
      </c>
      <c r="E85" s="21" t="n">
        <f aca="false">IF(B85="","",IF(B85&gt;=$B$15,1-TDIST((B85-$B$15)/$B$18,$B$17,1),TDIST(($B$15-B85)/$B$18,$B$17,1)))</f>
        <v>0.0454084341296595</v>
      </c>
      <c r="F85" s="21" t="n">
        <f aca="false">IF(B85="","",IF(B85&lt;$B$19,0.5*EXP((B85-$B$19)/$B$20),1-0.5*EXP(-(B85-$B$19)/$B$20)))</f>
        <v>0.0492626200171725</v>
      </c>
      <c r="G85" s="21" t="n">
        <f aca="false">IF(B85="","",1/(1+EXP(-(B85-$B$15)/$B$21)))</f>
        <v>0.0472187051198362</v>
      </c>
      <c r="H85" s="21" t="n">
        <f aca="false">IF(B85="","",MAX(ABS($A85/$B$6-D85),ABS(($A85-1)/$B$6-D85)))</f>
        <v>0.000808259365968775</v>
      </c>
      <c r="I85" s="21" t="n">
        <f aca="false">IF(B85="","",MAX(ABS($A85/$B$6-E85),ABS(($A85-1)/$B$6-E85)))</f>
        <v>0.00359156587034052</v>
      </c>
      <c r="J85" s="21" t="n">
        <f aca="false">IF(B85="","",MAX(ABS($A85/$B$6-F85),ABS(($A85-1)/$B$6-F85)))</f>
        <v>0.00126262001717248</v>
      </c>
      <c r="K85" s="21" t="n">
        <f aca="false">IF(B85="","",MAX(ABS($A85/$B$6-G85),ABS(($A85-1)/$B$6-G85)))</f>
        <v>0.00178129488016385</v>
      </c>
    </row>
    <row r="86" customFormat="false" ht="15" hidden="false" customHeight="false" outlineLevel="0" collapsed="false">
      <c r="A86" s="11" t="n">
        <v>50</v>
      </c>
      <c r="B86" s="9" t="n">
        <f aca="false">IF(A86&gt;$B$6,"",SMALL(BTC_Data!$C$3:$C$1002,A86))</f>
        <v>-0.0020984595114556</v>
      </c>
      <c r="C86" s="21" t="n">
        <f aca="false">IF(B86="","",A86/$B$6)</f>
        <v>0.05</v>
      </c>
      <c r="D86" s="21" t="n">
        <f aca="false">IF(B86="","",NORMDIST(B86,$B$15,$B$16,TRUE()))</f>
        <v>0.0506162978238292</v>
      </c>
      <c r="E86" s="21" t="n">
        <f aca="false">IF(B86="","",IF(B86&gt;=$B$15,1-TDIST((B86-$B$15)/$B$18,$B$17,1),TDIST(($B$15-B86)/$B$18,$B$17,1)))</f>
        <v>0.0468239316432304</v>
      </c>
      <c r="F86" s="21" t="n">
        <f aca="false">IF(B86="","",IF(B86&lt;$B$19,0.5*EXP((B86-$B$19)/$B$20),1-0.5*EXP(-(B86-$B$19)/$B$20)))</f>
        <v>0.0504901532814969</v>
      </c>
      <c r="G86" s="21" t="n">
        <f aca="false">IF(B86="","",1/(1+EXP(-(B86-$B$15)/$B$21)))</f>
        <v>0.0486769183719458</v>
      </c>
      <c r="H86" s="21" t="n">
        <f aca="false">IF(B86="","",MAX(ABS($A86/$B$6-D86),ABS(($A86-1)/$B$6-D86)))</f>
        <v>0.00161629782382922</v>
      </c>
      <c r="I86" s="21" t="n">
        <f aca="false">IF(B86="","",MAX(ABS($A86/$B$6-E86),ABS(($A86-1)/$B$6-E86)))</f>
        <v>0.00317606835676962</v>
      </c>
      <c r="J86" s="21" t="n">
        <f aca="false">IF(B86="","",MAX(ABS($A86/$B$6-F86),ABS(($A86-1)/$B$6-F86)))</f>
        <v>0.00149015328149691</v>
      </c>
      <c r="K86" s="21" t="n">
        <f aca="false">IF(B86="","",MAX(ABS($A86/$B$6-G86),ABS(($A86-1)/$B$6-G86)))</f>
        <v>0.00132308162805421</v>
      </c>
    </row>
    <row r="87" customFormat="false" ht="15" hidden="false" customHeight="false" outlineLevel="0" collapsed="false">
      <c r="A87" s="11" t="n">
        <v>51</v>
      </c>
      <c r="B87" s="9" t="n">
        <f aca="false">IF(A87&gt;$B$6,"",SMALL(BTC_Data!$C$3:$C$1002,A87))</f>
        <v>-0.00209606853770594</v>
      </c>
      <c r="C87" s="21" t="n">
        <f aca="false">IF(B87="","",A87/$B$6)</f>
        <v>0.051</v>
      </c>
      <c r="D87" s="21" t="n">
        <f aca="false">IF(B87="","",NORMDIST(B87,$B$15,$B$16,TRUE()))</f>
        <v>0.0508121729328908</v>
      </c>
      <c r="E87" s="21" t="n">
        <f aca="false">IF(B87="","",IF(B87&gt;=$B$15,1-TDIST((B87-$B$15)/$B$18,$B$17,1),TDIST(($B$15-B87)/$B$18,$B$17,1)))</f>
        <v>0.0469773748327594</v>
      </c>
      <c r="F87" s="21" t="n">
        <f aca="false">IF(B87="","",IF(B87&lt;$B$19,0.5*EXP((B87-$B$19)/$B$20),1-0.5*EXP(-(B87-$B$19)/$B$20)))</f>
        <v>0.0506228208621973</v>
      </c>
      <c r="G87" s="21" t="n">
        <f aca="false">IF(B87="","",1/(1+EXP(-(B87-$B$15)/$B$21)))</f>
        <v>0.0488348867442449</v>
      </c>
      <c r="H87" s="21" t="n">
        <f aca="false">IF(B87="","",MAX(ABS($A87/$B$6-D87),ABS(($A87-1)/$B$6-D87)))</f>
        <v>0.000812172932890785</v>
      </c>
      <c r="I87" s="21" t="n">
        <f aca="false">IF(B87="","",MAX(ABS($A87/$B$6-E87),ABS(($A87-1)/$B$6-E87)))</f>
        <v>0.00402262516724065</v>
      </c>
      <c r="J87" s="21" t="n">
        <f aca="false">IF(B87="","",MAX(ABS($A87/$B$6-F87),ABS(($A87-1)/$B$6-F87)))</f>
        <v>0.000622820862197331</v>
      </c>
      <c r="K87" s="21" t="n">
        <f aca="false">IF(B87="","",MAX(ABS($A87/$B$6-G87),ABS(($A87-1)/$B$6-G87)))</f>
        <v>0.00216511325575515</v>
      </c>
    </row>
    <row r="88" customFormat="false" ht="15" hidden="false" customHeight="false" outlineLevel="0" collapsed="false">
      <c r="A88" s="11" t="n">
        <v>52</v>
      </c>
      <c r="B88" s="9" t="n">
        <f aca="false">IF(A88&gt;$B$6,"",SMALL(BTC_Data!$C$3:$C$1002,A88))</f>
        <v>-0.00209117906202438</v>
      </c>
      <c r="C88" s="21" t="n">
        <f aca="false">IF(B88="","",A88/$B$6)</f>
        <v>0.052</v>
      </c>
      <c r="D88" s="21" t="n">
        <f aca="false">IF(B88="","",NORMDIST(B88,$B$15,$B$16,TRUE()))</f>
        <v>0.0512146110273618</v>
      </c>
      <c r="E88" s="21" t="n">
        <f aca="false">IF(B88="","",IF(B88&gt;=$B$15,1-TDIST((B88-$B$15)/$B$18,$B$17,1),TDIST(($B$15-B88)/$B$18,$B$17,1)))</f>
        <v>0.047292695751351</v>
      </c>
      <c r="F88" s="21" t="n">
        <f aca="false">IF(B88="","",IF(B88&lt;$B$19,0.5*EXP((B88-$B$19)/$B$20),1-0.5*EXP(-(B88-$B$19)/$B$20)))</f>
        <v>0.0508952087511296</v>
      </c>
      <c r="G88" s="21" t="n">
        <f aca="false">IF(B88="","",1/(1+EXP(-(B88-$B$15)/$B$21)))</f>
        <v>0.0491594430596938</v>
      </c>
      <c r="H88" s="21" t="n">
        <f aca="false">IF(B88="","",MAX(ABS($A88/$B$6-D88),ABS(($A88-1)/$B$6-D88)))</f>
        <v>0.000785388972638204</v>
      </c>
      <c r="I88" s="21" t="n">
        <f aca="false">IF(B88="","",MAX(ABS($A88/$B$6-E88),ABS(($A88-1)/$B$6-E88)))</f>
        <v>0.00470730424864903</v>
      </c>
      <c r="J88" s="21" t="n">
        <f aca="false">IF(B88="","",MAX(ABS($A88/$B$6-F88),ABS(($A88-1)/$B$6-F88)))</f>
        <v>0.00110479124887043</v>
      </c>
      <c r="K88" s="21" t="n">
        <f aca="false">IF(B88="","",MAX(ABS($A88/$B$6-G88),ABS(($A88-1)/$B$6-G88)))</f>
        <v>0.00284055694030618</v>
      </c>
    </row>
    <row r="89" customFormat="false" ht="15" hidden="false" customHeight="false" outlineLevel="0" collapsed="false">
      <c r="A89" s="11" t="n">
        <v>53</v>
      </c>
      <c r="B89" s="9" t="n">
        <f aca="false">IF(A89&gt;$B$6,"",SMALL(BTC_Data!$C$3:$C$1002,A89))</f>
        <v>-0.00208585618844215</v>
      </c>
      <c r="C89" s="21" t="n">
        <f aca="false">IF(B89="","",A89/$B$6)</f>
        <v>0.053</v>
      </c>
      <c r="D89" s="21" t="n">
        <f aca="false">IF(B89="","",NORMDIST(B89,$B$15,$B$16,TRUE()))</f>
        <v>0.0516555996259367</v>
      </c>
      <c r="E89" s="21" t="n">
        <f aca="false">IF(B89="","",IF(B89&gt;=$B$15,1-TDIST((B89-$B$15)/$B$18,$B$17,1),TDIST(($B$15-B89)/$B$18,$B$17,1)))</f>
        <v>0.0476383203412268</v>
      </c>
      <c r="F89" s="21" t="n">
        <f aca="false">IF(B89="","",IF(B89&lt;$B$19,0.5*EXP((B89-$B$19)/$B$20),1-0.5*EXP(-(B89-$B$19)/$B$20)))</f>
        <v>0.0511934073503498</v>
      </c>
      <c r="G89" s="21" t="n">
        <f aca="false">IF(B89="","",1/(1+EXP(-(B89-$B$15)/$B$21)))</f>
        <v>0.049515092762774</v>
      </c>
      <c r="H89" s="21" t="n">
        <f aca="false">IF(B89="","",MAX(ABS($A89/$B$6-D89),ABS(($A89-1)/$B$6-D89)))</f>
        <v>0.00134440037406332</v>
      </c>
      <c r="I89" s="21" t="n">
        <f aca="false">IF(B89="","",MAX(ABS($A89/$B$6-E89),ABS(($A89-1)/$B$6-E89)))</f>
        <v>0.00536167965877324</v>
      </c>
      <c r="J89" s="21" t="n">
        <f aca="false">IF(B89="","",MAX(ABS($A89/$B$6-F89),ABS(($A89-1)/$B$6-F89)))</f>
        <v>0.00180659264965023</v>
      </c>
      <c r="K89" s="21" t="n">
        <f aca="false">IF(B89="","",MAX(ABS($A89/$B$6-G89),ABS(($A89-1)/$B$6-G89)))</f>
        <v>0.00348490723722604</v>
      </c>
    </row>
    <row r="90" customFormat="false" ht="15" hidden="false" customHeight="false" outlineLevel="0" collapsed="false">
      <c r="A90" s="11" t="n">
        <v>54</v>
      </c>
      <c r="B90" s="9" t="n">
        <f aca="false">IF(A90&gt;$B$6,"",SMALL(BTC_Data!$C$3:$C$1002,A90))</f>
        <v>-0.00207040106637357</v>
      </c>
      <c r="C90" s="21" t="n">
        <f aca="false">IF(B90="","",A90/$B$6)</f>
        <v>0.054</v>
      </c>
      <c r="D90" s="21" t="n">
        <f aca="false">IF(B90="","",NORMDIST(B90,$B$15,$B$16,TRUE()))</f>
        <v>0.0529531463111404</v>
      </c>
      <c r="E90" s="21" t="n">
        <f aca="false">IF(B90="","",IF(B90&gt;=$B$15,1-TDIST((B90-$B$15)/$B$18,$B$17,1),TDIST(($B$15-B90)/$B$18,$B$17,1)))</f>
        <v>0.0486559000817604</v>
      </c>
      <c r="F90" s="21" t="n">
        <f aca="false">IF(B90="","",IF(B90&lt;$B$19,0.5*EXP((B90-$B$19)/$B$20),1-0.5*EXP(-(B90-$B$19)/$B$20)))</f>
        <v>0.0520691739332069</v>
      </c>
      <c r="G90" s="21" t="n">
        <f aca="false">IF(B90="","",1/(1+EXP(-(B90-$B$15)/$B$21)))</f>
        <v>0.0505616017225643</v>
      </c>
      <c r="H90" s="21" t="n">
        <f aca="false">IF(B90="","",MAX(ABS($A90/$B$6-D90),ABS(($A90-1)/$B$6-D90)))</f>
        <v>0.00104685368885956</v>
      </c>
      <c r="I90" s="21" t="n">
        <f aca="false">IF(B90="","",MAX(ABS($A90/$B$6-E90),ABS(($A90-1)/$B$6-E90)))</f>
        <v>0.00534409991823959</v>
      </c>
      <c r="J90" s="21" t="n">
        <f aca="false">IF(B90="","",MAX(ABS($A90/$B$6-F90),ABS(($A90-1)/$B$6-F90)))</f>
        <v>0.00193082606679313</v>
      </c>
      <c r="K90" s="21" t="n">
        <f aca="false">IF(B90="","",MAX(ABS($A90/$B$6-G90),ABS(($A90-1)/$B$6-G90)))</f>
        <v>0.00343839827743574</v>
      </c>
    </row>
    <row r="91" customFormat="false" ht="15" hidden="false" customHeight="false" outlineLevel="0" collapsed="false">
      <c r="A91" s="11" t="n">
        <v>55</v>
      </c>
      <c r="B91" s="9" t="n">
        <f aca="false">IF(A91&gt;$B$6,"",SMALL(BTC_Data!$C$3:$C$1002,A91))</f>
        <v>-0.00206302816046555</v>
      </c>
      <c r="C91" s="21" t="n">
        <f aca="false">IF(B91="","",A91/$B$6)</f>
        <v>0.055</v>
      </c>
      <c r="D91" s="21" t="n">
        <f aca="false">IF(B91="","",NORMDIST(B91,$B$15,$B$16,TRUE()))</f>
        <v>0.0535811857066629</v>
      </c>
      <c r="E91" s="21" t="n">
        <f aca="false">IF(B91="","",IF(B91&gt;=$B$15,1-TDIST((B91-$B$15)/$B$18,$B$17,1),TDIST(($B$15-B91)/$B$18,$B$17,1)))</f>
        <v>0.0491487845844735</v>
      </c>
      <c r="F91" s="21" t="n">
        <f aca="false">IF(B91="","",IF(B91&lt;$B$19,0.5*EXP((B91-$B$19)/$B$20),1-0.5*EXP(-(B91-$B$19)/$B$20)))</f>
        <v>0.0524922233157936</v>
      </c>
      <c r="G91" s="21" t="n">
        <f aca="false">IF(B91="","",1/(1+EXP(-(B91-$B$15)/$B$21)))</f>
        <v>0.0510681883781503</v>
      </c>
      <c r="H91" s="21" t="n">
        <f aca="false">IF(B91="","",MAX(ABS($A91/$B$6-D91),ABS(($A91-1)/$B$6-D91)))</f>
        <v>0.0014188142933371</v>
      </c>
      <c r="I91" s="21" t="n">
        <f aca="false">IF(B91="","",MAX(ABS($A91/$B$6-E91),ABS(($A91-1)/$B$6-E91)))</f>
        <v>0.00585121541552647</v>
      </c>
      <c r="J91" s="21" t="n">
        <f aca="false">IF(B91="","",MAX(ABS($A91/$B$6-F91),ABS(($A91-1)/$B$6-F91)))</f>
        <v>0.00250777668420639</v>
      </c>
      <c r="K91" s="21" t="n">
        <f aca="false">IF(B91="","",MAX(ABS($A91/$B$6-G91),ABS(($A91-1)/$B$6-G91)))</f>
        <v>0.00393181162184972</v>
      </c>
    </row>
    <row r="92" customFormat="false" ht="15" hidden="false" customHeight="false" outlineLevel="0" collapsed="false">
      <c r="A92" s="11" t="n">
        <v>56</v>
      </c>
      <c r="B92" s="9" t="n">
        <f aca="false">IF(A92&gt;$B$6,"",SMALL(BTC_Data!$C$3:$C$1002,A92))</f>
        <v>-0.00205519438386093</v>
      </c>
      <c r="C92" s="21" t="n">
        <f aca="false">IF(B92="","",A92/$B$6)</f>
        <v>0.056</v>
      </c>
      <c r="D92" s="21" t="n">
        <f aca="false">IF(B92="","",NORMDIST(B92,$B$15,$B$16,TRUE()))</f>
        <v>0.0542549337124338</v>
      </c>
      <c r="E92" s="21" t="n">
        <f aca="false">IF(B92="","",IF(B92&gt;=$B$15,1-TDIST((B92-$B$15)/$B$18,$B$17,1),TDIST(($B$15-B92)/$B$18,$B$17,1)))</f>
        <v>0.0496778123550251</v>
      </c>
      <c r="F92" s="21" t="n">
        <f aca="false">IF(B92="","",IF(B92&lt;$B$19,0.5*EXP((B92-$B$19)/$B$20),1-0.5*EXP(-(B92-$B$19)/$B$20)))</f>
        <v>0.0529454837661648</v>
      </c>
      <c r="G92" s="21" t="n">
        <f aca="false">IF(B92="","",1/(1+EXP(-(B92-$B$15)/$B$21)))</f>
        <v>0.0516117012919531</v>
      </c>
      <c r="H92" s="21" t="n">
        <f aca="false">IF(B92="","",MAX(ABS($A92/$B$6-D92),ABS(($A92-1)/$B$6-D92)))</f>
        <v>0.00174506628756616</v>
      </c>
      <c r="I92" s="21" t="n">
        <f aca="false">IF(B92="","",MAX(ABS($A92/$B$6-E92),ABS(($A92-1)/$B$6-E92)))</f>
        <v>0.00632218764497488</v>
      </c>
      <c r="J92" s="21" t="n">
        <f aca="false">IF(B92="","",MAX(ABS($A92/$B$6-F92),ABS(($A92-1)/$B$6-F92)))</f>
        <v>0.00305451623383517</v>
      </c>
      <c r="K92" s="21" t="n">
        <f aca="false">IF(B92="","",MAX(ABS($A92/$B$6-G92),ABS(($A92-1)/$B$6-G92)))</f>
        <v>0.00438829870804686</v>
      </c>
    </row>
    <row r="93" customFormat="false" ht="15" hidden="false" customHeight="false" outlineLevel="0" collapsed="false">
      <c r="A93" s="11" t="n">
        <v>57</v>
      </c>
      <c r="B93" s="9" t="n">
        <f aca="false">IF(A93&gt;$B$6,"",SMALL(BTC_Data!$C$3:$C$1002,A93))</f>
        <v>-0.0020429690022683</v>
      </c>
      <c r="C93" s="21" t="n">
        <f aca="false">IF(B93="","",A93/$B$6)</f>
        <v>0.057</v>
      </c>
      <c r="D93" s="21" t="n">
        <f aca="false">IF(B93="","",NORMDIST(B93,$B$15,$B$16,TRUE()))</f>
        <v>0.055319757566702</v>
      </c>
      <c r="E93" s="21" t="n">
        <f aca="false">IF(B93="","",IF(B93&gt;=$B$15,1-TDIST((B93-$B$15)/$B$18,$B$17,1),TDIST(($B$15-B93)/$B$18,$B$17,1)))</f>
        <v>0.0505145110505364</v>
      </c>
      <c r="F93" s="21" t="n">
        <f aca="false">IF(B93="","",IF(B93&lt;$B$19,0.5*EXP((B93-$B$19)/$B$20),1-0.5*EXP(-(B93-$B$19)/$B$20)))</f>
        <v>0.0536606739826959</v>
      </c>
      <c r="G93" s="21" t="n">
        <f aca="false">IF(B93="","",1/(1+EXP(-(B93-$B$15)/$B$21)))</f>
        <v>0.0524708472341041</v>
      </c>
      <c r="H93" s="21" t="n">
        <f aca="false">IF(B93="","",MAX(ABS($A93/$B$6-D93),ABS(($A93-1)/$B$6-D93)))</f>
        <v>0.00168024243329804</v>
      </c>
      <c r="I93" s="21" t="n">
        <f aca="false">IF(B93="","",MAX(ABS($A93/$B$6-E93),ABS(($A93-1)/$B$6-E93)))</f>
        <v>0.00648548894946362</v>
      </c>
      <c r="J93" s="21" t="n">
        <f aca="false">IF(B93="","",MAX(ABS($A93/$B$6-F93),ABS(($A93-1)/$B$6-F93)))</f>
        <v>0.00333932601730409</v>
      </c>
      <c r="K93" s="21" t="n">
        <f aca="false">IF(B93="","",MAX(ABS($A93/$B$6-G93),ABS(($A93-1)/$B$6-G93)))</f>
        <v>0.00452915276589593</v>
      </c>
    </row>
    <row r="94" customFormat="false" ht="15" hidden="false" customHeight="false" outlineLevel="0" collapsed="false">
      <c r="A94" s="11" t="n">
        <v>58</v>
      </c>
      <c r="B94" s="9" t="n">
        <f aca="false">IF(A94&gt;$B$6,"",SMALL(BTC_Data!$C$3:$C$1002,A94))</f>
        <v>-0.00203768175795527</v>
      </c>
      <c r="C94" s="21" t="n">
        <f aca="false">IF(B94="","",A94/$B$6)</f>
        <v>0.058</v>
      </c>
      <c r="D94" s="21" t="n">
        <f aca="false">IF(B94="","",NORMDIST(B94,$B$15,$B$16,TRUE()))</f>
        <v>0.0557853559291512</v>
      </c>
      <c r="E94" s="21" t="n">
        <f aca="false">IF(B94="","",IF(B94&gt;=$B$15,1-TDIST((B94-$B$15)/$B$18,$B$17,1),TDIST(($B$15-B94)/$B$18,$B$17,1)))</f>
        <v>0.0508805995481712</v>
      </c>
      <c r="F94" s="21" t="n">
        <f aca="false">IF(B94="","",IF(B94&lt;$B$19,0.5*EXP((B94-$B$19)/$B$20),1-0.5*EXP(-(B94-$B$19)/$B$20)))</f>
        <v>0.0539729650410744</v>
      </c>
      <c r="G94" s="21" t="n">
        <f aca="false">IF(B94="","",1/(1+EXP(-(B94-$B$15)/$B$21)))</f>
        <v>0.0528465815583355</v>
      </c>
      <c r="H94" s="21" t="n">
        <f aca="false">IF(B94="","",MAX(ABS($A94/$B$6-D94),ABS(($A94-1)/$B$6-D94)))</f>
        <v>0.00221464407084877</v>
      </c>
      <c r="I94" s="21" t="n">
        <f aca="false">IF(B94="","",MAX(ABS($A94/$B$6-E94),ABS(($A94-1)/$B$6-E94)))</f>
        <v>0.0071194004518288</v>
      </c>
      <c r="J94" s="21" t="n">
        <f aca="false">IF(B94="","",MAX(ABS($A94/$B$6-F94),ABS(($A94-1)/$B$6-F94)))</f>
        <v>0.0040270349589256</v>
      </c>
      <c r="K94" s="21" t="n">
        <f aca="false">IF(B94="","",MAX(ABS($A94/$B$6-G94),ABS(($A94-1)/$B$6-G94)))</f>
        <v>0.00515341844166449</v>
      </c>
    </row>
    <row r="95" customFormat="false" ht="15" hidden="false" customHeight="false" outlineLevel="0" collapsed="false">
      <c r="A95" s="11" t="n">
        <v>59</v>
      </c>
      <c r="B95" s="9" t="n">
        <f aca="false">IF(A95&gt;$B$6,"",SMALL(BTC_Data!$C$3:$C$1002,A95))</f>
        <v>-0.00201341638097163</v>
      </c>
      <c r="C95" s="21" t="n">
        <f aca="false">IF(B95="","",A95/$B$6)</f>
        <v>0.059</v>
      </c>
      <c r="D95" s="21" t="n">
        <f aca="false">IF(B95="","",NORMDIST(B95,$B$15,$B$16,TRUE()))</f>
        <v>0.0579619595982291</v>
      </c>
      <c r="E95" s="21" t="n">
        <f aca="false">IF(B95="","",IF(B95&gt;=$B$15,1-TDIST((B95-$B$15)/$B$18,$B$17,1),TDIST(($B$15-B95)/$B$18,$B$17,1)))</f>
        <v>0.0525940473380847</v>
      </c>
      <c r="F95" s="21" t="n">
        <f aca="false">IF(B95="","",IF(B95&lt;$B$19,0.5*EXP((B95-$B$19)/$B$20),1-0.5*EXP(-(B95-$B$19)/$B$20)))</f>
        <v>0.0554296731434562</v>
      </c>
      <c r="G95" s="21" t="n">
        <f aca="false">IF(B95="","",1/(1+EXP(-(B95-$B$15)/$B$21)))</f>
        <v>0.0546037852459636</v>
      </c>
      <c r="H95" s="21" t="n">
        <f aca="false">IF(B95="","",MAX(ABS($A95/$B$6-D95),ABS(($A95-1)/$B$6-D95)))</f>
        <v>0.00103804040177095</v>
      </c>
      <c r="I95" s="21" t="n">
        <f aca="false">IF(B95="","",MAX(ABS($A95/$B$6-E95),ABS(($A95-1)/$B$6-E95)))</f>
        <v>0.00640595266191525</v>
      </c>
      <c r="J95" s="21" t="n">
        <f aca="false">IF(B95="","",MAX(ABS($A95/$B$6-F95),ABS(($A95-1)/$B$6-F95)))</f>
        <v>0.00357032685654377</v>
      </c>
      <c r="K95" s="21" t="n">
        <f aca="false">IF(B95="","",MAX(ABS($A95/$B$6-G95),ABS(($A95-1)/$B$6-G95)))</f>
        <v>0.0043962147540364</v>
      </c>
    </row>
    <row r="96" customFormat="false" ht="15" hidden="false" customHeight="false" outlineLevel="0" collapsed="false">
      <c r="A96" s="11" t="n">
        <v>60</v>
      </c>
      <c r="B96" s="9" t="n">
        <f aca="false">IF(A96&gt;$B$6,"",SMALL(BTC_Data!$C$3:$C$1002,A96))</f>
        <v>-0.00199476660178033</v>
      </c>
      <c r="C96" s="21" t="n">
        <f aca="false">IF(B96="","",A96/$B$6)</f>
        <v>0.06</v>
      </c>
      <c r="D96" s="21" t="n">
        <f aca="false">IF(B96="","",NORMDIST(B96,$B$15,$B$16,TRUE()))</f>
        <v>0.0596797736709913</v>
      </c>
      <c r="E96" s="21" t="n">
        <f aca="false">IF(B96="","",IF(B96&gt;=$B$15,1-TDIST((B96-$B$15)/$B$18,$B$17,1),TDIST(($B$15-B96)/$B$18,$B$17,1)))</f>
        <v>0.053948842726068</v>
      </c>
      <c r="F96" s="21" t="n">
        <f aca="false">IF(B96="","",IF(B96&lt;$B$19,0.5*EXP((B96-$B$19)/$B$20),1-0.5*EXP(-(B96-$B$19)/$B$20)))</f>
        <v>0.0565759292004217</v>
      </c>
      <c r="G96" s="21" t="n">
        <f aca="false">IF(B96="","",1/(1+EXP(-(B96-$B$15)/$B$21)))</f>
        <v>0.0559915972856766</v>
      </c>
      <c r="H96" s="21" t="n">
        <f aca="false">IF(B96="","",MAX(ABS($A96/$B$6-D96),ABS(($A96-1)/$B$6-D96)))</f>
        <v>0.000679773670991341</v>
      </c>
      <c r="I96" s="21" t="n">
        <f aca="false">IF(B96="","",MAX(ABS($A96/$B$6-E96),ABS(($A96-1)/$B$6-E96)))</f>
        <v>0.00605115727393199</v>
      </c>
      <c r="J96" s="21" t="n">
        <f aca="false">IF(B96="","",MAX(ABS($A96/$B$6-F96),ABS(($A96-1)/$B$6-F96)))</f>
        <v>0.00342407079957829</v>
      </c>
      <c r="K96" s="21" t="n">
        <f aca="false">IF(B96="","",MAX(ABS($A96/$B$6-G96),ABS(($A96-1)/$B$6-G96)))</f>
        <v>0.00400840271432344</v>
      </c>
    </row>
    <row r="97" customFormat="false" ht="15" hidden="false" customHeight="false" outlineLevel="0" collapsed="false">
      <c r="A97" s="11" t="n">
        <v>61</v>
      </c>
      <c r="B97" s="9" t="n">
        <f aca="false">IF(A97&gt;$B$6,"",SMALL(BTC_Data!$C$3:$C$1002,A97))</f>
        <v>-0.00198009343199723</v>
      </c>
      <c r="C97" s="21" t="n">
        <f aca="false">IF(B97="","",A97/$B$6)</f>
        <v>0.061</v>
      </c>
      <c r="D97" s="21" t="n">
        <f aca="false">IF(B97="","",NORMDIST(B97,$B$15,$B$16,TRUE()))</f>
        <v>0.0610591406944908</v>
      </c>
      <c r="E97" s="21" t="n">
        <f aca="false">IF(B97="","",IF(B97&gt;=$B$15,1-TDIST((B97-$B$15)/$B$18,$B$17,1),TDIST(($B$15-B97)/$B$18,$B$17,1)))</f>
        <v>0.0550384190754205</v>
      </c>
      <c r="F97" s="21" t="n">
        <f aca="false">IF(B97="","",IF(B97&lt;$B$19,0.5*EXP((B97-$B$19)/$B$20),1-0.5*EXP(-(B97-$B$19)/$B$20)))</f>
        <v>0.0574944112231125</v>
      </c>
      <c r="G97" s="21" t="n">
        <f aca="false">IF(B97="","",1/(1+EXP(-(B97-$B$15)/$B$21)))</f>
        <v>0.0571067457724739</v>
      </c>
      <c r="H97" s="21" t="n">
        <f aca="false">IF(B97="","",MAX(ABS($A97/$B$6-D97),ABS(($A97-1)/$B$6-D97)))</f>
        <v>0.00105914069449078</v>
      </c>
      <c r="I97" s="21" t="n">
        <f aca="false">IF(B97="","",MAX(ABS($A97/$B$6-E97),ABS(($A97-1)/$B$6-E97)))</f>
        <v>0.00596158092457947</v>
      </c>
      <c r="J97" s="21" t="n">
        <f aca="false">IF(B97="","",MAX(ABS($A97/$B$6-F97),ABS(($A97-1)/$B$6-F97)))</f>
        <v>0.00350558877688746</v>
      </c>
      <c r="K97" s="21" t="n">
        <f aca="false">IF(B97="","",MAX(ABS($A97/$B$6-G97),ABS(($A97-1)/$B$6-G97)))</f>
        <v>0.00389325422752612</v>
      </c>
    </row>
    <row r="98" customFormat="false" ht="15" hidden="false" customHeight="false" outlineLevel="0" collapsed="false">
      <c r="A98" s="11" t="n">
        <v>62</v>
      </c>
      <c r="B98" s="9" t="n">
        <f aca="false">IF(A98&gt;$B$6,"",SMALL(BTC_Data!$C$3:$C$1002,A98))</f>
        <v>-0.00197730341752822</v>
      </c>
      <c r="C98" s="21" t="n">
        <f aca="false">IF(B98="","",A98/$B$6)</f>
        <v>0.062</v>
      </c>
      <c r="D98" s="21" t="n">
        <f aca="false">IF(B98="","",NORMDIST(B98,$B$15,$B$16,TRUE()))</f>
        <v>0.06132421661892</v>
      </c>
      <c r="E98" s="21" t="n">
        <f aca="false">IF(B98="","",IF(B98&gt;=$B$15,1-TDIST((B98-$B$15)/$B$18,$B$17,1),TDIST(($B$15-B98)/$B$18,$B$17,1)))</f>
        <v>0.0552479854188241</v>
      </c>
      <c r="F98" s="21" t="n">
        <f aca="false">IF(B98="","",IF(B98&lt;$B$19,0.5*EXP((B98-$B$19)/$B$20),1-0.5*EXP(-(B98-$B$19)/$B$20)))</f>
        <v>0.0576707348639113</v>
      </c>
      <c r="G98" s="21" t="n">
        <f aca="false">IF(B98="","",1/(1+EXP(-(B98-$B$15)/$B$21)))</f>
        <v>0.0573211323046487</v>
      </c>
      <c r="H98" s="21" t="n">
        <f aca="false">IF(B98="","",MAX(ABS($A98/$B$6-D98),ABS(($A98-1)/$B$6-D98)))</f>
        <v>0.000675783381079965</v>
      </c>
      <c r="I98" s="21" t="n">
        <f aca="false">IF(B98="","",MAX(ABS($A98/$B$6-E98),ABS(($A98-1)/$B$6-E98)))</f>
        <v>0.00675201458117586</v>
      </c>
      <c r="J98" s="21" t="n">
        <f aca="false">IF(B98="","",MAX(ABS($A98/$B$6-F98),ABS(($A98-1)/$B$6-F98)))</f>
        <v>0.00432926513608868</v>
      </c>
      <c r="K98" s="21" t="n">
        <f aca="false">IF(B98="","",MAX(ABS($A98/$B$6-G98),ABS(($A98-1)/$B$6-G98)))</f>
        <v>0.00467886769535131</v>
      </c>
    </row>
    <row r="99" customFormat="false" ht="15" hidden="false" customHeight="false" outlineLevel="0" collapsed="false">
      <c r="A99" s="11" t="n">
        <v>63</v>
      </c>
      <c r="B99" s="9" t="n">
        <f aca="false">IF(A99&gt;$B$6,"",SMALL(BTC_Data!$C$3:$C$1002,A99))</f>
        <v>-0.00195074814197682</v>
      </c>
      <c r="C99" s="21" t="n">
        <f aca="false">IF(B99="","",A99/$B$6)</f>
        <v>0.063</v>
      </c>
      <c r="D99" s="21" t="n">
        <f aca="false">IF(B99="","",NORMDIST(B99,$B$15,$B$16,TRUE()))</f>
        <v>0.0638924107670785</v>
      </c>
      <c r="E99" s="21" t="n">
        <f aca="false">IF(B99="","",IF(B99&gt;=$B$15,1-TDIST((B99-$B$15)/$B$18,$B$17,1),TDIST(($B$15-B99)/$B$18,$B$17,1)))</f>
        <v>0.0572814986679503</v>
      </c>
      <c r="F99" s="21" t="n">
        <f aca="false">IF(B99="","",IF(B99&lt;$B$19,0.5*EXP((B99-$B$19)/$B$20),1-0.5*EXP(-(B99-$B$19)/$B$20)))</f>
        <v>0.0593762822412337</v>
      </c>
      <c r="G99" s="21" t="n">
        <f aca="false">IF(B99="","",1/(1+EXP(-(B99-$B$15)/$B$21)))</f>
        <v>0.0593998119365687</v>
      </c>
      <c r="H99" s="21" t="n">
        <f aca="false">IF(B99="","",MAX(ABS($A99/$B$6-D99),ABS(($A99-1)/$B$6-D99)))</f>
        <v>0.00189241076707847</v>
      </c>
      <c r="I99" s="21" t="n">
        <f aca="false">IF(B99="","",MAX(ABS($A99/$B$6-E99),ABS(($A99-1)/$B$6-E99)))</f>
        <v>0.00571850133204966</v>
      </c>
      <c r="J99" s="21" t="n">
        <f aca="false">IF(B99="","",MAX(ABS($A99/$B$6-F99),ABS(($A99-1)/$B$6-F99)))</f>
        <v>0.00362371775876633</v>
      </c>
      <c r="K99" s="21" t="n">
        <f aca="false">IF(B99="","",MAX(ABS($A99/$B$6-G99),ABS(($A99-1)/$B$6-G99)))</f>
        <v>0.00360018806343129</v>
      </c>
    </row>
    <row r="100" customFormat="false" ht="15" hidden="false" customHeight="false" outlineLevel="0" collapsed="false">
      <c r="A100" s="11" t="n">
        <v>64</v>
      </c>
      <c r="B100" s="9" t="n">
        <f aca="false">IF(A100&gt;$B$6,"",SMALL(BTC_Data!$C$3:$C$1002,A100))</f>
        <v>-0.00193706764542911</v>
      </c>
      <c r="C100" s="21" t="n">
        <f aca="false">IF(B100="","",A100/$B$6)</f>
        <v>0.064</v>
      </c>
      <c r="D100" s="21" t="n">
        <f aca="false">IF(B100="","",NORMDIST(B100,$B$15,$B$16,TRUE()))</f>
        <v>0.0652477203902619</v>
      </c>
      <c r="E100" s="21" t="n">
        <f aca="false">IF(B100="","",IF(B100&gt;=$B$15,1-TDIST((B100-$B$15)/$B$18,$B$17,1),TDIST(($B$15-B100)/$B$18,$B$17,1)))</f>
        <v>0.0583570056258585</v>
      </c>
      <c r="F100" s="21" t="n">
        <f aca="false">IF(B100="","",IF(B100&lt;$B$19,0.5*EXP((B100-$B$19)/$B$20),1-0.5*EXP(-(B100-$B$19)/$B$20)))</f>
        <v>0.0602745228658989</v>
      </c>
      <c r="G100" s="21" t="n">
        <f aca="false">IF(B100="","",1/(1+EXP(-(B100-$B$15)/$B$21)))</f>
        <v>0.060498058569275</v>
      </c>
      <c r="H100" s="21" t="n">
        <f aca="false">IF(B100="","",MAX(ABS($A100/$B$6-D100),ABS(($A100-1)/$B$6-D100)))</f>
        <v>0.00224772039026187</v>
      </c>
      <c r="I100" s="21" t="n">
        <f aca="false">IF(B100="","",MAX(ABS($A100/$B$6-E100),ABS(($A100-1)/$B$6-E100)))</f>
        <v>0.00564299437414152</v>
      </c>
      <c r="J100" s="21" t="n">
        <f aca="false">IF(B100="","",MAX(ABS($A100/$B$6-F100),ABS(($A100-1)/$B$6-F100)))</f>
        <v>0.00372547713410112</v>
      </c>
      <c r="K100" s="21" t="n">
        <f aca="false">IF(B100="","",MAX(ABS($A100/$B$6-G100),ABS(($A100-1)/$B$6-G100)))</f>
        <v>0.003501941430725</v>
      </c>
    </row>
    <row r="101" customFormat="false" ht="15" hidden="false" customHeight="false" outlineLevel="0" collapsed="false">
      <c r="A101" s="11" t="n">
        <v>65</v>
      </c>
      <c r="B101" s="9" t="n">
        <f aca="false">IF(A101&gt;$B$6,"",SMALL(BTC_Data!$C$3:$C$1002,A101))</f>
        <v>-0.0019340566032221</v>
      </c>
      <c r="C101" s="21" t="n">
        <f aca="false">IF(B101="","",A101/$B$6)</f>
        <v>0.065</v>
      </c>
      <c r="D101" s="21" t="n">
        <f aca="false">IF(B101="","",NORMDIST(B101,$B$15,$B$16,TRUE()))</f>
        <v>0.0655489942694346</v>
      </c>
      <c r="E101" s="21" t="n">
        <f aca="false">IF(B101="","",IF(B101&gt;=$B$15,1-TDIST((B101-$B$15)/$B$18,$B$17,1),TDIST(($B$15-B101)/$B$18,$B$17,1)))</f>
        <v>0.0585963107474976</v>
      </c>
      <c r="F101" s="21" t="n">
        <f aca="false">IF(B101="","",IF(B101&lt;$B$19,0.5*EXP((B101-$B$19)/$B$20),1-0.5*EXP(-(B101-$B$19)/$B$20)))</f>
        <v>0.0604740407299907</v>
      </c>
      <c r="G101" s="21" t="n">
        <f aca="false">IF(B101="","",1/(1+EXP(-(B101-$B$15)/$B$21)))</f>
        <v>0.0607423179860328</v>
      </c>
      <c r="H101" s="21" t="n">
        <f aca="false">IF(B101="","",MAX(ABS($A101/$B$6-D101),ABS(($A101-1)/$B$6-D101)))</f>
        <v>0.00154899426943461</v>
      </c>
      <c r="I101" s="21" t="n">
        <f aca="false">IF(B101="","",MAX(ABS($A101/$B$6-E101),ABS(($A101-1)/$B$6-E101)))</f>
        <v>0.0064036892525024</v>
      </c>
      <c r="J101" s="21" t="n">
        <f aca="false">IF(B101="","",MAX(ABS($A101/$B$6-F101),ABS(($A101-1)/$B$6-F101)))</f>
        <v>0.00452595927000932</v>
      </c>
      <c r="K101" s="21" t="n">
        <f aca="false">IF(B101="","",MAX(ABS($A101/$B$6-G101),ABS(($A101-1)/$B$6-G101)))</f>
        <v>0.00425768201396722</v>
      </c>
    </row>
    <row r="102" customFormat="false" ht="15" hidden="false" customHeight="false" outlineLevel="0" collapsed="false">
      <c r="A102" s="11" t="n">
        <v>66</v>
      </c>
      <c r="B102" s="9" t="n">
        <f aca="false">IF(A102&gt;$B$6,"",SMALL(BTC_Data!$C$3:$C$1002,A102))</f>
        <v>-0.0019003446679281</v>
      </c>
      <c r="C102" s="21" t="n">
        <f aca="false">IF(B102="","",A102/$B$6)</f>
        <v>0.066</v>
      </c>
      <c r="D102" s="21" t="n">
        <f aca="false">IF(B102="","",NORMDIST(B102,$B$15,$B$16,TRUE()))</f>
        <v>0.0689961578246973</v>
      </c>
      <c r="E102" s="21" t="n">
        <f aca="false">IF(B102="","",IF(B102&gt;=$B$15,1-TDIST((B102-$B$15)/$B$18,$B$17,1),TDIST(($B$15-B102)/$B$18,$B$17,1)))</f>
        <v>0.0613405627607521</v>
      </c>
      <c r="F102" s="21" t="n">
        <f aca="false">IF(B102="","",IF(B102&lt;$B$19,0.5*EXP((B102-$B$19)/$B$20),1-0.5*EXP(-(B102-$B$19)/$B$20)))</f>
        <v>0.0627534649974955</v>
      </c>
      <c r="G102" s="21" t="n">
        <f aca="false">IF(B102="","",1/(1+EXP(-(B102-$B$15)/$B$21)))</f>
        <v>0.0635407226830456</v>
      </c>
      <c r="H102" s="21" t="n">
        <f aca="false">IF(B102="","",MAX(ABS($A102/$B$6-D102),ABS(($A102-1)/$B$6-D102)))</f>
        <v>0.00399615782469731</v>
      </c>
      <c r="I102" s="21" t="n">
        <f aca="false">IF(B102="","",MAX(ABS($A102/$B$6-E102),ABS(($A102-1)/$B$6-E102)))</f>
        <v>0.00465943723924793</v>
      </c>
      <c r="J102" s="21" t="n">
        <f aca="false">IF(B102="","",MAX(ABS($A102/$B$6-F102),ABS(($A102-1)/$B$6-F102)))</f>
        <v>0.00324653500250455</v>
      </c>
      <c r="K102" s="21" t="n">
        <f aca="false">IF(B102="","",MAX(ABS($A102/$B$6-G102),ABS(($A102-1)/$B$6-G102)))</f>
        <v>0.00245927731695439</v>
      </c>
    </row>
    <row r="103" customFormat="false" ht="15" hidden="false" customHeight="false" outlineLevel="0" collapsed="false">
      <c r="A103" s="11" t="n">
        <v>67</v>
      </c>
      <c r="B103" s="9" t="n">
        <f aca="false">IF(A103&gt;$B$6,"",SMALL(BTC_Data!$C$3:$C$1002,A103))</f>
        <v>-0.00185272653943447</v>
      </c>
      <c r="C103" s="21" t="n">
        <f aca="false">IF(B103="","",A103/$B$6)</f>
        <v>0.067</v>
      </c>
      <c r="D103" s="21" t="n">
        <f aca="false">IF(B103="","",NORMDIST(B103,$B$15,$B$16,TRUE()))</f>
        <v>0.0741012098756481</v>
      </c>
      <c r="E103" s="21" t="n">
        <f aca="false">IF(B103="","",IF(B103&gt;=$B$15,1-TDIST((B103-$B$15)/$B$18,$B$17,1),TDIST(($B$15-B103)/$B$18,$B$17,1)))</f>
        <v>0.0654264160854447</v>
      </c>
      <c r="F103" s="21" t="n">
        <f aca="false">IF(B103="","",IF(B103&lt;$B$19,0.5*EXP((B103-$B$19)/$B$20),1-0.5*EXP(-(B103-$B$19)/$B$20)))</f>
        <v>0.0661202963179852</v>
      </c>
      <c r="G103" s="21" t="n">
        <f aca="false">IF(B103="","",1/(1+EXP(-(B103-$B$15)/$B$21)))</f>
        <v>0.067698589866099</v>
      </c>
      <c r="H103" s="21" t="n">
        <f aca="false">IF(B103="","",MAX(ABS($A103/$B$6-D103),ABS(($A103-1)/$B$6-D103)))</f>
        <v>0.00810120987564805</v>
      </c>
      <c r="I103" s="21" t="n">
        <f aca="false">IF(B103="","",MAX(ABS($A103/$B$6-E103),ABS(($A103-1)/$B$6-E103)))</f>
        <v>0.00157358391455531</v>
      </c>
      <c r="J103" s="21" t="n">
        <f aca="false">IF(B103="","",MAX(ABS($A103/$B$6-F103),ABS(($A103-1)/$B$6-F103)))</f>
        <v>0.000879703682014815</v>
      </c>
      <c r="K103" s="21" t="n">
        <f aca="false">IF(B103="","",MAX(ABS($A103/$B$6-G103),ABS(($A103-1)/$B$6-G103)))</f>
        <v>0.00169858986609896</v>
      </c>
    </row>
    <row r="104" customFormat="false" ht="15" hidden="false" customHeight="false" outlineLevel="0" collapsed="false">
      <c r="A104" s="11" t="n">
        <v>68</v>
      </c>
      <c r="B104" s="9" t="n">
        <f aca="false">IF(A104&gt;$B$6,"",SMALL(BTC_Data!$C$3:$C$1002,A104))</f>
        <v>-0.00182888795982572</v>
      </c>
      <c r="C104" s="21" t="n">
        <f aca="false">IF(B104="","",A104/$B$6)</f>
        <v>0.068</v>
      </c>
      <c r="D104" s="21" t="n">
        <f aca="false">IF(B104="","",NORMDIST(B104,$B$15,$B$16,TRUE()))</f>
        <v>0.0767629380781301</v>
      </c>
      <c r="E104" s="21" t="n">
        <f aca="false">IF(B104="","",IF(B104&gt;=$B$15,1-TDIST((B104-$B$15)/$B$18,$B$17,1),TDIST(($B$15-B104)/$B$18,$B$17,1)))</f>
        <v>0.0675676020624507</v>
      </c>
      <c r="F104" s="21" t="n">
        <f aca="false">IF(B104="","",IF(B104&lt;$B$19,0.5*EXP((B104-$B$19)/$B$20),1-0.5*EXP(-(B104-$B$19)/$B$20)))</f>
        <v>0.0678730553697708</v>
      </c>
      <c r="G104" s="21" t="n">
        <f aca="false">IF(B104="","",1/(1+EXP(-(B104-$B$15)/$B$21)))</f>
        <v>0.0698736610102723</v>
      </c>
      <c r="H104" s="21" t="n">
        <f aca="false">IF(B104="","",MAX(ABS($A104/$B$6-D104),ABS(($A104-1)/$B$6-D104)))</f>
        <v>0.00976293807813014</v>
      </c>
      <c r="I104" s="21" t="n">
        <f aca="false">IF(B104="","",MAX(ABS($A104/$B$6-E104),ABS(($A104-1)/$B$6-E104)))</f>
        <v>0.00056760206245067</v>
      </c>
      <c r="J104" s="21" t="n">
        <f aca="false">IF(B104="","",MAX(ABS($A104/$B$6-F104),ABS(($A104-1)/$B$6-F104)))</f>
        <v>0.000873055369770753</v>
      </c>
      <c r="K104" s="21" t="n">
        <f aca="false">IF(B104="","",MAX(ABS($A104/$B$6-G104),ABS(($A104-1)/$B$6-G104)))</f>
        <v>0.00287366101027227</v>
      </c>
    </row>
    <row r="105" customFormat="false" ht="15" hidden="false" customHeight="false" outlineLevel="0" collapsed="false">
      <c r="A105" s="11" t="n">
        <v>69</v>
      </c>
      <c r="B105" s="9" t="n">
        <f aca="false">IF(A105&gt;$B$6,"",SMALL(BTC_Data!$C$3:$C$1002,A105))</f>
        <v>-0.00181487530845836</v>
      </c>
      <c r="C105" s="21" t="n">
        <f aca="false">IF(B105="","",A105/$B$6)</f>
        <v>0.069</v>
      </c>
      <c r="D105" s="21" t="n">
        <f aca="false">IF(B105="","",NORMDIST(B105,$B$15,$B$16,TRUE()))</f>
        <v>0.078361114159191</v>
      </c>
      <c r="E105" s="21" t="n">
        <f aca="false">IF(B105="","",IF(B105&gt;=$B$15,1-TDIST((B105-$B$15)/$B$18,$B$17,1),TDIST(($B$15-B105)/$B$18,$B$17,1)))</f>
        <v>0.0688569351941475</v>
      </c>
      <c r="F105" s="21" t="n">
        <f aca="false">IF(B105="","",IF(B105&lt;$B$19,0.5*EXP((B105-$B$19)/$B$20),1-0.5*EXP(-(B105-$B$19)/$B$20)))</f>
        <v>0.0689249564678149</v>
      </c>
      <c r="G105" s="21" t="n">
        <f aca="false">IF(B105="","",1/(1+EXP(-(B105-$B$15)/$B$21)))</f>
        <v>0.0711821880571197</v>
      </c>
      <c r="H105" s="21" t="n">
        <f aca="false">IF(B105="","",MAX(ABS($A105/$B$6-D105),ABS(($A105-1)/$B$6-D105)))</f>
        <v>0.010361114159191</v>
      </c>
      <c r="I105" s="21" t="n">
        <f aca="false">IF(B105="","",MAX(ABS($A105/$B$6-E105),ABS(($A105-1)/$B$6-E105)))</f>
        <v>0.000856935194147507</v>
      </c>
      <c r="J105" s="21" t="n">
        <f aca="false">IF(B105="","",MAX(ABS($A105/$B$6-F105),ABS(($A105-1)/$B$6-F105)))</f>
        <v>0.000924956467814861</v>
      </c>
      <c r="K105" s="21" t="n">
        <f aca="false">IF(B105="","",MAX(ABS($A105/$B$6-G105),ABS(($A105-1)/$B$6-G105)))</f>
        <v>0.00318218805711965</v>
      </c>
    </row>
    <row r="106" customFormat="false" ht="15" hidden="false" customHeight="false" outlineLevel="0" collapsed="false">
      <c r="A106" s="11" t="n">
        <v>70</v>
      </c>
      <c r="B106" s="9" t="n">
        <f aca="false">IF(A106&gt;$B$6,"",SMALL(BTC_Data!$C$3:$C$1002,A106))</f>
        <v>-0.00180667965582926</v>
      </c>
      <c r="C106" s="21" t="n">
        <f aca="false">IF(B106="","",A106/$B$6)</f>
        <v>0.07</v>
      </c>
      <c r="D106" s="21" t="n">
        <f aca="false">IF(B106="","",NORMDIST(B106,$B$15,$B$16,TRUE()))</f>
        <v>0.0793074701376837</v>
      </c>
      <c r="E106" s="21" t="n">
        <f aca="false">IF(B106="","",IF(B106&gt;=$B$15,1-TDIST((B106-$B$15)/$B$18,$B$17,1),TDIST(($B$15-B106)/$B$18,$B$17,1)))</f>
        <v>0.0696217435005246</v>
      </c>
      <c r="F106" s="21" t="n">
        <f aca="false">IF(B106="","",IF(B106&lt;$B$19,0.5*EXP((B106-$B$19)/$B$20),1-0.5*EXP(-(B106-$B$19)/$B$20)))</f>
        <v>0.0695477270489241</v>
      </c>
      <c r="G106" s="21" t="n">
        <f aca="false">IF(B106="","",1/(1+EXP(-(B106-$B$15)/$B$21)))</f>
        <v>0.0719579647442038</v>
      </c>
      <c r="H106" s="21" t="n">
        <f aca="false">IF(B106="","",MAX(ABS($A106/$B$6-D106),ABS(($A106-1)/$B$6-D106)))</f>
        <v>0.0103074701376837</v>
      </c>
      <c r="I106" s="21" t="n">
        <f aca="false">IF(B106="","",MAX(ABS($A106/$B$6-E106),ABS(($A106-1)/$B$6-E106)))</f>
        <v>0.000621743500524616</v>
      </c>
      <c r="J106" s="21" t="n">
        <f aca="false">IF(B106="","",MAX(ABS($A106/$B$6-F106),ABS(($A106-1)/$B$6-F106)))</f>
        <v>0.000547727048924127</v>
      </c>
      <c r="K106" s="21" t="n">
        <f aca="false">IF(B106="","",MAX(ABS($A106/$B$6-G106),ABS(($A106-1)/$B$6-G106)))</f>
        <v>0.00295796474420378</v>
      </c>
    </row>
    <row r="107" customFormat="false" ht="15" hidden="false" customHeight="false" outlineLevel="0" collapsed="false">
      <c r="A107" s="11" t="n">
        <v>71</v>
      </c>
      <c r="B107" s="9" t="n">
        <f aca="false">IF(A107&gt;$B$6,"",SMALL(BTC_Data!$C$3:$C$1002,A107))</f>
        <v>-0.00174637149936463</v>
      </c>
      <c r="C107" s="21" t="n">
        <f aca="false">IF(B107="","",A107/$B$6)</f>
        <v>0.071</v>
      </c>
      <c r="D107" s="21" t="n">
        <f aca="false">IF(B107="","",NORMDIST(B107,$B$15,$B$16,TRUE()))</f>
        <v>0.0865390679751689</v>
      </c>
      <c r="E107" s="21" t="n">
        <f aca="false">IF(B107="","",IF(B107&gt;=$B$15,1-TDIST((B107-$B$15)/$B$18,$B$17,1),TDIST(($B$15-B107)/$B$18,$B$17,1)))</f>
        <v>0.0754996677120423</v>
      </c>
      <c r="F107" s="21" t="n">
        <f aca="false">IF(B107="","",IF(B107&lt;$B$19,0.5*EXP((B107-$B$19)/$B$20),1-0.5*EXP(-(B107-$B$19)/$B$20)))</f>
        <v>0.074306823514802</v>
      </c>
      <c r="G107" s="21" t="n">
        <f aca="false">IF(B107="","",1/(1+EXP(-(B107-$B$15)/$B$21)))</f>
        <v>0.0779103855793896</v>
      </c>
      <c r="H107" s="21" t="n">
        <f aca="false">IF(B107="","",MAX(ABS($A107/$B$6-D107),ABS(($A107-1)/$B$6-D107)))</f>
        <v>0.0165390679751689</v>
      </c>
      <c r="I107" s="21" t="n">
        <f aca="false">IF(B107="","",MAX(ABS($A107/$B$6-E107),ABS(($A107-1)/$B$6-E107)))</f>
        <v>0.0054996677120423</v>
      </c>
      <c r="J107" s="21" t="n">
        <f aca="false">IF(B107="","",MAX(ABS($A107/$B$6-F107),ABS(($A107-1)/$B$6-F107)))</f>
        <v>0.00430682351480204</v>
      </c>
      <c r="K107" s="21" t="n">
        <f aca="false">IF(B107="","",MAX(ABS($A107/$B$6-G107),ABS(($A107-1)/$B$6-G107)))</f>
        <v>0.00791038557938963</v>
      </c>
    </row>
    <row r="108" customFormat="false" ht="15" hidden="false" customHeight="false" outlineLevel="0" collapsed="false">
      <c r="A108" s="11" t="n">
        <v>72</v>
      </c>
      <c r="B108" s="9" t="n">
        <f aca="false">IF(A108&gt;$B$6,"",SMALL(BTC_Data!$C$3:$C$1002,A108))</f>
        <v>-0.00174341150918711</v>
      </c>
      <c r="C108" s="21" t="n">
        <f aca="false">IF(B108="","",A108/$B$6)</f>
        <v>0.072</v>
      </c>
      <c r="D108" s="21" t="n">
        <f aca="false">IF(B108="","",NORMDIST(B108,$B$15,$B$16,TRUE()))</f>
        <v>0.0869062935582539</v>
      </c>
      <c r="E108" s="21" t="n">
        <f aca="false">IF(B108="","",IF(B108&gt;=$B$15,1-TDIST((B108-$B$15)/$B$18,$B$17,1),TDIST(($B$15-B108)/$B$18,$B$17,1)))</f>
        <v>0.0757997719977883</v>
      </c>
      <c r="F108" s="21" t="n">
        <f aca="false">IF(B108="","",IF(B108&lt;$B$19,0.5*EXP((B108-$B$19)/$B$20),1-0.5*EXP(-(B108-$B$19)/$B$20)))</f>
        <v>0.0745486133031937</v>
      </c>
      <c r="G108" s="21" t="n">
        <f aca="false">IF(B108="","",1/(1+EXP(-(B108-$B$15)/$B$21)))</f>
        <v>0.0782138503474388</v>
      </c>
      <c r="H108" s="21" t="n">
        <f aca="false">IF(B108="","",MAX(ABS($A108/$B$6-D108),ABS(($A108-1)/$B$6-D108)))</f>
        <v>0.0159062935582539</v>
      </c>
      <c r="I108" s="21" t="n">
        <f aca="false">IF(B108="","",MAX(ABS($A108/$B$6-E108),ABS(($A108-1)/$B$6-E108)))</f>
        <v>0.00479977199778831</v>
      </c>
      <c r="J108" s="21" t="n">
        <f aca="false">IF(B108="","",MAX(ABS($A108/$B$6-F108),ABS(($A108-1)/$B$6-F108)))</f>
        <v>0.00354861330319374</v>
      </c>
      <c r="K108" s="21" t="n">
        <f aca="false">IF(B108="","",MAX(ABS($A108/$B$6-G108),ABS(($A108-1)/$B$6-G108)))</f>
        <v>0.00721385034743885</v>
      </c>
    </row>
    <row r="109" customFormat="false" ht="15" hidden="false" customHeight="false" outlineLevel="0" collapsed="false">
      <c r="A109" s="11" t="n">
        <v>73</v>
      </c>
      <c r="B109" s="9" t="n">
        <f aca="false">IF(A109&gt;$B$6,"",SMALL(BTC_Data!$C$3:$C$1002,A109))</f>
        <v>-0.00167086264008975</v>
      </c>
      <c r="C109" s="21" t="n">
        <f aca="false">IF(B109="","",A109/$B$6)</f>
        <v>0.073</v>
      </c>
      <c r="D109" s="21" t="n">
        <f aca="false">IF(B109="","",NORMDIST(B109,$B$15,$B$16,TRUE()))</f>
        <v>0.0962745138854228</v>
      </c>
      <c r="E109" s="21" t="n">
        <f aca="false">IF(B109="","",IF(B109&gt;=$B$15,1-TDIST((B109-$B$15)/$B$18,$B$17,1),TDIST(($B$15-B109)/$B$18,$B$17,1)))</f>
        <v>0.0835103006452862</v>
      </c>
      <c r="F109" s="21" t="n">
        <f aca="false">IF(B109="","",IF(B109&lt;$B$19,0.5*EXP((B109-$B$19)/$B$20),1-0.5*EXP(-(B109-$B$19)/$B$20)))</f>
        <v>0.0807271898301864</v>
      </c>
      <c r="G109" s="21" t="n">
        <f aca="false">IF(B109="","",1/(1+EXP(-(B109-$B$15)/$B$21)))</f>
        <v>0.0859973257963497</v>
      </c>
      <c r="H109" s="21" t="n">
        <f aca="false">IF(B109="","",MAX(ABS($A109/$B$6-D109),ABS(($A109-1)/$B$6-D109)))</f>
        <v>0.0242745138854228</v>
      </c>
      <c r="I109" s="21" t="n">
        <f aca="false">IF(B109="","",MAX(ABS($A109/$B$6-E109),ABS(($A109-1)/$B$6-E109)))</f>
        <v>0.0115103006452862</v>
      </c>
      <c r="J109" s="21" t="n">
        <f aca="false">IF(B109="","",MAX(ABS($A109/$B$6-F109),ABS(($A109-1)/$B$6-F109)))</f>
        <v>0.00872718983018637</v>
      </c>
      <c r="K109" s="21" t="n">
        <f aca="false">IF(B109="","",MAX(ABS($A109/$B$6-G109),ABS(($A109-1)/$B$6-G109)))</f>
        <v>0.0139973257963497</v>
      </c>
    </row>
    <row r="110" customFormat="false" ht="15" hidden="false" customHeight="false" outlineLevel="0" collapsed="false">
      <c r="A110" s="11" t="n">
        <v>74</v>
      </c>
      <c r="B110" s="9" t="n">
        <f aca="false">IF(A110&gt;$B$6,"",SMALL(BTC_Data!$C$3:$C$1002,A110))</f>
        <v>-0.00164876712663165</v>
      </c>
      <c r="C110" s="21" t="n">
        <f aca="false">IF(B110="","",A110/$B$6)</f>
        <v>0.074</v>
      </c>
      <c r="D110" s="21" t="n">
        <f aca="false">IF(B110="","",NORMDIST(B110,$B$15,$B$16,TRUE()))</f>
        <v>0.0992701010130093</v>
      </c>
      <c r="E110" s="21" t="n">
        <f aca="false">IF(B110="","",IF(B110&gt;=$B$15,1-TDIST((B110-$B$15)/$B$18,$B$17,1),TDIST(($B$15-B110)/$B$18,$B$17,1)))</f>
        <v>0.0859984107088059</v>
      </c>
      <c r="F110" s="21" t="n">
        <f aca="false">IF(B110="","",IF(B110&lt;$B$19,0.5*EXP((B110-$B$19)/$B$20),1-0.5*EXP(-(B110-$B$19)/$B$20)))</f>
        <v>0.0827087799387319</v>
      </c>
      <c r="G110" s="21" t="n">
        <f aca="false">IF(B110="","",1/(1+EXP(-(B110-$B$15)/$B$21)))</f>
        <v>0.08850385790517</v>
      </c>
      <c r="H110" s="21" t="n">
        <f aca="false">IF(B110="","",MAX(ABS($A110/$B$6-D110),ABS(($A110-1)/$B$6-D110)))</f>
        <v>0.0262701010130093</v>
      </c>
      <c r="I110" s="21" t="n">
        <f aca="false">IF(B110="","",MAX(ABS($A110/$B$6-E110),ABS(($A110-1)/$B$6-E110)))</f>
        <v>0.0129984107088059</v>
      </c>
      <c r="J110" s="21" t="n">
        <f aca="false">IF(B110="","",MAX(ABS($A110/$B$6-F110),ABS(($A110-1)/$B$6-F110)))</f>
        <v>0.00970877993873194</v>
      </c>
      <c r="K110" s="21" t="n">
        <f aca="false">IF(B110="","",MAX(ABS($A110/$B$6-G110),ABS(($A110-1)/$B$6-G110)))</f>
        <v>0.01550385790517</v>
      </c>
    </row>
    <row r="111" customFormat="false" ht="15" hidden="false" customHeight="false" outlineLevel="0" collapsed="false">
      <c r="A111" s="11" t="n">
        <v>75</v>
      </c>
      <c r="B111" s="9" t="n">
        <f aca="false">IF(A111&gt;$B$6,"",SMALL(BTC_Data!$C$3:$C$1002,A111))</f>
        <v>-0.00161912194044767</v>
      </c>
      <c r="C111" s="21" t="n">
        <f aca="false">IF(B111="","",A111/$B$6)</f>
        <v>0.075</v>
      </c>
      <c r="D111" s="21" t="n">
        <f aca="false">IF(B111="","",NORMDIST(B111,$B$15,$B$16,TRUE()))</f>
        <v>0.103395508188453</v>
      </c>
      <c r="E111" s="21" t="n">
        <f aca="false">IF(B111="","",IF(B111&gt;=$B$15,1-TDIST((B111-$B$15)/$B$18,$B$17,1),TDIST(($B$15-B111)/$B$18,$B$17,1)))</f>
        <v>0.0894431888259892</v>
      </c>
      <c r="F111" s="21" t="n">
        <f aca="false">IF(B111="","",IF(B111&lt;$B$19,0.5*EXP((B111-$B$19)/$B$20),1-0.5*EXP(-(B111-$B$19)/$B$20)))</f>
        <v>0.0854440705309343</v>
      </c>
      <c r="G111" s="21" t="n">
        <f aca="false">IF(B111="","",1/(1+EXP(-(B111-$B$15)/$B$21)))</f>
        <v>0.0919703923389434</v>
      </c>
      <c r="H111" s="21" t="n">
        <f aca="false">IF(B111="","",MAX(ABS($A111/$B$6-D111),ABS(($A111-1)/$B$6-D111)))</f>
        <v>0.0293955081884532</v>
      </c>
      <c r="I111" s="21" t="n">
        <f aca="false">IF(B111="","",MAX(ABS($A111/$B$6-E111),ABS(($A111-1)/$B$6-E111)))</f>
        <v>0.0154431888259892</v>
      </c>
      <c r="J111" s="21" t="n">
        <f aca="false">IF(B111="","",MAX(ABS($A111/$B$6-F111),ABS(($A111-1)/$B$6-F111)))</f>
        <v>0.0114440705309343</v>
      </c>
      <c r="K111" s="21" t="n">
        <f aca="false">IF(B111="","",MAX(ABS($A111/$B$6-G111),ABS(($A111-1)/$B$6-G111)))</f>
        <v>0.0179703923389434</v>
      </c>
    </row>
    <row r="112" customFormat="false" ht="15" hidden="false" customHeight="false" outlineLevel="0" collapsed="false">
      <c r="A112" s="11" t="n">
        <v>76</v>
      </c>
      <c r="B112" s="9" t="n">
        <f aca="false">IF(A112&gt;$B$6,"",SMALL(BTC_Data!$C$3:$C$1002,A112))</f>
        <v>-0.00160417597594753</v>
      </c>
      <c r="C112" s="21" t="n">
        <f aca="false">IF(B112="","",A112/$B$6)</f>
        <v>0.076</v>
      </c>
      <c r="D112" s="21" t="n">
        <f aca="false">IF(B112="","",NORMDIST(B112,$B$15,$B$16,TRUE()))</f>
        <v>0.105521954929716</v>
      </c>
      <c r="E112" s="21" t="n">
        <f aca="false">IF(B112="","",IF(B112&gt;=$B$15,1-TDIST((B112-$B$15)/$B$18,$B$17,1),TDIST(($B$15-B112)/$B$18,$B$17,1)))</f>
        <v>0.0912271273517995</v>
      </c>
      <c r="F112" s="21" t="n">
        <f aca="false">IF(B112="","",IF(B112&lt;$B$19,0.5*EXP((B112-$B$19)/$B$20),1-0.5*EXP(-(B112-$B$19)/$B$20)))</f>
        <v>0.0868572134538631</v>
      </c>
      <c r="G112" s="21" t="n">
        <f aca="false">IF(B112="","",1/(1+EXP(-(B112-$B$15)/$B$21)))</f>
        <v>0.0937639748522761</v>
      </c>
      <c r="H112" s="21" t="n">
        <f aca="false">IF(B112="","",MAX(ABS($A112/$B$6-D112),ABS(($A112-1)/$B$6-D112)))</f>
        <v>0.0305219549297155</v>
      </c>
      <c r="I112" s="21" t="n">
        <f aca="false">IF(B112="","",MAX(ABS($A112/$B$6-E112),ABS(($A112-1)/$B$6-E112)))</f>
        <v>0.0162271273517995</v>
      </c>
      <c r="J112" s="21" t="n">
        <f aca="false">IF(B112="","",MAX(ABS($A112/$B$6-F112),ABS(($A112-1)/$B$6-F112)))</f>
        <v>0.0118572134538631</v>
      </c>
      <c r="K112" s="21" t="n">
        <f aca="false">IF(B112="","",MAX(ABS($A112/$B$6-G112),ABS(($A112-1)/$B$6-G112)))</f>
        <v>0.0187639748522761</v>
      </c>
    </row>
    <row r="113" customFormat="false" ht="15" hidden="false" customHeight="false" outlineLevel="0" collapsed="false">
      <c r="A113" s="11" t="n">
        <v>77</v>
      </c>
      <c r="B113" s="9" t="n">
        <f aca="false">IF(A113&gt;$B$6,"",SMALL(BTC_Data!$C$3:$C$1002,A113))</f>
        <v>-0.00160066018860705</v>
      </c>
      <c r="C113" s="21" t="n">
        <f aca="false">IF(B113="","",A113/$B$6)</f>
        <v>0.077</v>
      </c>
      <c r="D113" s="21" t="n">
        <f aca="false">IF(B113="","",NORMDIST(B113,$B$15,$B$16,TRUE()))</f>
        <v>0.10602672871101</v>
      </c>
      <c r="E113" s="21" t="n">
        <f aca="false">IF(B113="","",IF(B113&gt;=$B$15,1-TDIST((B113-$B$15)/$B$18,$B$17,1),TDIST(($B$15-B113)/$B$18,$B$17,1)))</f>
        <v>0.0916514324571372</v>
      </c>
      <c r="F113" s="21" t="n">
        <f aca="false">IF(B113="","",IF(B113&lt;$B$19,0.5*EXP((B113-$B$19)/$B$20),1-0.5*EXP(-(B113-$B$19)/$B$20)))</f>
        <v>0.0871930129324014</v>
      </c>
      <c r="G113" s="21" t="n">
        <f aca="false">IF(B113="","",1/(1+EXP(-(B113-$B$15)/$B$21)))</f>
        <v>0.0941904169337003</v>
      </c>
      <c r="H113" s="21" t="n">
        <f aca="false">IF(B113="","",MAX(ABS($A113/$B$6-D113),ABS(($A113-1)/$B$6-D113)))</f>
        <v>0.0300267287110104</v>
      </c>
      <c r="I113" s="21" t="n">
        <f aca="false">IF(B113="","",MAX(ABS($A113/$B$6-E113),ABS(($A113-1)/$B$6-E113)))</f>
        <v>0.0156514324571372</v>
      </c>
      <c r="J113" s="21" t="n">
        <f aca="false">IF(B113="","",MAX(ABS($A113/$B$6-F113),ABS(($A113-1)/$B$6-F113)))</f>
        <v>0.0111930129324014</v>
      </c>
      <c r="K113" s="21" t="n">
        <f aca="false">IF(B113="","",MAX(ABS($A113/$B$6-G113),ABS(($A113-1)/$B$6-G113)))</f>
        <v>0.0181904169337003</v>
      </c>
    </row>
    <row r="114" customFormat="false" ht="15" hidden="false" customHeight="false" outlineLevel="0" collapsed="false">
      <c r="A114" s="11" t="n">
        <v>78</v>
      </c>
      <c r="B114" s="9" t="n">
        <f aca="false">IF(A114&gt;$B$6,"",SMALL(BTC_Data!$C$3:$C$1002,A114))</f>
        <v>-0.00160013833003414</v>
      </c>
      <c r="C114" s="21" t="n">
        <f aca="false">IF(B114="","",A114/$B$6)</f>
        <v>0.078</v>
      </c>
      <c r="D114" s="21" t="n">
        <f aca="false">IF(B114="","",NORMDIST(B114,$B$15,$B$16,TRUE()))</f>
        <v>0.106101802213599</v>
      </c>
      <c r="E114" s="21" t="n">
        <f aca="false">IF(B114="","",IF(B114&gt;=$B$15,1-TDIST((B114-$B$15)/$B$18,$B$17,1),TDIST(($B$15-B114)/$B$18,$B$17,1)))</f>
        <v>0.0917145655270861</v>
      </c>
      <c r="F114" s="21" t="n">
        <f aca="false">IF(B114="","",IF(B114&lt;$B$19,0.5*EXP((B114-$B$19)/$B$20),1-0.5*EXP(-(B114-$B$19)/$B$20)))</f>
        <v>0.0872429671597308</v>
      </c>
      <c r="G114" s="21" t="n">
        <f aca="false">IF(B114="","",1/(1+EXP(-(B114-$B$15)/$B$21)))</f>
        <v>0.0942538628966309</v>
      </c>
      <c r="H114" s="21" t="n">
        <f aca="false">IF(B114="","",MAX(ABS($A114/$B$6-D114),ABS(($A114-1)/$B$6-D114)))</f>
        <v>0.0291018022135992</v>
      </c>
      <c r="I114" s="21" t="n">
        <f aca="false">IF(B114="","",MAX(ABS($A114/$B$6-E114),ABS(($A114-1)/$B$6-E114)))</f>
        <v>0.0147145655270861</v>
      </c>
      <c r="J114" s="21" t="n">
        <f aca="false">IF(B114="","",MAX(ABS($A114/$B$6-F114),ABS(($A114-1)/$B$6-F114)))</f>
        <v>0.0102429671597308</v>
      </c>
      <c r="K114" s="21" t="n">
        <f aca="false">IF(B114="","",MAX(ABS($A114/$B$6-G114),ABS(($A114-1)/$B$6-G114)))</f>
        <v>0.0172538628966309</v>
      </c>
    </row>
    <row r="115" customFormat="false" ht="15" hidden="false" customHeight="false" outlineLevel="0" collapsed="false">
      <c r="A115" s="11" t="n">
        <v>79</v>
      </c>
      <c r="B115" s="9" t="n">
        <f aca="false">IF(A115&gt;$B$6,"",SMALL(BTC_Data!$C$3:$C$1002,A115))</f>
        <v>-0.00159675477298793</v>
      </c>
      <c r="C115" s="21" t="n">
        <f aca="false">IF(B115="","",A115/$B$6)</f>
        <v>0.079</v>
      </c>
      <c r="D115" s="21" t="n">
        <f aca="false">IF(B115="","",NORMDIST(B115,$B$15,$B$16,TRUE()))</f>
        <v>0.106589485615172</v>
      </c>
      <c r="E115" s="21" t="n">
        <f aca="false">IF(B115="","",IF(B115&gt;=$B$15,1-TDIST((B115-$B$15)/$B$18,$B$17,1),TDIST(($B$15-B115)/$B$18,$B$17,1)))</f>
        <v>0.092124856009436</v>
      </c>
      <c r="F115" s="21" t="n">
        <f aca="false">IF(B115="","",IF(B115&lt;$B$19,0.5*EXP((B115-$B$19)/$B$20),1-0.5*EXP(-(B115-$B$19)/$B$20)))</f>
        <v>0.0875675487802899</v>
      </c>
      <c r="G115" s="21" t="n">
        <f aca="false">IF(B115="","",1/(1+EXP(-(B115-$B$15)/$B$21)))</f>
        <v>0.0946661549994504</v>
      </c>
      <c r="H115" s="21" t="n">
        <f aca="false">IF(B115="","",MAX(ABS($A115/$B$6-D115),ABS(($A115-1)/$B$6-D115)))</f>
        <v>0.0285894856151717</v>
      </c>
      <c r="I115" s="21" t="n">
        <f aca="false">IF(B115="","",MAX(ABS($A115/$B$6-E115),ABS(($A115-1)/$B$6-E115)))</f>
        <v>0.014124856009436</v>
      </c>
      <c r="J115" s="21" t="n">
        <f aca="false">IF(B115="","",MAX(ABS($A115/$B$6-F115),ABS(($A115-1)/$B$6-F115)))</f>
        <v>0.00956754878028993</v>
      </c>
      <c r="K115" s="21" t="n">
        <f aca="false">IF(B115="","",MAX(ABS($A115/$B$6-G115),ABS(($A115-1)/$B$6-G115)))</f>
        <v>0.0166661549994504</v>
      </c>
    </row>
    <row r="116" customFormat="false" ht="15" hidden="false" customHeight="false" outlineLevel="0" collapsed="false">
      <c r="A116" s="11" t="n">
        <v>80</v>
      </c>
      <c r="B116" s="9" t="n">
        <f aca="false">IF(A116&gt;$B$6,"",SMALL(BTC_Data!$C$3:$C$1002,A116))</f>
        <v>-0.00159667261910057</v>
      </c>
      <c r="C116" s="21" t="n">
        <f aca="false">IF(B116="","",A116/$B$6)</f>
        <v>0.08</v>
      </c>
      <c r="D116" s="21" t="n">
        <f aca="false">IF(B116="","",NORMDIST(B116,$B$15,$B$16,TRUE()))</f>
        <v>0.106601346817114</v>
      </c>
      <c r="E116" s="21" t="n">
        <f aca="false">IF(B116="","",IF(B116&gt;=$B$15,1-TDIST((B116-$B$15)/$B$18,$B$17,1),TDIST(($B$15-B116)/$B$18,$B$17,1)))</f>
        <v>0.0921348386357762</v>
      </c>
      <c r="F116" s="21" t="n">
        <f aca="false">IF(B116="","",IF(B116&lt;$B$19,0.5*EXP((B116-$B$19)/$B$20),1-0.5*EXP(-(B116-$B$19)/$B$20)))</f>
        <v>0.0875754447277881</v>
      </c>
      <c r="G116" s="21" t="n">
        <f aca="false">IF(B116="","",1/(1+EXP(-(B116-$B$15)/$B$21)))</f>
        <v>0.0946761856415655</v>
      </c>
      <c r="H116" s="21" t="n">
        <f aca="false">IF(B116="","",MAX(ABS($A116/$B$6-D116),ABS(($A116-1)/$B$6-D116)))</f>
        <v>0.0276013468171135</v>
      </c>
      <c r="I116" s="21" t="n">
        <f aca="false">IF(B116="","",MAX(ABS($A116/$B$6-E116),ABS(($A116-1)/$B$6-E116)))</f>
        <v>0.0131348386357762</v>
      </c>
      <c r="J116" s="21" t="n">
        <f aca="false">IF(B116="","",MAX(ABS($A116/$B$6-F116),ABS(($A116-1)/$B$6-F116)))</f>
        <v>0.00857544472778808</v>
      </c>
      <c r="K116" s="21" t="n">
        <f aca="false">IF(B116="","",MAX(ABS($A116/$B$6-G116),ABS(($A116-1)/$B$6-G116)))</f>
        <v>0.0156761856415655</v>
      </c>
    </row>
    <row r="117" customFormat="false" ht="15" hidden="false" customHeight="false" outlineLevel="0" collapsed="false">
      <c r="A117" s="11" t="n">
        <v>81</v>
      </c>
      <c r="B117" s="9" t="n">
        <f aca="false">IF(A117&gt;$B$6,"",SMALL(BTC_Data!$C$3:$C$1002,A117))</f>
        <v>-0.00156713697868649</v>
      </c>
      <c r="C117" s="21" t="n">
        <f aca="false">IF(B117="","",A117/$B$6)</f>
        <v>0.081</v>
      </c>
      <c r="D117" s="21" t="n">
        <f aca="false">IF(B117="","",NORMDIST(B117,$B$15,$B$16,TRUE()))</f>
        <v>0.110927586716863</v>
      </c>
      <c r="E117" s="21" t="n">
        <f aca="false">IF(B117="","",IF(B117&gt;=$B$15,1-TDIST((B117-$B$15)/$B$18,$B$17,1),TDIST(($B$15-B117)/$B$18,$B$17,1)))</f>
        <v>0.0957877601855199</v>
      </c>
      <c r="F117" s="21" t="n">
        <f aca="false">IF(B117="","",IF(B117&lt;$B$19,0.5*EXP((B117-$B$19)/$B$20),1-0.5*EXP(-(B117-$B$19)/$B$20)))</f>
        <v>0.0904608058105083</v>
      </c>
      <c r="G117" s="21" t="n">
        <f aca="false">IF(B117="","",1/(1+EXP(-(B117-$B$15)/$B$21)))</f>
        <v>0.0983445524518143</v>
      </c>
      <c r="H117" s="21" t="n">
        <f aca="false">IF(B117="","",MAX(ABS($A117/$B$6-D117),ABS(($A117-1)/$B$6-D117)))</f>
        <v>0.0309275867168626</v>
      </c>
      <c r="I117" s="21" t="n">
        <f aca="false">IF(B117="","",MAX(ABS($A117/$B$6-E117),ABS(($A117-1)/$B$6-E117)))</f>
        <v>0.0157877601855199</v>
      </c>
      <c r="J117" s="21" t="n">
        <f aca="false">IF(B117="","",MAX(ABS($A117/$B$6-F117),ABS(($A117-1)/$B$6-F117)))</f>
        <v>0.0104608058105083</v>
      </c>
      <c r="K117" s="21" t="n">
        <f aca="false">IF(B117="","",MAX(ABS($A117/$B$6-G117),ABS(($A117-1)/$B$6-G117)))</f>
        <v>0.0183445524518143</v>
      </c>
    </row>
    <row r="118" customFormat="false" ht="15" hidden="false" customHeight="false" outlineLevel="0" collapsed="false">
      <c r="A118" s="11" t="n">
        <v>82</v>
      </c>
      <c r="B118" s="9" t="n">
        <f aca="false">IF(A118&gt;$B$6,"",SMALL(BTC_Data!$C$3:$C$1002,A118))</f>
        <v>-0.00156652423089443</v>
      </c>
      <c r="C118" s="21" t="n">
        <f aca="false">IF(B118="","",A118/$B$6)</f>
        <v>0.082</v>
      </c>
      <c r="D118" s="21" t="n">
        <f aca="false">IF(B118="","",NORMDIST(B118,$B$15,$B$16,TRUE()))</f>
        <v>0.11101865166165</v>
      </c>
      <c r="E118" s="21" t="n">
        <f aca="false">IF(B118="","",IF(B118&gt;=$B$15,1-TDIST((B118-$B$15)/$B$18,$B$17,1),TDIST(($B$15-B118)/$B$18,$B$17,1)))</f>
        <v>0.095864907159003</v>
      </c>
      <c r="F118" s="21" t="n">
        <f aca="false">IF(B118="","",IF(B118&lt;$B$19,0.5*EXP((B118-$B$19)/$B$20),1-0.5*EXP(-(B118-$B$19)/$B$20)))</f>
        <v>0.090521661559104</v>
      </c>
      <c r="G118" s="21" t="n">
        <f aca="false">IF(B118="","",1/(1+EXP(-(B118-$B$15)/$B$21)))</f>
        <v>0.0984219810609861</v>
      </c>
      <c r="H118" s="21" t="n">
        <f aca="false">IF(B118="","",MAX(ABS($A118/$B$6-D118),ABS(($A118-1)/$B$6-D118)))</f>
        <v>0.0300186516616504</v>
      </c>
      <c r="I118" s="21" t="n">
        <f aca="false">IF(B118="","",MAX(ABS($A118/$B$6-E118),ABS(($A118-1)/$B$6-E118)))</f>
        <v>0.014864907159003</v>
      </c>
      <c r="J118" s="21" t="n">
        <f aca="false">IF(B118="","",MAX(ABS($A118/$B$6-F118),ABS(($A118-1)/$B$6-F118)))</f>
        <v>0.00952166155910404</v>
      </c>
      <c r="K118" s="21" t="n">
        <f aca="false">IF(B118="","",MAX(ABS($A118/$B$6-G118),ABS(($A118-1)/$B$6-G118)))</f>
        <v>0.0174219810609861</v>
      </c>
    </row>
    <row r="119" customFormat="false" ht="15" hidden="false" customHeight="false" outlineLevel="0" collapsed="false">
      <c r="A119" s="11" t="n">
        <v>83</v>
      </c>
      <c r="B119" s="9" t="n">
        <f aca="false">IF(A119&gt;$B$6,"",SMALL(BTC_Data!$C$3:$C$1002,A119))</f>
        <v>-0.00154284647444847</v>
      </c>
      <c r="C119" s="21" t="n">
        <f aca="false">IF(B119="","",A119/$B$6)</f>
        <v>0.083</v>
      </c>
      <c r="D119" s="21" t="n">
        <f aca="false">IF(B119="","",NORMDIST(B119,$B$15,$B$16,TRUE()))</f>
        <v>0.11457867543919</v>
      </c>
      <c r="E119" s="21" t="n">
        <f aca="false">IF(B119="","",IF(B119&gt;=$B$15,1-TDIST((B119-$B$15)/$B$18,$B$17,1),TDIST(($B$15-B119)/$B$18,$B$17,1)))</f>
        <v>0.0988891004193034</v>
      </c>
      <c r="F119" s="21" t="n">
        <f aca="false">IF(B119="","",IF(B119&lt;$B$19,0.5*EXP((B119-$B$19)/$B$20),1-0.5*EXP(-(B119-$B$19)/$B$20)))</f>
        <v>0.0929048677802487</v>
      </c>
      <c r="G119" s="21" t="n">
        <f aca="false">IF(B119="","",1/(1+EXP(-(B119-$B$15)/$B$21)))</f>
        <v>0.101455827402321</v>
      </c>
      <c r="H119" s="21" t="n">
        <f aca="false">IF(B119="","",MAX(ABS($A119/$B$6-D119),ABS(($A119-1)/$B$6-D119)))</f>
        <v>0.0325786754391896</v>
      </c>
      <c r="I119" s="21" t="n">
        <f aca="false">IF(B119="","",MAX(ABS($A119/$B$6-E119),ABS(($A119-1)/$B$6-E119)))</f>
        <v>0.0168891004193034</v>
      </c>
      <c r="J119" s="21" t="n">
        <f aca="false">IF(B119="","",MAX(ABS($A119/$B$6-F119),ABS(($A119-1)/$B$6-F119)))</f>
        <v>0.0109048677802487</v>
      </c>
      <c r="K119" s="21" t="n">
        <f aca="false">IF(B119="","",MAX(ABS($A119/$B$6-G119),ABS(($A119-1)/$B$6-G119)))</f>
        <v>0.0194558274023213</v>
      </c>
    </row>
    <row r="120" customFormat="false" ht="15" hidden="false" customHeight="false" outlineLevel="0" collapsed="false">
      <c r="A120" s="11" t="n">
        <v>84</v>
      </c>
      <c r="B120" s="9" t="n">
        <f aca="false">IF(A120&gt;$B$6,"",SMALL(BTC_Data!$C$3:$C$1002,A120))</f>
        <v>-0.00153891974543241</v>
      </c>
      <c r="C120" s="21" t="n">
        <f aca="false">IF(B120="","",A120/$B$6)</f>
        <v>0.084</v>
      </c>
      <c r="D120" s="21" t="n">
        <f aca="false">IF(B120="","",NORMDIST(B120,$B$15,$B$16,TRUE()))</f>
        <v>0.11517683907412</v>
      </c>
      <c r="E120" s="21" t="n">
        <f aca="false">IF(B120="","",IF(B120&gt;=$B$15,1-TDIST((B120-$B$15)/$B$18,$B$17,1),TDIST(($B$15-B120)/$B$18,$B$17,1)))</f>
        <v>0.0993988171114305</v>
      </c>
      <c r="F120" s="21" t="n">
        <f aca="false">IF(B120="","",IF(B120&lt;$B$19,0.5*EXP((B120-$B$19)/$B$20),1-0.5*EXP(-(B120-$B$19)/$B$20)))</f>
        <v>0.0933061213713332</v>
      </c>
      <c r="G120" s="21" t="n">
        <f aca="false">IF(B120="","",1/(1+EXP(-(B120-$B$15)/$B$21)))</f>
        <v>0.10196691110764</v>
      </c>
      <c r="H120" s="21" t="n">
        <f aca="false">IF(B120="","",MAX(ABS($A120/$B$6-D120),ABS(($A120-1)/$B$6-D120)))</f>
        <v>0.0321768390741205</v>
      </c>
      <c r="I120" s="21" t="n">
        <f aca="false">IF(B120="","",MAX(ABS($A120/$B$6-E120),ABS(($A120-1)/$B$6-E120)))</f>
        <v>0.0163988171114305</v>
      </c>
      <c r="J120" s="21" t="n">
        <f aca="false">IF(B120="","",MAX(ABS($A120/$B$6-F120),ABS(($A120-1)/$B$6-F120)))</f>
        <v>0.0103061213713332</v>
      </c>
      <c r="K120" s="21" t="n">
        <f aca="false">IF(B120="","",MAX(ABS($A120/$B$6-G120),ABS(($A120-1)/$B$6-G120)))</f>
        <v>0.0189669111076404</v>
      </c>
    </row>
    <row r="121" customFormat="false" ht="15" hidden="false" customHeight="false" outlineLevel="0" collapsed="false">
      <c r="A121" s="11" t="n">
        <v>85</v>
      </c>
      <c r="B121" s="9" t="n">
        <f aca="false">IF(A121&gt;$B$6,"",SMALL(BTC_Data!$C$3:$C$1002,A121))</f>
        <v>-0.00152626693955926</v>
      </c>
      <c r="C121" s="21" t="n">
        <f aca="false">IF(B121="","",A121/$B$6)</f>
        <v>0.085</v>
      </c>
      <c r="D121" s="21" t="n">
        <f aca="false">IF(B121="","",NORMDIST(B121,$B$15,$B$16,TRUE()))</f>
        <v>0.117119349195716</v>
      </c>
      <c r="E121" s="21" t="n">
        <f aca="false">IF(B121="","",IF(B121&gt;=$B$15,1-TDIST((B121-$B$15)/$B$18,$B$17,1),TDIST(($B$15-B121)/$B$18,$B$17,1)))</f>
        <v>0.101057249707566</v>
      </c>
      <c r="F121" s="21" t="n">
        <f aca="false">IF(B121="","",IF(B121&lt;$B$19,0.5*EXP((B121-$B$19)/$B$20),1-0.5*EXP(-(B121-$B$19)/$B$20)))</f>
        <v>0.0946108773607221</v>
      </c>
      <c r="G121" s="21" t="n">
        <f aca="false">IF(B121="","",1/(1+EXP(-(B121-$B$15)/$B$21)))</f>
        <v>0.103629290463262</v>
      </c>
      <c r="H121" s="21" t="n">
        <f aca="false">IF(B121="","",MAX(ABS($A121/$B$6-D121),ABS(($A121-1)/$B$6-D121)))</f>
        <v>0.0331193491957163</v>
      </c>
      <c r="I121" s="21" t="n">
        <f aca="false">IF(B121="","",MAX(ABS($A121/$B$6-E121),ABS(($A121-1)/$B$6-E121)))</f>
        <v>0.0170572497075656</v>
      </c>
      <c r="J121" s="21" t="n">
        <f aca="false">IF(B121="","",MAX(ABS($A121/$B$6-F121),ABS(($A121-1)/$B$6-F121)))</f>
        <v>0.0106108773607221</v>
      </c>
      <c r="K121" s="21" t="n">
        <f aca="false">IF(B121="","",MAX(ABS($A121/$B$6-G121),ABS(($A121-1)/$B$6-G121)))</f>
        <v>0.0196292904632624</v>
      </c>
    </row>
    <row r="122" customFormat="false" ht="15" hidden="false" customHeight="false" outlineLevel="0" collapsed="false">
      <c r="A122" s="11" t="n">
        <v>86</v>
      </c>
      <c r="B122" s="9" t="n">
        <f aca="false">IF(A122&gt;$B$6,"",SMALL(BTC_Data!$C$3:$C$1002,A122))</f>
        <v>-0.00150348435895709</v>
      </c>
      <c r="C122" s="21" t="n">
        <f aca="false">IF(B122="","",A122/$B$6)</f>
        <v>0.086</v>
      </c>
      <c r="D122" s="21" t="n">
        <f aca="false">IF(B122="","",NORMDIST(B122,$B$15,$B$16,TRUE()))</f>
        <v>0.120675314432691</v>
      </c>
      <c r="E122" s="21" t="n">
        <f aca="false">IF(B122="","",IF(B122&gt;=$B$15,1-TDIST((B122-$B$15)/$B$18,$B$17,1),TDIST(($B$15-B122)/$B$18,$B$17,1)))</f>
        <v>0.10410567941126</v>
      </c>
      <c r="F122" s="21" t="n">
        <f aca="false">IF(B122="","",IF(B122&lt;$B$19,0.5*EXP((B122-$B$19)/$B$20),1-0.5*EXP(-(B122-$B$19)/$B$20)))</f>
        <v>0.0970063890522718</v>
      </c>
      <c r="G122" s="21" t="n">
        <f aca="false">IF(B122="","",1/(1+EXP(-(B122-$B$15)/$B$21)))</f>
        <v>0.106683044660947</v>
      </c>
      <c r="H122" s="21" t="n">
        <f aca="false">IF(B122="","",MAX(ABS($A122/$B$6-D122),ABS(($A122-1)/$B$6-D122)))</f>
        <v>0.0356753144326913</v>
      </c>
      <c r="I122" s="21" t="n">
        <f aca="false">IF(B122="","",MAX(ABS($A122/$B$6-E122),ABS(($A122-1)/$B$6-E122)))</f>
        <v>0.0191056794112595</v>
      </c>
      <c r="J122" s="21" t="n">
        <f aca="false">IF(B122="","",MAX(ABS($A122/$B$6-F122),ABS(($A122-1)/$B$6-F122)))</f>
        <v>0.0120063890522717</v>
      </c>
      <c r="K122" s="21" t="n">
        <f aca="false">IF(B122="","",MAX(ABS($A122/$B$6-G122),ABS(($A122-1)/$B$6-G122)))</f>
        <v>0.0216830446609467</v>
      </c>
    </row>
    <row r="123" customFormat="false" ht="15" hidden="false" customHeight="false" outlineLevel="0" collapsed="false">
      <c r="A123" s="11" t="n">
        <v>87</v>
      </c>
      <c r="B123" s="9" t="n">
        <f aca="false">IF(A123&gt;$B$6,"",SMALL(BTC_Data!$C$3:$C$1002,A123))</f>
        <v>-0.00150248391742414</v>
      </c>
      <c r="C123" s="21" t="n">
        <f aca="false">IF(B123="","",A123/$B$6)</f>
        <v>0.087</v>
      </c>
      <c r="D123" s="21" t="n">
        <f aca="false">IF(B123="","",NORMDIST(B123,$B$15,$B$16,TRUE()))</f>
        <v>0.120833189508684</v>
      </c>
      <c r="E123" s="21" t="n">
        <f aca="false">IF(B123="","",IF(B123&gt;=$B$15,1-TDIST((B123-$B$15)/$B$18,$B$17,1),TDIST(($B$15-B123)/$B$18,$B$17,1)))</f>
        <v>0.10424139648794</v>
      </c>
      <c r="F123" s="21" t="n">
        <f aca="false">IF(B123="","",IF(B123&lt;$B$19,0.5*EXP((B123-$B$19)/$B$20),1-0.5*EXP(-(B123-$B$19)/$B$20)))</f>
        <v>0.0971129612358398</v>
      </c>
      <c r="G123" s="21" t="n">
        <f aca="false">IF(B123="","",1/(1+EXP(-(B123-$B$15)/$B$21)))</f>
        <v>0.106818942530841</v>
      </c>
      <c r="H123" s="21" t="n">
        <f aca="false">IF(B123="","",MAX(ABS($A123/$B$6-D123),ABS(($A123-1)/$B$6-D123)))</f>
        <v>0.0348331895086844</v>
      </c>
      <c r="I123" s="21" t="n">
        <f aca="false">IF(B123="","",MAX(ABS($A123/$B$6-E123),ABS(($A123-1)/$B$6-E123)))</f>
        <v>0.0182413964879398</v>
      </c>
      <c r="J123" s="21" t="n">
        <f aca="false">IF(B123="","",MAX(ABS($A123/$B$6-F123),ABS(($A123-1)/$B$6-F123)))</f>
        <v>0.0111129612358398</v>
      </c>
      <c r="K123" s="21" t="n">
        <f aca="false">IF(B123="","",MAX(ABS($A123/$B$6-G123),ABS(($A123-1)/$B$6-G123)))</f>
        <v>0.0208189425308414</v>
      </c>
    </row>
    <row r="124" customFormat="false" ht="15" hidden="false" customHeight="false" outlineLevel="0" collapsed="false">
      <c r="A124" s="11" t="n">
        <v>88</v>
      </c>
      <c r="B124" s="9" t="n">
        <f aca="false">IF(A124&gt;$B$6,"",SMALL(BTC_Data!$C$3:$C$1002,A124))</f>
        <v>-0.00149972414863198</v>
      </c>
      <c r="C124" s="21" t="n">
        <f aca="false">IF(B124="","",A124/$B$6)</f>
        <v>0.088</v>
      </c>
      <c r="D124" s="21" t="n">
        <f aca="false">IF(B124="","",NORMDIST(B124,$B$15,$B$16,TRUE()))</f>
        <v>0.121269449318787</v>
      </c>
      <c r="E124" s="21" t="n">
        <f aca="false">IF(B124="","",IF(B124&gt;=$B$15,1-TDIST((B124-$B$15)/$B$18,$B$17,1),TDIST(($B$15-B124)/$B$18,$B$17,1)))</f>
        <v>0.104616592554993</v>
      </c>
      <c r="F124" s="21" t="n">
        <f aca="false">IF(B124="","",IF(B124&lt;$B$19,0.5*EXP((B124-$B$19)/$B$20),1-0.5*EXP(-(B124-$B$19)/$B$20)))</f>
        <v>0.09740755336738</v>
      </c>
      <c r="G124" s="21" t="n">
        <f aca="false">IF(B124="","",1/(1+EXP(-(B124-$B$15)/$B$21)))</f>
        <v>0.107194614051323</v>
      </c>
      <c r="H124" s="21" t="n">
        <f aca="false">IF(B124="","",MAX(ABS($A124/$B$6-D124),ABS(($A124-1)/$B$6-D124)))</f>
        <v>0.0342694493187871</v>
      </c>
      <c r="I124" s="21" t="n">
        <f aca="false">IF(B124="","",MAX(ABS($A124/$B$6-E124),ABS(($A124-1)/$B$6-E124)))</f>
        <v>0.0176165925549931</v>
      </c>
      <c r="J124" s="21" t="n">
        <f aca="false">IF(B124="","",MAX(ABS($A124/$B$6-F124),ABS(($A124-1)/$B$6-F124)))</f>
        <v>0.01040755336738</v>
      </c>
      <c r="K124" s="21" t="n">
        <f aca="false">IF(B124="","",MAX(ABS($A124/$B$6-G124),ABS(($A124-1)/$B$6-G124)))</f>
        <v>0.0201946140513227</v>
      </c>
    </row>
    <row r="125" customFormat="false" ht="15" hidden="false" customHeight="false" outlineLevel="0" collapsed="false">
      <c r="A125" s="11" t="n">
        <v>89</v>
      </c>
      <c r="B125" s="9" t="n">
        <f aca="false">IF(A125&gt;$B$6,"",SMALL(BTC_Data!$C$3:$C$1002,A125))</f>
        <v>-0.00149418556949532</v>
      </c>
      <c r="C125" s="21" t="n">
        <f aca="false">IF(B125="","",A125/$B$6)</f>
        <v>0.089</v>
      </c>
      <c r="D125" s="21" t="n">
        <f aca="false">IF(B125="","",NORMDIST(B125,$B$15,$B$16,TRUE()))</f>
        <v>0.122148318315817</v>
      </c>
      <c r="E125" s="21" t="n">
        <f aca="false">IF(B125="","",IF(B125&gt;=$B$15,1-TDIST((B125-$B$15)/$B$18,$B$17,1),TDIST(($B$15-B125)/$B$18,$B$17,1)))</f>
        <v>0.105373185543111</v>
      </c>
      <c r="F125" s="21" t="n">
        <f aca="false">IF(B125="","",IF(B125&lt;$B$19,0.5*EXP((B125-$B$19)/$B$20),1-0.5*EXP(-(B125-$B$19)/$B$20)))</f>
        <v>0.0980014693418143</v>
      </c>
      <c r="G125" s="21" t="n">
        <f aca="false">IF(B125="","",1/(1+EXP(-(B125-$B$15)/$B$21)))</f>
        <v>0.107952057924695</v>
      </c>
      <c r="H125" s="21" t="n">
        <f aca="false">IF(B125="","",MAX(ABS($A125/$B$6-D125),ABS(($A125-1)/$B$6-D125)))</f>
        <v>0.0341483183158169</v>
      </c>
      <c r="I125" s="21" t="n">
        <f aca="false">IF(B125="","",MAX(ABS($A125/$B$6-E125),ABS(($A125-1)/$B$6-E125)))</f>
        <v>0.0173731855431114</v>
      </c>
      <c r="J125" s="21" t="n">
        <f aca="false">IF(B125="","",MAX(ABS($A125/$B$6-F125),ABS(($A125-1)/$B$6-F125)))</f>
        <v>0.0100014693418143</v>
      </c>
      <c r="K125" s="21" t="n">
        <f aca="false">IF(B125="","",MAX(ABS($A125/$B$6-G125),ABS(($A125-1)/$B$6-G125)))</f>
        <v>0.0199520579246955</v>
      </c>
    </row>
    <row r="126" customFormat="false" ht="15" hidden="false" customHeight="false" outlineLevel="0" collapsed="false">
      <c r="A126" s="11" t="n">
        <v>90</v>
      </c>
      <c r="B126" s="9" t="n">
        <f aca="false">IF(A126&gt;$B$6,"",SMALL(BTC_Data!$C$3:$C$1002,A126))</f>
        <v>-0.00149374871177932</v>
      </c>
      <c r="C126" s="21" t="n">
        <f aca="false">IF(B126="","",A126/$B$6)</f>
        <v>0.09</v>
      </c>
      <c r="D126" s="21" t="n">
        <f aca="false">IF(B126="","",NORMDIST(B126,$B$15,$B$16,TRUE()))</f>
        <v>0.122217829266089</v>
      </c>
      <c r="E126" s="21" t="n">
        <f aca="false">IF(B126="","",IF(B126&gt;=$B$15,1-TDIST((B126-$B$15)/$B$18,$B$17,1),TDIST(($B$15-B126)/$B$18,$B$17,1)))</f>
        <v>0.105433067741099</v>
      </c>
      <c r="F126" s="21" t="n">
        <f aca="false">IF(B126="","",IF(B126&lt;$B$19,0.5*EXP((B126-$B$19)/$B$20),1-0.5*EXP(-(B126-$B$19)/$B$20)))</f>
        <v>0.0980484684997781</v>
      </c>
      <c r="G126" s="21" t="n">
        <f aca="false">IF(B126="","",1/(1+EXP(-(B126-$B$15)/$B$21)))</f>
        <v>0.108012001357747</v>
      </c>
      <c r="H126" s="21" t="n">
        <f aca="false">IF(B126="","",MAX(ABS($A126/$B$6-D126),ABS(($A126-1)/$B$6-D126)))</f>
        <v>0.0332178292660886</v>
      </c>
      <c r="I126" s="21" t="n">
        <f aca="false">IF(B126="","",MAX(ABS($A126/$B$6-E126),ABS(($A126-1)/$B$6-E126)))</f>
        <v>0.0164330677410987</v>
      </c>
      <c r="J126" s="21" t="n">
        <f aca="false">IF(B126="","",MAX(ABS($A126/$B$6-F126),ABS(($A126-1)/$B$6-F126)))</f>
        <v>0.00904846849977813</v>
      </c>
      <c r="K126" s="21" t="n">
        <f aca="false">IF(B126="","",MAX(ABS($A126/$B$6-G126),ABS(($A126-1)/$B$6-G126)))</f>
        <v>0.0190120013577471</v>
      </c>
    </row>
    <row r="127" customFormat="false" ht="15" hidden="false" customHeight="false" outlineLevel="0" collapsed="false">
      <c r="A127" s="11" t="n">
        <v>91</v>
      </c>
      <c r="B127" s="9" t="n">
        <f aca="false">IF(A127&gt;$B$6,"",SMALL(BTC_Data!$C$3:$C$1002,A127))</f>
        <v>-0.00148157611618738</v>
      </c>
      <c r="C127" s="21" t="n">
        <f aca="false">IF(B127="","",A127/$B$6)</f>
        <v>0.091</v>
      </c>
      <c r="D127" s="21" t="n">
        <f aca="false">IF(B127="","",NORMDIST(B127,$B$15,$B$16,TRUE()))</f>
        <v>0.12416585698379</v>
      </c>
      <c r="E127" s="21" t="n">
        <f aca="false">IF(B127="","",IF(B127&gt;=$B$15,1-TDIST((B127-$B$15)/$B$18,$B$17,1),TDIST(($B$15-B127)/$B$18,$B$17,1)))</f>
        <v>0.107113770016679</v>
      </c>
      <c r="F127" s="21" t="n">
        <f aca="false">IF(B127="","",IF(B127&lt;$B$19,0.5*EXP((B127-$B$19)/$B$20),1-0.5*EXP(-(B127-$B$19)/$B$20)))</f>
        <v>0.0993671551825141</v>
      </c>
      <c r="G127" s="21" t="n">
        <f aca="false">IF(B127="","",1/(1+EXP(-(B127-$B$15)/$B$21)))</f>
        <v>0.109694062833119</v>
      </c>
      <c r="H127" s="21" t="n">
        <f aca="false">IF(B127="","",MAX(ABS($A127/$B$6-D127),ABS(($A127-1)/$B$6-D127)))</f>
        <v>0.0341658569837904</v>
      </c>
      <c r="I127" s="21" t="n">
        <f aca="false">IF(B127="","",MAX(ABS($A127/$B$6-E127),ABS(($A127-1)/$B$6-E127)))</f>
        <v>0.017113770016679</v>
      </c>
      <c r="J127" s="21" t="n">
        <f aca="false">IF(B127="","",MAX(ABS($A127/$B$6-F127),ABS(($A127-1)/$B$6-F127)))</f>
        <v>0.00936715518251408</v>
      </c>
      <c r="K127" s="21" t="n">
        <f aca="false">IF(B127="","",MAX(ABS($A127/$B$6-G127),ABS(($A127-1)/$B$6-G127)))</f>
        <v>0.0196940628331188</v>
      </c>
    </row>
    <row r="128" customFormat="false" ht="15" hidden="false" customHeight="false" outlineLevel="0" collapsed="false">
      <c r="A128" s="11" t="n">
        <v>92</v>
      </c>
      <c r="B128" s="9" t="n">
        <f aca="false">IF(A128&gt;$B$6,"",SMALL(BTC_Data!$C$3:$C$1002,A128))</f>
        <v>-0.00147610406921173</v>
      </c>
      <c r="C128" s="21" t="n">
        <f aca="false">IF(B128="","",A128/$B$6)</f>
        <v>0.092</v>
      </c>
      <c r="D128" s="21" t="n">
        <f aca="false">IF(B128="","",NORMDIST(B128,$B$15,$B$16,TRUE()))</f>
        <v>0.125048609849463</v>
      </c>
      <c r="E128" s="21" t="n">
        <f aca="false">IF(B128="","",IF(B128&gt;=$B$15,1-TDIST((B128-$B$15)/$B$18,$B$17,1),TDIST(($B$15-B128)/$B$18,$B$17,1)))</f>
        <v>0.107876985116714</v>
      </c>
      <c r="F128" s="21" t="n">
        <f aca="false">IF(B128="","",IF(B128&lt;$B$19,0.5*EXP((B128-$B$19)/$B$20),1-0.5*EXP(-(B128-$B$19)/$B$20)))</f>
        <v>0.0999657194777395</v>
      </c>
      <c r="G128" s="21" t="n">
        <f aca="false">IF(B128="","",1/(1+EXP(-(B128-$B$15)/$B$21)))</f>
        <v>0.110457669799798</v>
      </c>
      <c r="H128" s="21" t="n">
        <f aca="false">IF(B128="","",MAX(ABS($A128/$B$6-D128),ABS(($A128-1)/$B$6-D128)))</f>
        <v>0.0340486098494634</v>
      </c>
      <c r="I128" s="21" t="n">
        <f aca="false">IF(B128="","",MAX(ABS($A128/$B$6-E128),ABS(($A128-1)/$B$6-E128)))</f>
        <v>0.0168769851167141</v>
      </c>
      <c r="J128" s="21" t="n">
        <f aca="false">IF(B128="","",MAX(ABS($A128/$B$6-F128),ABS(($A128-1)/$B$6-F128)))</f>
        <v>0.00896571947773947</v>
      </c>
      <c r="K128" s="21" t="n">
        <f aca="false">IF(B128="","",MAX(ABS($A128/$B$6-G128),ABS(($A128-1)/$B$6-G128)))</f>
        <v>0.0194576697997982</v>
      </c>
    </row>
    <row r="129" customFormat="false" ht="15" hidden="false" customHeight="false" outlineLevel="0" collapsed="false">
      <c r="A129" s="11" t="n">
        <v>93</v>
      </c>
      <c r="B129" s="9" t="n">
        <f aca="false">IF(A129&gt;$B$6,"",SMALL(BTC_Data!$C$3:$C$1002,A129))</f>
        <v>-0.00145822330932588</v>
      </c>
      <c r="C129" s="21" t="n">
        <f aca="false">IF(B129="","",A129/$B$6)</f>
        <v>0.093</v>
      </c>
      <c r="D129" s="21" t="n">
        <f aca="false">IF(B129="","",NORMDIST(B129,$B$15,$B$16,TRUE()))</f>
        <v>0.127963667580941</v>
      </c>
      <c r="E129" s="21" t="n">
        <f aca="false">IF(B129="","",IF(B129&gt;=$B$15,1-TDIST((B129-$B$15)/$B$18,$B$17,1),TDIST(($B$15-B129)/$B$18,$B$17,1)))</f>
        <v>0.110404396937348</v>
      </c>
      <c r="F129" s="21" t="n">
        <f aca="false">IF(B129="","",IF(B129&lt;$B$19,0.5*EXP((B129-$B$19)/$B$20),1-0.5*EXP(-(B129-$B$19)/$B$20)))</f>
        <v>0.101946876101981</v>
      </c>
      <c r="G129" s="21" t="n">
        <f aca="false">IF(B129="","",1/(1+EXP(-(B129-$B$15)/$B$21)))</f>
        <v>0.112985407712597</v>
      </c>
      <c r="H129" s="21" t="n">
        <f aca="false">IF(B129="","",MAX(ABS($A129/$B$6-D129),ABS(($A129-1)/$B$6-D129)))</f>
        <v>0.035963667580941</v>
      </c>
      <c r="I129" s="21" t="n">
        <f aca="false">IF(B129="","",MAX(ABS($A129/$B$6-E129),ABS(($A129-1)/$B$6-E129)))</f>
        <v>0.0184043969373476</v>
      </c>
      <c r="J129" s="21" t="n">
        <f aca="false">IF(B129="","",MAX(ABS($A129/$B$6-F129),ABS(($A129-1)/$B$6-F129)))</f>
        <v>0.00994687610198076</v>
      </c>
      <c r="K129" s="21" t="n">
        <f aca="false">IF(B129="","",MAX(ABS($A129/$B$6-G129),ABS(($A129-1)/$B$6-G129)))</f>
        <v>0.0209854077125973</v>
      </c>
    </row>
    <row r="130" customFormat="false" ht="15" hidden="false" customHeight="false" outlineLevel="0" collapsed="false">
      <c r="A130" s="11" t="n">
        <v>94</v>
      </c>
      <c r="B130" s="9" t="n">
        <f aca="false">IF(A130&gt;$B$6,"",SMALL(BTC_Data!$C$3:$C$1002,A130))</f>
        <v>-0.0014565119540384</v>
      </c>
      <c r="C130" s="21" t="n">
        <f aca="false">IF(B130="","",A130/$B$6)</f>
        <v>0.094</v>
      </c>
      <c r="D130" s="21" t="n">
        <f aca="false">IF(B130="","",NORMDIST(B130,$B$15,$B$16,TRUE()))</f>
        <v>0.128245121246123</v>
      </c>
      <c r="E130" s="21" t="n">
        <f aca="false">IF(B130="","",IF(B130&gt;=$B$15,1-TDIST((B130-$B$15)/$B$18,$B$17,1),TDIST(($B$15-B130)/$B$18,$B$17,1)))</f>
        <v>0.110648999409055</v>
      </c>
      <c r="F130" s="21" t="n">
        <f aca="false">IF(B130="","",IF(B130&lt;$B$19,0.5*EXP((B130-$B$19)/$B$20),1-0.5*EXP(-(B130-$B$19)/$B$20)))</f>
        <v>0.102138537823928</v>
      </c>
      <c r="G130" s="21" t="n">
        <f aca="false">IF(B130="","",1/(1+EXP(-(B130-$B$15)/$B$21)))</f>
        <v>0.113229964409984</v>
      </c>
      <c r="H130" s="21" t="n">
        <f aca="false">IF(B130="","",MAX(ABS($A130/$B$6-D130),ABS(($A130-1)/$B$6-D130)))</f>
        <v>0.0352451212461228</v>
      </c>
      <c r="I130" s="21" t="n">
        <f aca="false">IF(B130="","",MAX(ABS($A130/$B$6-E130),ABS(($A130-1)/$B$6-E130)))</f>
        <v>0.0176489994090545</v>
      </c>
      <c r="J130" s="21" t="n">
        <f aca="false">IF(B130="","",MAX(ABS($A130/$B$6-F130),ABS(($A130-1)/$B$6-F130)))</f>
        <v>0.00913853782392797</v>
      </c>
      <c r="K130" s="21" t="n">
        <f aca="false">IF(B130="","",MAX(ABS($A130/$B$6-G130),ABS(($A130-1)/$B$6-G130)))</f>
        <v>0.0202299644099843</v>
      </c>
    </row>
    <row r="131" customFormat="false" ht="15" hidden="false" customHeight="false" outlineLevel="0" collapsed="false">
      <c r="A131" s="11" t="n">
        <v>95</v>
      </c>
      <c r="B131" s="9" t="n">
        <f aca="false">IF(A131&gt;$B$6,"",SMALL(BTC_Data!$C$3:$C$1002,A131))</f>
        <v>-0.00144973503359191</v>
      </c>
      <c r="C131" s="21" t="n">
        <f aca="false">IF(B131="","",A131/$B$6)</f>
        <v>0.095</v>
      </c>
      <c r="D131" s="21" t="n">
        <f aca="false">IF(B131="","",NORMDIST(B131,$B$15,$B$16,TRUE()))</f>
        <v>0.129363890406899</v>
      </c>
      <c r="E131" s="21" t="n">
        <f aca="false">IF(B131="","",IF(B131&gt;=$B$15,1-TDIST((B131-$B$15)/$B$18,$B$17,1),TDIST(($B$15-B131)/$B$18,$B$17,1)))</f>
        <v>0.111622290283031</v>
      </c>
      <c r="F131" s="21" t="n">
        <f aca="false">IF(B131="","",IF(B131&lt;$B$19,0.5*EXP((B131-$B$19)/$B$20),1-0.5*EXP(-(B131-$B$19)/$B$20)))</f>
        <v>0.102901058262123</v>
      </c>
      <c r="G131" s="21" t="n">
        <f aca="false">IF(B131="","",1/(1+EXP(-(B131-$B$15)/$B$21)))</f>
        <v>0.114202941349536</v>
      </c>
      <c r="H131" s="21" t="n">
        <f aca="false">IF(B131="","",MAX(ABS($A131/$B$6-D131),ABS(($A131-1)/$B$6-D131)))</f>
        <v>0.0353638904068986</v>
      </c>
      <c r="I131" s="21" t="n">
        <f aca="false">IF(B131="","",MAX(ABS($A131/$B$6-E131),ABS(($A131-1)/$B$6-E131)))</f>
        <v>0.0176222902830314</v>
      </c>
      <c r="J131" s="21" t="n">
        <f aca="false">IF(B131="","",MAX(ABS($A131/$B$6-F131),ABS(($A131-1)/$B$6-F131)))</f>
        <v>0.00890105826212254</v>
      </c>
      <c r="K131" s="21" t="n">
        <f aca="false">IF(B131="","",MAX(ABS($A131/$B$6-G131),ABS(($A131-1)/$B$6-G131)))</f>
        <v>0.0202029413495356</v>
      </c>
    </row>
    <row r="132" customFormat="false" ht="15" hidden="false" customHeight="false" outlineLevel="0" collapsed="false">
      <c r="A132" s="11" t="n">
        <v>96</v>
      </c>
      <c r="B132" s="9" t="n">
        <f aca="false">IF(A132&gt;$B$6,"",SMALL(BTC_Data!$C$3:$C$1002,A132))</f>
        <v>-0.0014449479587253</v>
      </c>
      <c r="C132" s="21" t="n">
        <f aca="false">IF(B132="","",A132/$B$6)</f>
        <v>0.096</v>
      </c>
      <c r="D132" s="21" t="n">
        <f aca="false">IF(B132="","",NORMDIST(B132,$B$15,$B$16,TRUE()))</f>
        <v>0.130158230375907</v>
      </c>
      <c r="E132" s="21" t="n">
        <f aca="false">IF(B132="","",IF(B132&gt;=$B$15,1-TDIST((B132-$B$15)/$B$18,$B$17,1),TDIST(($B$15-B132)/$B$18,$B$17,1)))</f>
        <v>0.112314312736679</v>
      </c>
      <c r="F132" s="21" t="n">
        <f aca="false">IF(B132="","",IF(B132&lt;$B$19,0.5*EXP((B132-$B$19)/$B$20),1-0.5*EXP(-(B132-$B$19)/$B$20)))</f>
        <v>0.103443115061272</v>
      </c>
      <c r="G132" s="21" t="n">
        <f aca="false">IF(B132="","",1/(1+EXP(-(B132-$B$15)/$B$21)))</f>
        <v>0.114894614107797</v>
      </c>
      <c r="H132" s="21" t="n">
        <f aca="false">IF(B132="","",MAX(ABS($A132/$B$6-D132),ABS(($A132-1)/$B$6-D132)))</f>
        <v>0.0351582303759072</v>
      </c>
      <c r="I132" s="21" t="n">
        <f aca="false">IF(B132="","",MAX(ABS($A132/$B$6-E132),ABS(($A132-1)/$B$6-E132)))</f>
        <v>0.0173143127366788</v>
      </c>
      <c r="J132" s="21" t="n">
        <f aca="false">IF(B132="","",MAX(ABS($A132/$B$6-F132),ABS(($A132-1)/$B$6-F132)))</f>
        <v>0.00844311506127154</v>
      </c>
      <c r="K132" s="21" t="n">
        <f aca="false">IF(B132="","",MAX(ABS($A132/$B$6-G132),ABS(($A132-1)/$B$6-G132)))</f>
        <v>0.0198946141077966</v>
      </c>
    </row>
    <row r="133" customFormat="false" ht="15" hidden="false" customHeight="false" outlineLevel="0" collapsed="false">
      <c r="A133" s="11" t="n">
        <v>97</v>
      </c>
      <c r="B133" s="9" t="n">
        <f aca="false">IF(A133&gt;$B$6,"",SMALL(BTC_Data!$C$3:$C$1002,A133))</f>
        <v>-0.00143357491148388</v>
      </c>
      <c r="C133" s="21" t="n">
        <f aca="false">IF(B133="","",A133/$B$6)</f>
        <v>0.097</v>
      </c>
      <c r="D133" s="21" t="n">
        <f aca="false">IF(B133="","",NORMDIST(B133,$B$15,$B$16,TRUE()))</f>
        <v>0.132058923923468</v>
      </c>
      <c r="E133" s="21" t="n">
        <f aca="false">IF(B133="","",IF(B133&gt;=$B$15,1-TDIST((B133-$B$15)/$B$18,$B$17,1),TDIST(($B$15-B133)/$B$18,$B$17,1)))</f>
        <v>0.113973463213414</v>
      </c>
      <c r="F133" s="21" t="n">
        <f aca="false">IF(B133="","",IF(B133&lt;$B$19,0.5*EXP((B133-$B$19)/$B$20),1-0.5*EXP(-(B133-$B$19)/$B$20)))</f>
        <v>0.104742402032935</v>
      </c>
      <c r="G133" s="21" t="n">
        <f aca="false">IF(B133="","",1/(1+EXP(-(B133-$B$15)/$B$21)))</f>
        <v>0.116552507586895</v>
      </c>
      <c r="H133" s="21" t="n">
        <f aca="false">IF(B133="","",MAX(ABS($A133/$B$6-D133),ABS(($A133-1)/$B$6-D133)))</f>
        <v>0.0360589239234677</v>
      </c>
      <c r="I133" s="21" t="n">
        <f aca="false">IF(B133="","",MAX(ABS($A133/$B$6-E133),ABS(($A133-1)/$B$6-E133)))</f>
        <v>0.0179734632134138</v>
      </c>
      <c r="J133" s="21" t="n">
        <f aca="false">IF(B133="","",MAX(ABS($A133/$B$6-F133),ABS(($A133-1)/$B$6-F133)))</f>
        <v>0.00874240203293542</v>
      </c>
      <c r="K133" s="21" t="n">
        <f aca="false">IF(B133="","",MAX(ABS($A133/$B$6-G133),ABS(($A133-1)/$B$6-G133)))</f>
        <v>0.0205525075868953</v>
      </c>
    </row>
    <row r="134" customFormat="false" ht="15" hidden="false" customHeight="false" outlineLevel="0" collapsed="false">
      <c r="A134" s="11" t="n">
        <v>98</v>
      </c>
      <c r="B134" s="9" t="n">
        <f aca="false">IF(A134&gt;$B$6,"",SMALL(BTC_Data!$C$3:$C$1002,A134))</f>
        <v>-0.00143160434045153</v>
      </c>
      <c r="C134" s="21" t="n">
        <f aca="false">IF(B134="","",A134/$B$6)</f>
        <v>0.098</v>
      </c>
      <c r="D134" s="21" t="n">
        <f aca="false">IF(B134="","",NORMDIST(B134,$B$15,$B$16,TRUE()))</f>
        <v>0.132390186589748</v>
      </c>
      <c r="E134" s="21" t="n">
        <f aca="false">IF(B134="","",IF(B134&gt;=$B$15,1-TDIST((B134-$B$15)/$B$18,$B$17,1),TDIST(($B$15-B134)/$B$18,$B$17,1)))</f>
        <v>0.114263102087023</v>
      </c>
      <c r="F134" s="21" t="n">
        <f aca="false">IF(B134="","",IF(B134&lt;$B$19,0.5*EXP((B134-$B$19)/$B$20),1-0.5*EXP(-(B134-$B$19)/$B$20)))</f>
        <v>0.10496917835311</v>
      </c>
      <c r="G134" s="21" t="n">
        <f aca="false">IF(B134="","",1/(1+EXP(-(B134-$B$15)/$B$21)))</f>
        <v>0.116841867537314</v>
      </c>
      <c r="H134" s="21" t="n">
        <f aca="false">IF(B134="","",MAX(ABS($A134/$B$6-D134),ABS(($A134-1)/$B$6-D134)))</f>
        <v>0.0353901865897481</v>
      </c>
      <c r="I134" s="21" t="n">
        <f aca="false">IF(B134="","",MAX(ABS($A134/$B$6-E134),ABS(($A134-1)/$B$6-E134)))</f>
        <v>0.0172631020870231</v>
      </c>
      <c r="J134" s="21" t="n">
        <f aca="false">IF(B134="","",MAX(ABS($A134/$B$6-F134),ABS(($A134-1)/$B$6-F134)))</f>
        <v>0.00796917835310992</v>
      </c>
      <c r="K134" s="21" t="n">
        <f aca="false">IF(B134="","",MAX(ABS($A134/$B$6-G134),ABS(($A134-1)/$B$6-G134)))</f>
        <v>0.0198418675373136</v>
      </c>
    </row>
    <row r="135" customFormat="false" ht="15" hidden="false" customHeight="false" outlineLevel="0" collapsed="false">
      <c r="A135" s="11" t="n">
        <v>99</v>
      </c>
      <c r="B135" s="9" t="n">
        <f aca="false">IF(A135&gt;$B$6,"",SMALL(BTC_Data!$C$3:$C$1002,A135))</f>
        <v>-0.00142186875915351</v>
      </c>
      <c r="C135" s="21" t="n">
        <f aca="false">IF(B135="","",A135/$B$6)</f>
        <v>0.099</v>
      </c>
      <c r="D135" s="21" t="n">
        <f aca="false">IF(B135="","",NORMDIST(B135,$B$15,$B$16,TRUE()))</f>
        <v>0.134035186335483</v>
      </c>
      <c r="E135" s="21" t="n">
        <f aca="false">IF(B135="","",IF(B135&gt;=$B$15,1-TDIST((B135-$B$15)/$B$18,$B$17,1),TDIST(($B$15-B135)/$B$18,$B$17,1)))</f>
        <v>0.115703485887842</v>
      </c>
      <c r="F135" s="21" t="n">
        <f aca="false">IF(B135="","",IF(B135&lt;$B$19,0.5*EXP((B135-$B$19)/$B$20),1-0.5*EXP(-(B135-$B$19)/$B$20)))</f>
        <v>0.106096789434085</v>
      </c>
      <c r="G135" s="21" t="n">
        <f aca="false">IF(B135="","",1/(1+EXP(-(B135-$B$15)/$B$21)))</f>
        <v>0.118280607611589</v>
      </c>
      <c r="H135" s="21" t="n">
        <f aca="false">IF(B135="","",MAX(ABS($A135/$B$6-D135),ABS(($A135-1)/$B$6-D135)))</f>
        <v>0.0360351863354831</v>
      </c>
      <c r="I135" s="21" t="n">
        <f aca="false">IF(B135="","",MAX(ABS($A135/$B$6-E135),ABS(($A135-1)/$B$6-E135)))</f>
        <v>0.0177034858878423</v>
      </c>
      <c r="J135" s="21" t="n">
        <f aca="false">IF(B135="","",MAX(ABS($A135/$B$6-F135),ABS(($A135-1)/$B$6-F135)))</f>
        <v>0.00809678943408528</v>
      </c>
      <c r="K135" s="21" t="n">
        <f aca="false">IF(B135="","",MAX(ABS($A135/$B$6-G135),ABS(($A135-1)/$B$6-G135)))</f>
        <v>0.0202806076115888</v>
      </c>
    </row>
    <row r="136" customFormat="false" ht="15" hidden="false" customHeight="false" outlineLevel="0" collapsed="false">
      <c r="A136" s="11" t="n">
        <v>100</v>
      </c>
      <c r="B136" s="9" t="n">
        <f aca="false">IF(A136&gt;$B$6,"",SMALL(BTC_Data!$C$3:$C$1002,A136))</f>
        <v>-0.00141837409138279</v>
      </c>
      <c r="C136" s="21" t="n">
        <f aca="false">IF(B136="","",A136/$B$6)</f>
        <v>0.1</v>
      </c>
      <c r="D136" s="21" t="n">
        <f aca="false">IF(B136="","",NORMDIST(B136,$B$15,$B$16,TRUE()))</f>
        <v>0.134629083638995</v>
      </c>
      <c r="E136" s="21" t="n">
        <f aca="false">IF(B136="","",IF(B136&gt;=$B$15,1-TDIST((B136-$B$15)/$B$18,$B$17,1),TDIST(($B$15-B136)/$B$18,$B$17,1)))</f>
        <v>0.116224361375704</v>
      </c>
      <c r="F136" s="21" t="n">
        <f aca="false">IF(B136="","",IF(B136&lt;$B$19,0.5*EXP((B136-$B$19)/$B$20),1-0.5*EXP(-(B136-$B$19)/$B$20)))</f>
        <v>0.106504502498077</v>
      </c>
      <c r="G136" s="21" t="n">
        <f aca="false">IF(B136="","",1/(1+EXP(-(B136-$B$15)/$B$21)))</f>
        <v>0.118800785084359</v>
      </c>
      <c r="H136" s="21" t="n">
        <f aca="false">IF(B136="","",MAX(ABS($A136/$B$6-D136),ABS(($A136-1)/$B$6-D136)))</f>
        <v>0.0356290836389954</v>
      </c>
      <c r="I136" s="21" t="n">
        <f aca="false">IF(B136="","",MAX(ABS($A136/$B$6-E136),ABS(($A136-1)/$B$6-E136)))</f>
        <v>0.0172243613757044</v>
      </c>
      <c r="J136" s="21" t="n">
        <f aca="false">IF(B136="","",MAX(ABS($A136/$B$6-F136),ABS(($A136-1)/$B$6-F136)))</f>
        <v>0.00750450249807658</v>
      </c>
      <c r="K136" s="21" t="n">
        <f aca="false">IF(B136="","",MAX(ABS($A136/$B$6-G136),ABS(($A136-1)/$B$6-G136)))</f>
        <v>0.0198007850843591</v>
      </c>
    </row>
    <row r="137" customFormat="false" ht="15" hidden="false" customHeight="false" outlineLevel="0" collapsed="false">
      <c r="A137" s="11" t="n">
        <v>101</v>
      </c>
      <c r="B137" s="9" t="n">
        <f aca="false">IF(A137&gt;$B$6,"",SMALL(BTC_Data!$C$3:$C$1002,A137))</f>
        <v>-0.0014078910704115</v>
      </c>
      <c r="C137" s="21" t="n">
        <f aca="false">IF(B137="","",A137/$B$6)</f>
        <v>0.101</v>
      </c>
      <c r="D137" s="21" t="n">
        <f aca="false">IF(B137="","",NORMDIST(B137,$B$15,$B$16,TRUE()))</f>
        <v>0.136421432198905</v>
      </c>
      <c r="E137" s="21" t="n">
        <f aca="false">IF(B137="","",IF(B137&gt;=$B$15,1-TDIST((B137-$B$15)/$B$18,$B$17,1),TDIST(($B$15-B137)/$B$18,$B$17,1)))</f>
        <v>0.117799070099644</v>
      </c>
      <c r="F137" s="21" t="n">
        <f aca="false">IF(B137="","",IF(B137&lt;$B$19,0.5*EXP((B137-$B$19)/$B$20),1-0.5*EXP(-(B137-$B$19)/$B$20)))</f>
        <v>0.107736950299202</v>
      </c>
      <c r="G137" s="21" t="n">
        <f aca="false">IF(B137="","",1/(1+EXP(-(B137-$B$15)/$B$21)))</f>
        <v>0.120373056880393</v>
      </c>
      <c r="H137" s="21" t="n">
        <f aca="false">IF(B137="","",MAX(ABS($A137/$B$6-D137),ABS(($A137-1)/$B$6-D137)))</f>
        <v>0.0364214321989054</v>
      </c>
      <c r="I137" s="21" t="n">
        <f aca="false">IF(B137="","",MAX(ABS($A137/$B$6-E137),ABS(($A137-1)/$B$6-E137)))</f>
        <v>0.017799070099644</v>
      </c>
      <c r="J137" s="21" t="n">
        <f aca="false">IF(B137="","",MAX(ABS($A137/$B$6-F137),ABS(($A137-1)/$B$6-F137)))</f>
        <v>0.00773695029920207</v>
      </c>
      <c r="K137" s="21" t="n">
        <f aca="false">IF(B137="","",MAX(ABS($A137/$B$6-G137),ABS(($A137-1)/$B$6-G137)))</f>
        <v>0.0203730568803926</v>
      </c>
    </row>
    <row r="138" customFormat="false" ht="15" hidden="false" customHeight="false" outlineLevel="0" collapsed="false">
      <c r="A138" s="11" t="n">
        <v>102</v>
      </c>
      <c r="B138" s="9" t="n">
        <f aca="false">IF(A138&gt;$B$6,"",SMALL(BTC_Data!$C$3:$C$1002,A138))</f>
        <v>-0.00140475669450513</v>
      </c>
      <c r="C138" s="21" t="n">
        <f aca="false">IF(B138="","",A138/$B$6)</f>
        <v>0.102</v>
      </c>
      <c r="D138" s="21" t="n">
        <f aca="false">IF(B138="","",NORMDIST(B138,$B$15,$B$16,TRUE()))</f>
        <v>0.136960491824478</v>
      </c>
      <c r="E138" s="21" t="n">
        <f aca="false">IF(B138="","",IF(B138&gt;=$B$15,1-TDIST((B138-$B$15)/$B$18,$B$17,1),TDIST(($B$15-B138)/$B$18,$B$17,1)))</f>
        <v>0.118273476773017</v>
      </c>
      <c r="F138" s="21" t="n">
        <f aca="false">IF(B138="","",IF(B138&lt;$B$19,0.5*EXP((B138-$B$19)/$B$20),1-0.5*EXP(-(B138-$B$19)/$B$20)))</f>
        <v>0.108108208734951</v>
      </c>
      <c r="G138" s="21" t="n">
        <f aca="false">IF(B138="","",1/(1+EXP(-(B138-$B$15)/$B$21)))</f>
        <v>0.120846634827779</v>
      </c>
      <c r="H138" s="21" t="n">
        <f aca="false">IF(B138="","",MAX(ABS($A138/$B$6-D138),ABS(($A138-1)/$B$6-D138)))</f>
        <v>0.0359604918244783</v>
      </c>
      <c r="I138" s="21" t="n">
        <f aca="false">IF(B138="","",MAX(ABS($A138/$B$6-E138),ABS(($A138-1)/$B$6-E138)))</f>
        <v>0.017273476773017</v>
      </c>
      <c r="J138" s="21" t="n">
        <f aca="false">IF(B138="","",MAX(ABS($A138/$B$6-F138),ABS(($A138-1)/$B$6-F138)))</f>
        <v>0.00710820873495063</v>
      </c>
      <c r="K138" s="21" t="n">
        <f aca="false">IF(B138="","",MAX(ABS($A138/$B$6-G138),ABS(($A138-1)/$B$6-G138)))</f>
        <v>0.0198466348277794</v>
      </c>
    </row>
    <row r="139" customFormat="false" ht="15" hidden="false" customHeight="false" outlineLevel="0" collapsed="false">
      <c r="A139" s="11" t="n">
        <v>103</v>
      </c>
      <c r="B139" s="9" t="n">
        <f aca="false">IF(A139&gt;$B$6,"",SMALL(BTC_Data!$C$3:$C$1002,A139))</f>
        <v>-0.00140220074576591</v>
      </c>
      <c r="C139" s="21" t="n">
        <f aca="false">IF(B139="","",A139/$B$6)</f>
        <v>0.103</v>
      </c>
      <c r="D139" s="21" t="n">
        <f aca="false">IF(B139="","",NORMDIST(B139,$B$15,$B$16,TRUE()))</f>
        <v>0.137401147865221</v>
      </c>
      <c r="E139" s="21" t="n">
        <f aca="false">IF(B139="","",IF(B139&gt;=$B$15,1-TDIST((B139-$B$15)/$B$18,$B$17,1),TDIST(($B$15-B139)/$B$18,$B$17,1)))</f>
        <v>0.118661557939604</v>
      </c>
      <c r="F139" s="21" t="n">
        <f aca="false">IF(B139="","",IF(B139&lt;$B$19,0.5*EXP((B139-$B$19)/$B$20),1-0.5*EXP(-(B139-$B$19)/$B$20)))</f>
        <v>0.108411900809763</v>
      </c>
      <c r="G139" s="21" t="n">
        <f aca="false">IF(B139="","",1/(1+EXP(-(B139-$B$15)/$B$21)))</f>
        <v>0.121234006048421</v>
      </c>
      <c r="H139" s="21" t="n">
        <f aca="false">IF(B139="","",MAX(ABS($A139/$B$6-D139),ABS(($A139-1)/$B$6-D139)))</f>
        <v>0.0354011478652209</v>
      </c>
      <c r="I139" s="21" t="n">
        <f aca="false">IF(B139="","",MAX(ABS($A139/$B$6-E139),ABS(($A139-1)/$B$6-E139)))</f>
        <v>0.0166615579396042</v>
      </c>
      <c r="J139" s="21" t="n">
        <f aca="false">IF(B139="","",MAX(ABS($A139/$B$6-F139),ABS(($A139-1)/$B$6-F139)))</f>
        <v>0.00641190080976346</v>
      </c>
      <c r="K139" s="21" t="n">
        <f aca="false">IF(B139="","",MAX(ABS($A139/$B$6-G139),ABS(($A139-1)/$B$6-G139)))</f>
        <v>0.0192340060484207</v>
      </c>
    </row>
    <row r="140" customFormat="false" ht="15" hidden="false" customHeight="false" outlineLevel="0" collapsed="false">
      <c r="A140" s="11" t="n">
        <v>104</v>
      </c>
      <c r="B140" s="9" t="n">
        <f aca="false">IF(A140&gt;$B$6,"",SMALL(BTC_Data!$C$3:$C$1002,A140))</f>
        <v>-0.00139691733774971</v>
      </c>
      <c r="C140" s="21" t="n">
        <f aca="false">IF(B140="","",A140/$B$6)</f>
        <v>0.104</v>
      </c>
      <c r="D140" s="21" t="n">
        <f aca="false">IF(B140="","",NORMDIST(B140,$B$15,$B$16,TRUE()))</f>
        <v>0.138315095122309</v>
      </c>
      <c r="E140" s="21" t="n">
        <f aca="false">IF(B140="","",IF(B140&gt;=$B$15,1-TDIST((B140-$B$15)/$B$18,$B$17,1),TDIST(($B$15-B140)/$B$18,$B$17,1)))</f>
        <v>0.11946725261666</v>
      </c>
      <c r="F140" s="21" t="n">
        <f aca="false">IF(B140="","",IF(B140&lt;$B$19,0.5*EXP((B140-$B$19)/$B$20),1-0.5*EXP(-(B140-$B$19)/$B$20)))</f>
        <v>0.109042370542948</v>
      </c>
      <c r="G140" s="21" t="n">
        <f aca="false">IF(B140="","",1/(1+EXP(-(B140-$B$15)/$B$21)))</f>
        <v>0.122038135845014</v>
      </c>
      <c r="H140" s="21" t="n">
        <f aca="false">IF(B140="","",MAX(ABS($A140/$B$6-D140),ABS(($A140-1)/$B$6-D140)))</f>
        <v>0.0353150951223089</v>
      </c>
      <c r="I140" s="21" t="n">
        <f aca="false">IF(B140="","",MAX(ABS($A140/$B$6-E140),ABS(($A140-1)/$B$6-E140)))</f>
        <v>0.0164672526166602</v>
      </c>
      <c r="J140" s="21" t="n">
        <f aca="false">IF(B140="","",MAX(ABS($A140/$B$6-F140),ABS(($A140-1)/$B$6-F140)))</f>
        <v>0.00604237054294847</v>
      </c>
      <c r="K140" s="21" t="n">
        <f aca="false">IF(B140="","",MAX(ABS($A140/$B$6-G140),ABS(($A140-1)/$B$6-G140)))</f>
        <v>0.0190381358450138</v>
      </c>
    </row>
    <row r="141" customFormat="false" ht="15" hidden="false" customHeight="false" outlineLevel="0" collapsed="false">
      <c r="A141" s="11" t="n">
        <v>105</v>
      </c>
      <c r="B141" s="9" t="n">
        <f aca="false">IF(A141&gt;$B$6,"",SMALL(BTC_Data!$C$3:$C$1002,A141))</f>
        <v>-0.00139249983155554</v>
      </c>
      <c r="C141" s="21" t="n">
        <f aca="false">IF(B141="","",A141/$B$6)</f>
        <v>0.105</v>
      </c>
      <c r="D141" s="21" t="n">
        <f aca="false">IF(B141="","",NORMDIST(B141,$B$15,$B$16,TRUE()))</f>
        <v>0.139082428915146</v>
      </c>
      <c r="E141" s="21" t="n">
        <f aca="false">IF(B141="","",IF(B141&gt;=$B$15,1-TDIST((B141-$B$15)/$B$18,$B$17,1),TDIST(($B$15-B141)/$B$18,$B$17,1)))</f>
        <v>0.120144523271306</v>
      </c>
      <c r="F141" s="21" t="n">
        <f aca="false">IF(B141="","",IF(B141&lt;$B$19,0.5*EXP((B141-$B$19)/$B$20),1-0.5*EXP(-(B141-$B$19)/$B$20)))</f>
        <v>0.109572325593897</v>
      </c>
      <c r="G141" s="21" t="n">
        <f aca="false">IF(B141="","",1/(1+EXP(-(B141-$B$15)/$B$21)))</f>
        <v>0.122713997278497</v>
      </c>
      <c r="H141" s="21" t="n">
        <f aca="false">IF(B141="","",MAX(ABS($A141/$B$6-D141),ABS(($A141-1)/$B$6-D141)))</f>
        <v>0.0350824289151455</v>
      </c>
      <c r="I141" s="21" t="n">
        <f aca="false">IF(B141="","",MAX(ABS($A141/$B$6-E141),ABS(($A141-1)/$B$6-E141)))</f>
        <v>0.0161445232713064</v>
      </c>
      <c r="J141" s="21" t="n">
        <f aca="false">IF(B141="","",MAX(ABS($A141/$B$6-F141),ABS(($A141-1)/$B$6-F141)))</f>
        <v>0.00557232559389674</v>
      </c>
      <c r="K141" s="21" t="n">
        <f aca="false">IF(B141="","",MAX(ABS($A141/$B$6-G141),ABS(($A141-1)/$B$6-G141)))</f>
        <v>0.0187139972784967</v>
      </c>
    </row>
    <row r="142" customFormat="false" ht="15" hidden="false" customHeight="false" outlineLevel="0" collapsed="false">
      <c r="A142" s="11" t="n">
        <v>106</v>
      </c>
      <c r="B142" s="9" t="n">
        <f aca="false">IF(A142&gt;$B$6,"",SMALL(BTC_Data!$C$3:$C$1002,A142))</f>
        <v>-0.00138139677770299</v>
      </c>
      <c r="C142" s="21" t="n">
        <f aca="false">IF(B142="","",A142/$B$6)</f>
        <v>0.106</v>
      </c>
      <c r="D142" s="21" t="n">
        <f aca="false">IF(B142="","",NORMDIST(B142,$B$15,$B$16,TRUE()))</f>
        <v>0.141023836975106</v>
      </c>
      <c r="E142" s="21" t="n">
        <f aca="false">IF(B142="","",IF(B142&gt;=$B$15,1-TDIST((B142-$B$15)/$B$18,$B$17,1),TDIST(($B$15-B142)/$B$18,$B$17,1)))</f>
        <v>0.1218614206423</v>
      </c>
      <c r="F142" s="21" t="n">
        <f aca="false">IF(B142="","",IF(B142&lt;$B$19,0.5*EXP((B142-$B$19)/$B$20),1-0.5*EXP(-(B142-$B$19)/$B$20)))</f>
        <v>0.110915726069345</v>
      </c>
      <c r="G142" s="21" t="n">
        <f aca="false">IF(B142="","",1/(1+EXP(-(B142-$B$15)/$B$21)))</f>
        <v>0.124426946787653</v>
      </c>
      <c r="H142" s="21" t="n">
        <f aca="false">IF(B142="","",MAX(ABS($A142/$B$6-D142),ABS(($A142-1)/$B$6-D142)))</f>
        <v>0.0360238369751056</v>
      </c>
      <c r="I142" s="21" t="n">
        <f aca="false">IF(B142="","",MAX(ABS($A142/$B$6-E142),ABS(($A142-1)/$B$6-E142)))</f>
        <v>0.0168614206423004</v>
      </c>
      <c r="J142" s="21" t="n">
        <f aca="false">IF(B142="","",MAX(ABS($A142/$B$6-F142),ABS(($A142-1)/$B$6-F142)))</f>
        <v>0.00591572606934457</v>
      </c>
      <c r="K142" s="21" t="n">
        <f aca="false">IF(B142="","",MAX(ABS($A142/$B$6-G142),ABS(($A142-1)/$B$6-G142)))</f>
        <v>0.0194269467876533</v>
      </c>
    </row>
    <row r="143" customFormat="false" ht="15" hidden="false" customHeight="false" outlineLevel="0" collapsed="false">
      <c r="A143" s="11" t="n">
        <v>107</v>
      </c>
      <c r="B143" s="9" t="n">
        <f aca="false">IF(A143&gt;$B$6,"",SMALL(BTC_Data!$C$3:$C$1002,A143))</f>
        <v>-0.00137444846898238</v>
      </c>
      <c r="C143" s="21" t="n">
        <f aca="false">IF(B143="","",A143/$B$6)</f>
        <v>0.107</v>
      </c>
      <c r="D143" s="21" t="n">
        <f aca="false">IF(B143="","",NORMDIST(B143,$B$15,$B$16,TRUE()))</f>
        <v>0.142248079847276</v>
      </c>
      <c r="E143" s="21" t="n">
        <f aca="false">IF(B143="","",IF(B143&gt;=$B$15,1-TDIST((B143-$B$15)/$B$18,$B$17,1),TDIST(($B$15-B143)/$B$18,$B$17,1)))</f>
        <v>0.122946558592832</v>
      </c>
      <c r="F143" s="21" t="n">
        <f aca="false">IF(B143="","",IF(B143&lt;$B$19,0.5*EXP((B143-$B$19)/$B$20),1-0.5*EXP(-(B143-$B$19)/$B$20)))</f>
        <v>0.11176479430708</v>
      </c>
      <c r="G143" s="21" t="n">
        <f aca="false">IF(B143="","",1/(1+EXP(-(B143-$B$15)/$B$21)))</f>
        <v>0.125509318403807</v>
      </c>
      <c r="H143" s="21" t="n">
        <f aca="false">IF(B143="","",MAX(ABS($A143/$B$6-D143),ABS(($A143-1)/$B$6-D143)))</f>
        <v>0.0362480798472758</v>
      </c>
      <c r="I143" s="21" t="n">
        <f aca="false">IF(B143="","",MAX(ABS($A143/$B$6-E143),ABS(($A143-1)/$B$6-E143)))</f>
        <v>0.0169465585928319</v>
      </c>
      <c r="J143" s="21" t="n">
        <f aca="false">IF(B143="","",MAX(ABS($A143/$B$6-F143),ABS(($A143-1)/$B$6-F143)))</f>
        <v>0.00576479430708038</v>
      </c>
      <c r="K143" s="21" t="n">
        <f aca="false">IF(B143="","",MAX(ABS($A143/$B$6-G143),ABS(($A143-1)/$B$6-G143)))</f>
        <v>0.0195093184038073</v>
      </c>
    </row>
    <row r="144" customFormat="false" ht="15" hidden="false" customHeight="false" outlineLevel="0" collapsed="false">
      <c r="A144" s="11" t="n">
        <v>108</v>
      </c>
      <c r="B144" s="9" t="n">
        <f aca="false">IF(A144&gt;$B$6,"",SMALL(BTC_Data!$C$3:$C$1002,A144))</f>
        <v>-0.00136974706796866</v>
      </c>
      <c r="C144" s="21" t="n">
        <f aca="false">IF(B144="","",A144/$B$6)</f>
        <v>0.108</v>
      </c>
      <c r="D144" s="21" t="n">
        <f aca="false">IF(B144="","",NORMDIST(B144,$B$15,$B$16,TRUE()))</f>
        <v>0.143080500863608</v>
      </c>
      <c r="E144" s="21" t="n">
        <f aca="false">IF(B144="","",IF(B144&gt;=$B$15,1-TDIST((B144-$B$15)/$B$18,$B$17,1),TDIST(($B$15-B144)/$B$18,$B$17,1)))</f>
        <v>0.123685485776735</v>
      </c>
      <c r="F144" s="21" t="n">
        <f aca="false">IF(B144="","",IF(B144&lt;$B$19,0.5*EXP((B144-$B$19)/$B$20),1-0.5*EXP(-(B144-$B$19)/$B$20)))</f>
        <v>0.112342979039409</v>
      </c>
      <c r="G144" s="21" t="n">
        <f aca="false">IF(B144="","",1/(1+EXP(-(B144-$B$15)/$B$21)))</f>
        <v>0.126246244557205</v>
      </c>
      <c r="H144" s="21" t="n">
        <f aca="false">IF(B144="","",MAX(ABS($A144/$B$6-D144),ABS(($A144-1)/$B$6-D144)))</f>
        <v>0.0360805008636075</v>
      </c>
      <c r="I144" s="21" t="n">
        <f aca="false">IF(B144="","",MAX(ABS($A144/$B$6-E144),ABS(($A144-1)/$B$6-E144)))</f>
        <v>0.0166854857767351</v>
      </c>
      <c r="J144" s="21" t="n">
        <f aca="false">IF(B144="","",MAX(ABS($A144/$B$6-F144),ABS(($A144-1)/$B$6-F144)))</f>
        <v>0.0053429790394085</v>
      </c>
      <c r="K144" s="21" t="n">
        <f aca="false">IF(B144="","",MAX(ABS($A144/$B$6-G144),ABS(($A144-1)/$B$6-G144)))</f>
        <v>0.0192462445572054</v>
      </c>
    </row>
    <row r="145" customFormat="false" ht="15" hidden="false" customHeight="false" outlineLevel="0" collapsed="false">
      <c r="A145" s="11" t="n">
        <v>109</v>
      </c>
      <c r="B145" s="9" t="n">
        <f aca="false">IF(A145&gt;$B$6,"",SMALL(BTC_Data!$C$3:$C$1002,A145))</f>
        <v>-0.00136860367278269</v>
      </c>
      <c r="C145" s="21" t="n">
        <f aca="false">IF(B145="","",A145/$B$6)</f>
        <v>0.109</v>
      </c>
      <c r="D145" s="21" t="n">
        <f aca="false">IF(B145="","",NORMDIST(B145,$B$15,$B$16,TRUE()))</f>
        <v>0.143283444733657</v>
      </c>
      <c r="E145" s="21" t="n">
        <f aca="false">IF(B145="","",IF(B145&gt;=$B$15,1-TDIST((B145-$B$15)/$B$18,$B$17,1),TDIST(($B$15-B145)/$B$18,$B$17,1)))</f>
        <v>0.123865769618853</v>
      </c>
      <c r="F145" s="21" t="n">
        <f aca="false">IF(B145="","",IF(B145&lt;$B$19,0.5*EXP((B145-$B$19)/$B$20),1-0.5*EXP(-(B145-$B$19)/$B$20)))</f>
        <v>0.112484046933712</v>
      </c>
      <c r="G145" s="21" t="n">
        <f aca="false">IF(B145="","",1/(1+EXP(-(B145-$B$15)/$B$21)))</f>
        <v>0.126426025965087</v>
      </c>
      <c r="H145" s="21" t="n">
        <f aca="false">IF(B145="","",MAX(ABS($A145/$B$6-D145),ABS(($A145-1)/$B$6-D145)))</f>
        <v>0.0352834447336572</v>
      </c>
      <c r="I145" s="21" t="n">
        <f aca="false">IF(B145="","",MAX(ABS($A145/$B$6-E145),ABS(($A145-1)/$B$6-E145)))</f>
        <v>0.0158657696188529</v>
      </c>
      <c r="J145" s="21" t="n">
        <f aca="false">IF(B145="","",MAX(ABS($A145/$B$6-F145),ABS(($A145-1)/$B$6-F145)))</f>
        <v>0.00448404693371179</v>
      </c>
      <c r="K145" s="21" t="n">
        <f aca="false">IF(B145="","",MAX(ABS($A145/$B$6-G145),ABS(($A145-1)/$B$6-G145)))</f>
        <v>0.0184260259650872</v>
      </c>
    </row>
    <row r="146" customFormat="false" ht="15" hidden="false" customHeight="false" outlineLevel="0" collapsed="false">
      <c r="A146" s="11" t="n">
        <v>110</v>
      </c>
      <c r="B146" s="9" t="n">
        <f aca="false">IF(A146&gt;$B$6,"",SMALL(BTC_Data!$C$3:$C$1002,A146))</f>
        <v>-0.00135791264473595</v>
      </c>
      <c r="C146" s="21" t="n">
        <f aca="false">IF(B146="","",A146/$B$6)</f>
        <v>0.11</v>
      </c>
      <c r="D146" s="21" t="n">
        <f aca="false">IF(B146="","",NORMDIST(B146,$B$15,$B$16,TRUE()))</f>
        <v>0.145190425472335</v>
      </c>
      <c r="E146" s="21" t="n">
        <f aca="false">IF(B146="","",IF(B146&gt;=$B$15,1-TDIST((B146-$B$15)/$B$18,$B$17,1),TDIST(($B$15-B146)/$B$18,$B$17,1)))</f>
        <v>0.125562381913426</v>
      </c>
      <c r="F146" s="21" t="n">
        <f aca="false">IF(B146="","",IF(B146&lt;$B$19,0.5*EXP((B146-$B$19)/$B$20),1-0.5*EXP(-(B146-$B$19)/$B$20)))</f>
        <v>0.113811668145183</v>
      </c>
      <c r="G146" s="21" t="n">
        <f aca="false">IF(B146="","",1/(1+EXP(-(B146-$B$15)/$B$21)))</f>
        <v>0.128117641586379</v>
      </c>
      <c r="H146" s="21" t="n">
        <f aca="false">IF(B146="","",MAX(ABS($A146/$B$6-D146),ABS(($A146-1)/$B$6-D146)))</f>
        <v>0.0361904254723349</v>
      </c>
      <c r="I146" s="21" t="n">
        <f aca="false">IF(B146="","",MAX(ABS($A146/$B$6-E146),ABS(($A146-1)/$B$6-E146)))</f>
        <v>0.0165623819134261</v>
      </c>
      <c r="J146" s="21" t="n">
        <f aca="false">IF(B146="","",MAX(ABS($A146/$B$6-F146),ABS(($A146-1)/$B$6-F146)))</f>
        <v>0.00481166814518293</v>
      </c>
      <c r="K146" s="21" t="n">
        <f aca="false">IF(B146="","",MAX(ABS($A146/$B$6-G146),ABS(($A146-1)/$B$6-G146)))</f>
        <v>0.0191176415863792</v>
      </c>
    </row>
    <row r="147" customFormat="false" ht="15" hidden="false" customHeight="false" outlineLevel="0" collapsed="false">
      <c r="A147" s="11" t="n">
        <v>111</v>
      </c>
      <c r="B147" s="9" t="n">
        <f aca="false">IF(A147&gt;$B$6,"",SMALL(BTC_Data!$C$3:$C$1002,A147))</f>
        <v>-0.0013575874274887</v>
      </c>
      <c r="C147" s="21" t="n">
        <f aca="false">IF(B147="","",A147/$B$6)</f>
        <v>0.111</v>
      </c>
      <c r="D147" s="21" t="n">
        <f aca="false">IF(B147="","",NORMDIST(B147,$B$15,$B$16,TRUE()))</f>
        <v>0.145248701571653</v>
      </c>
      <c r="E147" s="21" t="n">
        <f aca="false">IF(B147="","",IF(B147&gt;=$B$15,1-TDIST((B147-$B$15)/$B$18,$B$17,1),TDIST(($B$15-B147)/$B$18,$B$17,1)))</f>
        <v>0.125614302070806</v>
      </c>
      <c r="F147" s="21" t="n">
        <f aca="false">IF(B147="","",IF(B147&lt;$B$19,0.5*EXP((B147-$B$19)/$B$20),1-0.5*EXP(-(B147-$B$19)/$B$20)))</f>
        <v>0.113852298557456</v>
      </c>
      <c r="G147" s="21" t="n">
        <f aca="false">IF(B147="","",1/(1+EXP(-(B147-$B$15)/$B$21)))</f>
        <v>0.12816940128501</v>
      </c>
      <c r="H147" s="21" t="n">
        <f aca="false">IF(B147="","",MAX(ABS($A147/$B$6-D147),ABS(($A147-1)/$B$6-D147)))</f>
        <v>0.0352487015716532</v>
      </c>
      <c r="I147" s="21" t="n">
        <f aca="false">IF(B147="","",MAX(ABS($A147/$B$6-E147),ABS(($A147-1)/$B$6-E147)))</f>
        <v>0.0156143020708062</v>
      </c>
      <c r="J147" s="21" t="n">
        <f aca="false">IF(B147="","",MAX(ABS($A147/$B$6-F147),ABS(($A147-1)/$B$6-F147)))</f>
        <v>0.00385229855745581</v>
      </c>
      <c r="K147" s="21" t="n">
        <f aca="false">IF(B147="","",MAX(ABS($A147/$B$6-G147),ABS(($A147-1)/$B$6-G147)))</f>
        <v>0.0181694012850098</v>
      </c>
    </row>
    <row r="148" customFormat="false" ht="15" hidden="false" customHeight="false" outlineLevel="0" collapsed="false">
      <c r="A148" s="11" t="n">
        <v>112</v>
      </c>
      <c r="B148" s="9" t="n">
        <f aca="false">IF(A148&gt;$B$6,"",SMALL(BTC_Data!$C$3:$C$1002,A148))</f>
        <v>-0.00135707244253847</v>
      </c>
      <c r="C148" s="21" t="n">
        <f aca="false">IF(B148="","",A148/$B$6)</f>
        <v>0.112</v>
      </c>
      <c r="D148" s="21" t="n">
        <f aca="false">IF(B148="","",NORMDIST(B148,$B$15,$B$16,TRUE()))</f>
        <v>0.145341014579746</v>
      </c>
      <c r="E148" s="21" t="n">
        <f aca="false">IF(B148="","",IF(B148&gt;=$B$15,1-TDIST((B148-$B$15)/$B$18,$B$17,1),TDIST(($B$15-B148)/$B$18,$B$17,1)))</f>
        <v>0.125696555695753</v>
      </c>
      <c r="F148" s="21" t="n">
        <f aca="false">IF(B148="","",IF(B148&lt;$B$19,0.5*EXP((B148-$B$19)/$B$20),1-0.5*EXP(-(B148-$B$19)/$B$20)))</f>
        <v>0.113916666916979</v>
      </c>
      <c r="G148" s="21" t="n">
        <f aca="false">IF(B148="","",1/(1+EXP(-(B148-$B$15)/$B$21)))</f>
        <v>0.12825139979982</v>
      </c>
      <c r="H148" s="21" t="n">
        <f aca="false">IF(B148="","",MAX(ABS($A148/$B$6-D148),ABS(($A148-1)/$B$6-D148)))</f>
        <v>0.0343410145797461</v>
      </c>
      <c r="I148" s="21" t="n">
        <f aca="false">IF(B148="","",MAX(ABS($A148/$B$6-E148),ABS(($A148-1)/$B$6-E148)))</f>
        <v>0.0146965556957532</v>
      </c>
      <c r="J148" s="21" t="n">
        <f aca="false">IF(B148="","",MAX(ABS($A148/$B$6-F148),ABS(($A148-1)/$B$6-F148)))</f>
        <v>0.00291666691697864</v>
      </c>
      <c r="K148" s="21" t="n">
        <f aca="false">IF(B148="","",MAX(ABS($A148/$B$6-G148),ABS(($A148-1)/$B$6-G148)))</f>
        <v>0.0172513997998205</v>
      </c>
    </row>
    <row r="149" customFormat="false" ht="15" hidden="false" customHeight="false" outlineLevel="0" collapsed="false">
      <c r="A149" s="11" t="n">
        <v>113</v>
      </c>
      <c r="B149" s="9" t="n">
        <f aca="false">IF(A149&gt;$B$6,"",SMALL(BTC_Data!$C$3:$C$1002,A149))</f>
        <v>-0.00134971906392378</v>
      </c>
      <c r="C149" s="21" t="n">
        <f aca="false">IF(B149="","",A149/$B$6)</f>
        <v>0.113</v>
      </c>
      <c r="D149" s="21" t="n">
        <f aca="false">IF(B149="","",NORMDIST(B149,$B$15,$B$16,TRUE()))</f>
        <v>0.146663440838033</v>
      </c>
      <c r="E149" s="21" t="n">
        <f aca="false">IF(B149="","",IF(B149&gt;=$B$15,1-TDIST((B149-$B$15)/$B$18,$B$17,1),TDIST(($B$15-B149)/$B$18,$B$17,1)))</f>
        <v>0.126876064335455</v>
      </c>
      <c r="F149" s="21" t="n">
        <f aca="false">IF(B149="","",IF(B149&lt;$B$19,0.5*EXP((B149-$B$19)/$B$20),1-0.5*EXP(-(B149-$B$19)/$B$20)))</f>
        <v>0.114839750917171</v>
      </c>
      <c r="G149" s="21" t="n">
        <f aca="false">IF(B149="","",1/(1+EXP(-(B149-$B$15)/$B$21)))</f>
        <v>0.129427129108863</v>
      </c>
      <c r="H149" s="21" t="n">
        <f aca="false">IF(B149="","",MAX(ABS($A149/$B$6-D149),ABS(($A149-1)/$B$6-D149)))</f>
        <v>0.034663440838033</v>
      </c>
      <c r="I149" s="21" t="n">
        <f aca="false">IF(B149="","",MAX(ABS($A149/$B$6-E149),ABS(($A149-1)/$B$6-E149)))</f>
        <v>0.014876064335455</v>
      </c>
      <c r="J149" s="21" t="n">
        <f aca="false">IF(B149="","",MAX(ABS($A149/$B$6-F149),ABS(($A149-1)/$B$6-F149)))</f>
        <v>0.00283975091717063</v>
      </c>
      <c r="K149" s="21" t="n">
        <f aca="false">IF(B149="","",MAX(ABS($A149/$B$6-G149),ABS(($A149-1)/$B$6-G149)))</f>
        <v>0.0174271291088628</v>
      </c>
    </row>
    <row r="150" customFormat="false" ht="15" hidden="false" customHeight="false" outlineLevel="0" collapsed="false">
      <c r="A150" s="11" t="n">
        <v>114</v>
      </c>
      <c r="B150" s="9" t="n">
        <f aca="false">IF(A150&gt;$B$6,"",SMALL(BTC_Data!$C$3:$C$1002,A150))</f>
        <v>-0.00134593659411486</v>
      </c>
      <c r="C150" s="21" t="n">
        <f aca="false">IF(B150="","",A150/$B$6)</f>
        <v>0.114</v>
      </c>
      <c r="D150" s="21" t="n">
        <f aca="false">IF(B150="","",NORMDIST(B150,$B$15,$B$16,TRUE()))</f>
        <v>0.147346812613848</v>
      </c>
      <c r="E150" s="21" t="n">
        <f aca="false">IF(B150="","",IF(B150&gt;=$B$15,1-TDIST((B150-$B$15)/$B$18,$B$17,1),TDIST(($B$15-B150)/$B$18,$B$17,1)))</f>
        <v>0.127486452131464</v>
      </c>
      <c r="F150" s="21" t="n">
        <f aca="false">IF(B150="","",IF(B150&lt;$B$19,0.5*EXP((B150-$B$19)/$B$20),1-0.5*EXP(-(B150-$B$19)/$B$20)))</f>
        <v>0.115317481273513</v>
      </c>
      <c r="G150" s="21" t="n">
        <f aca="false">IF(B150="","",1/(1+EXP(-(B150-$B$15)/$B$21)))</f>
        <v>0.130035473396317</v>
      </c>
      <c r="H150" s="21" t="n">
        <f aca="false">IF(B150="","",MAX(ABS($A150/$B$6-D150),ABS(($A150-1)/$B$6-D150)))</f>
        <v>0.0343468126138475</v>
      </c>
      <c r="I150" s="21" t="n">
        <f aca="false">IF(B150="","",MAX(ABS($A150/$B$6-E150),ABS(($A150-1)/$B$6-E150)))</f>
        <v>0.0144864521314644</v>
      </c>
      <c r="J150" s="21" t="n">
        <f aca="false">IF(B150="","",MAX(ABS($A150/$B$6-F150),ABS(($A150-1)/$B$6-F150)))</f>
        <v>0.00231748127351254</v>
      </c>
      <c r="K150" s="21" t="n">
        <f aca="false">IF(B150="","",MAX(ABS($A150/$B$6-G150),ABS(($A150-1)/$B$6-G150)))</f>
        <v>0.0170354733963174</v>
      </c>
    </row>
    <row r="151" customFormat="false" ht="15" hidden="false" customHeight="false" outlineLevel="0" collapsed="false">
      <c r="A151" s="11" t="n">
        <v>115</v>
      </c>
      <c r="B151" s="9" t="n">
        <f aca="false">IF(A151&gt;$B$6,"",SMALL(BTC_Data!$C$3:$C$1002,A151))</f>
        <v>-0.00132974244327111</v>
      </c>
      <c r="C151" s="21" t="n">
        <f aca="false">IF(B151="","",A151/$B$6)</f>
        <v>0.115</v>
      </c>
      <c r="D151" s="21" t="n">
        <f aca="false">IF(B151="","",NORMDIST(B151,$B$15,$B$16,TRUE()))</f>
        <v>0.150296674864735</v>
      </c>
      <c r="E151" s="21" t="n">
        <f aca="false">IF(B151="","",IF(B151&gt;=$B$15,1-TDIST((B151-$B$15)/$B$18,$B$17,1),TDIST(($B$15-B151)/$B$18,$B$17,1)))</f>
        <v>0.130128057544918</v>
      </c>
      <c r="F151" s="21" t="n">
        <f aca="false">IF(B151="","",IF(B151&lt;$B$19,0.5*EXP((B151-$B$19)/$B$20),1-0.5*EXP(-(B151-$B$19)/$B$20)))</f>
        <v>0.117385392352444</v>
      </c>
      <c r="G151" s="21" t="n">
        <f aca="false">IF(B151="","",1/(1+EXP(-(B151-$B$15)/$B$21)))</f>
        <v>0.132667566214158</v>
      </c>
      <c r="H151" s="21" t="n">
        <f aca="false">IF(B151="","",MAX(ABS($A151/$B$6-D151),ABS(($A151-1)/$B$6-D151)))</f>
        <v>0.0362966748647347</v>
      </c>
      <c r="I151" s="21" t="n">
        <f aca="false">IF(B151="","",MAX(ABS($A151/$B$6-E151),ABS(($A151-1)/$B$6-E151)))</f>
        <v>0.0161280575449177</v>
      </c>
      <c r="J151" s="21" t="n">
        <f aca="false">IF(B151="","",MAX(ABS($A151/$B$6-F151),ABS(($A151-1)/$B$6-F151)))</f>
        <v>0.00338539235244405</v>
      </c>
      <c r="K151" s="21" t="n">
        <f aca="false">IF(B151="","",MAX(ABS($A151/$B$6-G151),ABS(($A151-1)/$B$6-G151)))</f>
        <v>0.0186675662141575</v>
      </c>
    </row>
    <row r="152" customFormat="false" ht="15" hidden="false" customHeight="false" outlineLevel="0" collapsed="false">
      <c r="A152" s="11" t="n">
        <v>116</v>
      </c>
      <c r="B152" s="9" t="n">
        <f aca="false">IF(A152&gt;$B$6,"",SMALL(BTC_Data!$C$3:$C$1002,A152))</f>
        <v>-0.00132639559813219</v>
      </c>
      <c r="C152" s="21" t="n">
        <f aca="false">IF(B152="","",A152/$B$6)</f>
        <v>0.116</v>
      </c>
      <c r="D152" s="21" t="n">
        <f aca="false">IF(B152="","",NORMDIST(B152,$B$15,$B$16,TRUE()))</f>
        <v>0.150911196477506</v>
      </c>
      <c r="E152" s="21" t="n">
        <f aca="false">IF(B152="","",IF(B152&gt;=$B$15,1-TDIST((B152-$B$15)/$B$18,$B$17,1),TDIST(($B$15-B152)/$B$18,$B$17,1)))</f>
        <v>0.130679747646215</v>
      </c>
      <c r="F152" s="21" t="n">
        <f aca="false">IF(B152="","",IF(B152&lt;$B$19,0.5*EXP((B152-$B$19)/$B$20),1-0.5*EXP(-(B152-$B$19)/$B$20)))</f>
        <v>0.117817369639327</v>
      </c>
      <c r="G152" s="21" t="n">
        <f aca="false">IF(B152="","",1/(1+EXP(-(B152-$B$15)/$B$21)))</f>
        <v>0.133217136103279</v>
      </c>
      <c r="H152" s="21" t="n">
        <f aca="false">IF(B152="","",MAX(ABS($A152/$B$6-D152),ABS(($A152-1)/$B$6-D152)))</f>
        <v>0.0359111964775061</v>
      </c>
      <c r="I152" s="21" t="n">
        <f aca="false">IF(B152="","",MAX(ABS($A152/$B$6-E152),ABS(($A152-1)/$B$6-E152)))</f>
        <v>0.0156797476462147</v>
      </c>
      <c r="J152" s="21" t="n">
        <f aca="false">IF(B152="","",MAX(ABS($A152/$B$6-F152),ABS(($A152-1)/$B$6-F152)))</f>
        <v>0.00281736963932651</v>
      </c>
      <c r="K152" s="21" t="n">
        <f aca="false">IF(B152="","",MAX(ABS($A152/$B$6-G152),ABS(($A152-1)/$B$6-G152)))</f>
        <v>0.0182171361032792</v>
      </c>
    </row>
    <row r="153" customFormat="false" ht="15" hidden="false" customHeight="false" outlineLevel="0" collapsed="false">
      <c r="A153" s="11" t="n">
        <v>117</v>
      </c>
      <c r="B153" s="9" t="n">
        <f aca="false">IF(A153&gt;$B$6,"",SMALL(BTC_Data!$C$3:$C$1002,A153))</f>
        <v>-0.00131887895945659</v>
      </c>
      <c r="C153" s="21" t="n">
        <f aca="false">IF(B153="","",A153/$B$6)</f>
        <v>0.117</v>
      </c>
      <c r="D153" s="21" t="n">
        <f aca="false">IF(B153="","",NORMDIST(B153,$B$15,$B$16,TRUE()))</f>
        <v>0.152297431061848</v>
      </c>
      <c r="E153" s="21" t="n">
        <f aca="false">IF(B153="","",IF(B153&gt;=$B$15,1-TDIST((B153-$B$15)/$B$18,$B$17,1),TDIST(($B$15-B153)/$B$18,$B$17,1)))</f>
        <v>0.131925998040005</v>
      </c>
      <c r="F153" s="21" t="n">
        <f aca="false">IF(B153="","",IF(B153&lt;$B$19,0.5*EXP((B153-$B$19)/$B$20),1-0.5*EXP(-(B153-$B$19)/$B$20)))</f>
        <v>0.118793345294445</v>
      </c>
      <c r="G153" s="21" t="n">
        <f aca="false">IF(B153="","",1/(1+EXP(-(B153-$B$15)/$B$21)))</f>
        <v>0.134458432406118</v>
      </c>
      <c r="H153" s="21" t="n">
        <f aca="false">IF(B153="","",MAX(ABS($A153/$B$6-D153),ABS(($A153-1)/$B$6-D153)))</f>
        <v>0.0362974310618478</v>
      </c>
      <c r="I153" s="21" t="n">
        <f aca="false">IF(B153="","",MAX(ABS($A153/$B$6-E153),ABS(($A153-1)/$B$6-E153)))</f>
        <v>0.0159259980400049</v>
      </c>
      <c r="J153" s="21" t="n">
        <f aca="false">IF(B153="","",MAX(ABS($A153/$B$6-F153),ABS(($A153-1)/$B$6-F153)))</f>
        <v>0.00279334529444454</v>
      </c>
      <c r="K153" s="21" t="n">
        <f aca="false">IF(B153="","",MAX(ABS($A153/$B$6-G153),ABS(($A153-1)/$B$6-G153)))</f>
        <v>0.018458432406118</v>
      </c>
    </row>
    <row r="154" customFormat="false" ht="15" hidden="false" customHeight="false" outlineLevel="0" collapsed="false">
      <c r="A154" s="11" t="n">
        <v>118</v>
      </c>
      <c r="B154" s="9" t="n">
        <f aca="false">IF(A154&gt;$B$6,"",SMALL(BTC_Data!$C$3:$C$1002,A154))</f>
        <v>-0.00131602735896741</v>
      </c>
      <c r="C154" s="21" t="n">
        <f aca="false">IF(B154="","",A154/$B$6)</f>
        <v>0.118</v>
      </c>
      <c r="D154" s="21" t="n">
        <f aca="false">IF(B154="","",NORMDIST(B154,$B$15,$B$16,TRUE()))</f>
        <v>0.152825534108107</v>
      </c>
      <c r="E154" s="21" t="n">
        <f aca="false">IF(B154="","",IF(B154&gt;=$B$15,1-TDIST((B154-$B$15)/$B$18,$B$17,1),TDIST(($B$15-B154)/$B$18,$B$17,1)))</f>
        <v>0.132401409955209</v>
      </c>
      <c r="F154" s="21" t="n">
        <f aca="false">IF(B154="","",IF(B154&lt;$B$19,0.5*EXP((B154-$B$19)/$B$20),1-0.5*EXP(-(B154-$B$19)/$B$20)))</f>
        <v>0.119165714652749</v>
      </c>
      <c r="G154" s="21" t="n">
        <f aca="false">IF(B154="","",1/(1+EXP(-(B154-$B$15)/$B$21)))</f>
        <v>0.134931895298954</v>
      </c>
      <c r="H154" s="21" t="n">
        <f aca="false">IF(B154="","",MAX(ABS($A154/$B$6-D154),ABS(($A154-1)/$B$6-D154)))</f>
        <v>0.0358255341081073</v>
      </c>
      <c r="I154" s="21" t="n">
        <f aca="false">IF(B154="","",MAX(ABS($A154/$B$6-E154),ABS(($A154-1)/$B$6-E154)))</f>
        <v>0.0154014099552091</v>
      </c>
      <c r="J154" s="21" t="n">
        <f aca="false">IF(B154="","",MAX(ABS($A154/$B$6-F154),ABS(($A154-1)/$B$6-F154)))</f>
        <v>0.00216571465274851</v>
      </c>
      <c r="K154" s="21" t="n">
        <f aca="false">IF(B154="","",MAX(ABS($A154/$B$6-G154),ABS(($A154-1)/$B$6-G154)))</f>
        <v>0.0179318952989538</v>
      </c>
    </row>
    <row r="155" customFormat="false" ht="15" hidden="false" customHeight="false" outlineLevel="0" collapsed="false">
      <c r="A155" s="11" t="n">
        <v>119</v>
      </c>
      <c r="B155" s="9" t="n">
        <f aca="false">IF(A155&gt;$B$6,"",SMALL(BTC_Data!$C$3:$C$1002,A155))</f>
        <v>-0.0013063918995726</v>
      </c>
      <c r="C155" s="21" t="n">
        <f aca="false">IF(B155="","",A155/$B$6)</f>
        <v>0.119</v>
      </c>
      <c r="D155" s="21" t="n">
        <f aca="false">IF(B155="","",NORMDIST(B155,$B$15,$B$16,TRUE()))</f>
        <v>0.154618950683729</v>
      </c>
      <c r="E155" s="21" t="n">
        <f aca="false">IF(B155="","",IF(B155&gt;=$B$15,1-TDIST((B155-$B$15)/$B$18,$B$17,1),TDIST(($B$15-B155)/$B$18,$B$17,1)))</f>
        <v>0.134018511394614</v>
      </c>
      <c r="F155" s="21" t="n">
        <f aca="false">IF(B155="","",IF(B155&lt;$B$19,0.5*EXP((B155-$B$19)/$B$20),1-0.5*EXP(-(B155-$B$19)/$B$20)))</f>
        <v>0.120432594691016</v>
      </c>
      <c r="G155" s="21" t="n">
        <f aca="false">IF(B155="","",1/(1+EXP(-(B155-$B$15)/$B$21)))</f>
        <v>0.136542128314217</v>
      </c>
      <c r="H155" s="21" t="n">
        <f aca="false">IF(B155="","",MAX(ABS($A155/$B$6-D155),ABS(($A155-1)/$B$6-D155)))</f>
        <v>0.0366189506837286</v>
      </c>
      <c r="I155" s="21" t="n">
        <f aca="false">IF(B155="","",MAX(ABS($A155/$B$6-E155),ABS(($A155-1)/$B$6-E155)))</f>
        <v>0.0160185113946136</v>
      </c>
      <c r="J155" s="21" t="n">
        <f aca="false">IF(B155="","",MAX(ABS($A155/$B$6-F155),ABS(($A155-1)/$B$6-F155)))</f>
        <v>0.00243259469101596</v>
      </c>
      <c r="K155" s="21" t="n">
        <f aca="false">IF(B155="","",MAX(ABS($A155/$B$6-G155),ABS(($A155-1)/$B$6-G155)))</f>
        <v>0.0185421283142167</v>
      </c>
    </row>
    <row r="156" customFormat="false" ht="15" hidden="false" customHeight="false" outlineLevel="0" collapsed="false">
      <c r="A156" s="11" t="n">
        <v>120</v>
      </c>
      <c r="B156" s="9" t="n">
        <f aca="false">IF(A156&gt;$B$6,"",SMALL(BTC_Data!$C$3:$C$1002,A156))</f>
        <v>-0.00129948634323485</v>
      </c>
      <c r="C156" s="21" t="n">
        <f aca="false">IF(B156="","",A156/$B$6)</f>
        <v>0.12</v>
      </c>
      <c r="D156" s="21" t="n">
        <f aca="false">IF(B156="","",NORMDIST(B156,$B$15,$B$16,TRUE()))</f>
        <v>0.155912781143581</v>
      </c>
      <c r="E156" s="21" t="n">
        <f aca="false">IF(B156="","",IF(B156&gt;=$B$15,1-TDIST((B156-$B$15)/$B$18,$B$17,1),TDIST(($B$15-B156)/$B$18,$B$17,1)))</f>
        <v>0.135187653864906</v>
      </c>
      <c r="F156" s="21" t="n">
        <f aca="false">IF(B156="","",IF(B156&lt;$B$19,0.5*EXP((B156-$B$19)/$B$20),1-0.5*EXP(-(B156-$B$19)/$B$20)))</f>
        <v>0.121348821249007</v>
      </c>
      <c r="G156" s="21" t="n">
        <f aca="false">IF(B156="","",1/(1+EXP(-(B156-$B$15)/$B$21)))</f>
        <v>0.137706080327642</v>
      </c>
      <c r="H156" s="21" t="n">
        <f aca="false">IF(B156="","",MAX(ABS($A156/$B$6-D156),ABS(($A156-1)/$B$6-D156)))</f>
        <v>0.0369127811435812</v>
      </c>
      <c r="I156" s="21" t="n">
        <f aca="false">IF(B156="","",MAX(ABS($A156/$B$6-E156),ABS(($A156-1)/$B$6-E156)))</f>
        <v>0.0161876538649058</v>
      </c>
      <c r="J156" s="21" t="n">
        <f aca="false">IF(B156="","",MAX(ABS($A156/$B$6-F156),ABS(($A156-1)/$B$6-F156)))</f>
        <v>0.00234882124900666</v>
      </c>
      <c r="K156" s="21" t="n">
        <f aca="false">IF(B156="","",MAX(ABS($A156/$B$6-G156),ABS(($A156-1)/$B$6-G156)))</f>
        <v>0.0187060803276415</v>
      </c>
    </row>
    <row r="157" customFormat="false" ht="15" hidden="false" customHeight="false" outlineLevel="0" collapsed="false">
      <c r="A157" s="11" t="n">
        <v>121</v>
      </c>
      <c r="B157" s="9" t="n">
        <f aca="false">IF(A157&gt;$B$6,"",SMALL(BTC_Data!$C$3:$C$1002,A157))</f>
        <v>-0.00129588961163418</v>
      </c>
      <c r="C157" s="21" t="n">
        <f aca="false">IF(B157="","",A157/$B$6)</f>
        <v>0.121</v>
      </c>
      <c r="D157" s="21" t="n">
        <f aca="false">IF(B157="","",NORMDIST(B157,$B$15,$B$16,TRUE()))</f>
        <v>0.156589486198719</v>
      </c>
      <c r="E157" s="21" t="n">
        <f aca="false">IF(B157="","",IF(B157&gt;=$B$15,1-TDIST((B157-$B$15)/$B$18,$B$17,1),TDIST(($B$15-B157)/$B$18,$B$17,1)))</f>
        <v>0.135799981190483</v>
      </c>
      <c r="F157" s="21" t="n">
        <f aca="false">IF(B157="","",IF(B157&lt;$B$19,0.5*EXP((B157-$B$19)/$B$20),1-0.5*EXP(-(B157-$B$19)/$B$20)))</f>
        <v>0.121828791613923</v>
      </c>
      <c r="G157" s="21" t="n">
        <f aca="false">IF(B157="","",1/(1+EXP(-(B157-$B$15)/$B$21)))</f>
        <v>0.13831561577322</v>
      </c>
      <c r="H157" s="21" t="n">
        <f aca="false">IF(B157="","",MAX(ABS($A157/$B$6-D157),ABS(($A157-1)/$B$6-D157)))</f>
        <v>0.036589486198719</v>
      </c>
      <c r="I157" s="21" t="n">
        <f aca="false">IF(B157="","",MAX(ABS($A157/$B$6-E157),ABS(($A157-1)/$B$6-E157)))</f>
        <v>0.0157999811904827</v>
      </c>
      <c r="J157" s="21" t="n">
        <f aca="false">IF(B157="","",MAX(ABS($A157/$B$6-F157),ABS(($A157-1)/$B$6-F157)))</f>
        <v>0.00182879161392263</v>
      </c>
      <c r="K157" s="21" t="n">
        <f aca="false">IF(B157="","",MAX(ABS($A157/$B$6-G157),ABS(($A157-1)/$B$6-G157)))</f>
        <v>0.01831561577322</v>
      </c>
    </row>
    <row r="158" customFormat="false" ht="15" hidden="false" customHeight="false" outlineLevel="0" collapsed="false">
      <c r="A158" s="11" t="n">
        <v>122</v>
      </c>
      <c r="B158" s="9" t="n">
        <f aca="false">IF(A158&gt;$B$6,"",SMALL(BTC_Data!$C$3:$C$1002,A158))</f>
        <v>-0.00129228876330345</v>
      </c>
      <c r="C158" s="21" t="n">
        <f aca="false">IF(B158="","",A158/$B$6)</f>
        <v>0.122</v>
      </c>
      <c r="D158" s="21" t="n">
        <f aca="false">IF(B158="","",NORMDIST(B158,$B$15,$B$16,TRUE()))</f>
        <v>0.157268899837533</v>
      </c>
      <c r="E158" s="21" t="n">
        <f aca="false">IF(B158="","",IF(B158&gt;=$B$15,1-TDIST((B158-$B$15)/$B$18,$B$17,1),TDIST(($B$15-B158)/$B$18,$B$17,1)))</f>
        <v>0.136415337186558</v>
      </c>
      <c r="F158" s="21" t="n">
        <f aca="false">IF(B158="","",IF(B158&lt;$B$19,0.5*EXP((B158-$B$19)/$B$20),1-0.5*EXP(-(B158-$B$19)/$B$20)))</f>
        <v>0.122311213028798</v>
      </c>
      <c r="G158" s="21" t="n">
        <f aca="false">IF(B158="","",1/(1+EXP(-(B158-$B$15)/$B$21)))</f>
        <v>0.138928116097085</v>
      </c>
      <c r="H158" s="21" t="n">
        <f aca="false">IF(B158="","",MAX(ABS($A158/$B$6-D158),ABS(($A158-1)/$B$6-D158)))</f>
        <v>0.0362688998375333</v>
      </c>
      <c r="I158" s="21" t="n">
        <f aca="false">IF(B158="","",MAX(ABS($A158/$B$6-E158),ABS(($A158-1)/$B$6-E158)))</f>
        <v>0.0154153371865584</v>
      </c>
      <c r="J158" s="21" t="n">
        <f aca="false">IF(B158="","",MAX(ABS($A158/$B$6-F158),ABS(($A158-1)/$B$6-F158)))</f>
        <v>0.00131121302879801</v>
      </c>
      <c r="K158" s="21" t="n">
        <f aca="false">IF(B158="","",MAX(ABS($A158/$B$6-G158),ABS(($A158-1)/$B$6-G158)))</f>
        <v>0.0179281160970854</v>
      </c>
    </row>
    <row r="159" customFormat="false" ht="15" hidden="false" customHeight="false" outlineLevel="0" collapsed="false">
      <c r="A159" s="11" t="n">
        <v>123</v>
      </c>
      <c r="B159" s="9" t="n">
        <f aca="false">IF(A159&gt;$B$6,"",SMALL(BTC_Data!$C$3:$C$1002,A159))</f>
        <v>-0.0012902956444959</v>
      </c>
      <c r="C159" s="21" t="n">
        <f aca="false">IF(B159="","",A159/$B$6)</f>
        <v>0.123</v>
      </c>
      <c r="D159" s="21" t="n">
        <f aca="false">IF(B159="","",NORMDIST(B159,$B$15,$B$16,TRUE()))</f>
        <v>0.157645796619325</v>
      </c>
      <c r="E159" s="21" t="n">
        <f aca="false">IF(B159="","",IF(B159&gt;=$B$15,1-TDIST((B159-$B$15)/$B$18,$B$17,1),TDIST(($B$15-B159)/$B$18,$B$17,1)))</f>
        <v>0.136756948199715</v>
      </c>
      <c r="F159" s="21" t="n">
        <f aca="false">IF(B159="","",IF(B159&lt;$B$19,0.5*EXP((B159-$B$19)/$B$20),1-0.5*EXP(-(B159-$B$19)/$B$20)))</f>
        <v>0.122579060725759</v>
      </c>
      <c r="G159" s="21" t="n">
        <f aca="false">IF(B159="","",1/(1+EXP(-(B159-$B$15)/$B$21)))</f>
        <v>0.139268120415824</v>
      </c>
      <c r="H159" s="21" t="n">
        <f aca="false">IF(B159="","",MAX(ABS($A159/$B$6-D159),ABS(($A159-1)/$B$6-D159)))</f>
        <v>0.0356457966193254</v>
      </c>
      <c r="I159" s="21" t="n">
        <f aca="false">IF(B159="","",MAX(ABS($A159/$B$6-E159),ABS(($A159-1)/$B$6-E159)))</f>
        <v>0.0147569481997151</v>
      </c>
      <c r="J159" s="21" t="n">
        <f aca="false">IF(B159="","",MAX(ABS($A159/$B$6-F159),ABS(($A159-1)/$B$6-F159)))</f>
        <v>0.000579060725758807</v>
      </c>
      <c r="K159" s="21" t="n">
        <f aca="false">IF(B159="","",MAX(ABS($A159/$B$6-G159),ABS(($A159-1)/$B$6-G159)))</f>
        <v>0.0172681204158239</v>
      </c>
    </row>
    <row r="160" customFormat="false" ht="15" hidden="false" customHeight="false" outlineLevel="0" collapsed="false">
      <c r="A160" s="11" t="n">
        <v>124</v>
      </c>
      <c r="B160" s="9" t="n">
        <f aca="false">IF(A160&gt;$B$6,"",SMALL(BTC_Data!$C$3:$C$1002,A160))</f>
        <v>-0.00128686246573428</v>
      </c>
      <c r="C160" s="21" t="n">
        <f aca="false">IF(B160="","",A160/$B$6)</f>
        <v>0.124</v>
      </c>
      <c r="D160" s="21" t="n">
        <f aca="false">IF(B160="","",NORMDIST(B160,$B$15,$B$16,TRUE()))</f>
        <v>0.158296397579701</v>
      </c>
      <c r="E160" s="21" t="n">
        <f aca="false">IF(B160="","",IF(B160&gt;=$B$15,1-TDIST((B160-$B$15)/$B$18,$B$17,1),TDIST(($B$15-B160)/$B$18,$B$17,1)))</f>
        <v>0.137347057258527</v>
      </c>
      <c r="F160" s="21" t="n">
        <f aca="false">IF(B160="","",IF(B160&lt;$B$19,0.5*EXP((B160-$B$19)/$B$20),1-0.5*EXP(-(B160-$B$19)/$B$20)))</f>
        <v>0.123041808707677</v>
      </c>
      <c r="G160" s="21" t="n">
        <f aca="false">IF(B160="","",1/(1+EXP(-(B160-$B$15)/$B$21)))</f>
        <v>0.139855418454087</v>
      </c>
      <c r="H160" s="21" t="n">
        <f aca="false">IF(B160="","",MAX(ABS($A160/$B$6-D160),ABS(($A160-1)/$B$6-D160)))</f>
        <v>0.0352963975797005</v>
      </c>
      <c r="I160" s="21" t="n">
        <f aca="false">IF(B160="","",MAX(ABS($A160/$B$6-E160),ABS(($A160-1)/$B$6-E160)))</f>
        <v>0.0143470572585269</v>
      </c>
      <c r="J160" s="21" t="n">
        <f aca="false">IF(B160="","",MAX(ABS($A160/$B$6-F160),ABS(($A160-1)/$B$6-F160)))</f>
        <v>0.000958191292322705</v>
      </c>
      <c r="K160" s="21" t="n">
        <f aca="false">IF(B160="","",MAX(ABS($A160/$B$6-G160),ABS(($A160-1)/$B$6-G160)))</f>
        <v>0.0168554184540874</v>
      </c>
    </row>
    <row r="161" customFormat="false" ht="15" hidden="false" customHeight="false" outlineLevel="0" collapsed="false">
      <c r="A161" s="11" t="n">
        <v>125</v>
      </c>
      <c r="B161" s="9" t="n">
        <f aca="false">IF(A161&gt;$B$6,"",SMALL(BTC_Data!$C$3:$C$1002,A161))</f>
        <v>-0.00128640362222521</v>
      </c>
      <c r="C161" s="21" t="n">
        <f aca="false">IF(B161="","",A161/$B$6)</f>
        <v>0.125</v>
      </c>
      <c r="D161" s="21" t="n">
        <f aca="false">IF(B161="","",NORMDIST(B161,$B$15,$B$16,TRUE()))</f>
        <v>0.158383483514136</v>
      </c>
      <c r="E161" s="21" t="n">
        <f aca="false">IF(B161="","",IF(B161&gt;=$B$15,1-TDIST((B161-$B$15)/$B$18,$B$17,1),TDIST(($B$15-B161)/$B$18,$B$17,1)))</f>
        <v>0.137426086276362</v>
      </c>
      <c r="F161" s="21" t="n">
        <f aca="false">IF(B161="","",IF(B161&lt;$B$19,0.5*EXP((B161-$B$19)/$B$20),1-0.5*EXP(-(B161-$B$19)/$B$20)))</f>
        <v>0.123103787058853</v>
      </c>
      <c r="G161" s="21" t="n">
        <f aca="false">IF(B161="","",1/(1+EXP(-(B161-$B$15)/$B$21)))</f>
        <v>0.139934067616296</v>
      </c>
      <c r="H161" s="21" t="n">
        <f aca="false">IF(B161="","",MAX(ABS($A161/$B$6-D161),ABS(($A161-1)/$B$6-D161)))</f>
        <v>0.0343834835141355</v>
      </c>
      <c r="I161" s="21" t="n">
        <f aca="false">IF(B161="","",MAX(ABS($A161/$B$6-E161),ABS(($A161-1)/$B$6-E161)))</f>
        <v>0.0134260862763625</v>
      </c>
      <c r="J161" s="21" t="n">
        <f aca="false">IF(B161="","",MAX(ABS($A161/$B$6-F161),ABS(($A161-1)/$B$6-F161)))</f>
        <v>0.00189621294114704</v>
      </c>
      <c r="K161" s="21" t="n">
        <f aca="false">IF(B161="","",MAX(ABS($A161/$B$6-G161),ABS(($A161-1)/$B$6-G161)))</f>
        <v>0.0159340676162964</v>
      </c>
    </row>
    <row r="162" customFormat="false" ht="15" hidden="false" customHeight="false" outlineLevel="0" collapsed="false">
      <c r="A162" s="11" t="n">
        <v>126</v>
      </c>
      <c r="B162" s="9" t="n">
        <f aca="false">IF(A162&gt;$B$6,"",SMALL(BTC_Data!$C$3:$C$1002,A162))</f>
        <v>-0.00127949865868016</v>
      </c>
      <c r="C162" s="21" t="n">
        <f aca="false">IF(B162="","",A162/$B$6)</f>
        <v>0.126</v>
      </c>
      <c r="D162" s="21" t="n">
        <f aca="false">IF(B162="","",NORMDIST(B162,$B$15,$B$16,TRUE()))</f>
        <v>0.159697801653831</v>
      </c>
      <c r="E162" s="21" t="n">
        <f aca="false">IF(B162="","",IF(B162&gt;=$B$15,1-TDIST((B162-$B$15)/$B$18,$B$17,1),TDIST(($B$15-B162)/$B$18,$B$17,1)))</f>
        <v>0.138619959418076</v>
      </c>
      <c r="F162" s="21" t="n">
        <f aca="false">IF(B162="","",IF(B162&lt;$B$19,0.5*EXP((B162-$B$19)/$B$20),1-0.5*EXP(-(B162-$B$19)/$B$20)))</f>
        <v>0.124040254801238</v>
      </c>
      <c r="G162" s="21" t="n">
        <f aca="false">IF(B162="","",1/(1+EXP(-(B162-$B$15)/$B$21)))</f>
        <v>0.141122106078825</v>
      </c>
      <c r="H162" s="21" t="n">
        <f aca="false">IF(B162="","",MAX(ABS($A162/$B$6-D162),ABS(($A162-1)/$B$6-D162)))</f>
        <v>0.0346978016538313</v>
      </c>
      <c r="I162" s="21" t="n">
        <f aca="false">IF(B162="","",MAX(ABS($A162/$B$6-E162),ABS(($A162-1)/$B$6-E162)))</f>
        <v>0.013619959418076</v>
      </c>
      <c r="J162" s="21" t="n">
        <f aca="false">IF(B162="","",MAX(ABS($A162/$B$6-F162),ABS(($A162-1)/$B$6-F162)))</f>
        <v>0.00195974519876248</v>
      </c>
      <c r="K162" s="21" t="n">
        <f aca="false">IF(B162="","",MAX(ABS($A162/$B$6-G162),ABS(($A162-1)/$B$6-G162)))</f>
        <v>0.0161221060788254</v>
      </c>
    </row>
    <row r="163" customFormat="false" ht="15" hidden="false" customHeight="false" outlineLevel="0" collapsed="false">
      <c r="A163" s="11" t="n">
        <v>127</v>
      </c>
      <c r="B163" s="9" t="n">
        <f aca="false">IF(A163&gt;$B$6,"",SMALL(BTC_Data!$C$3:$C$1002,A163))</f>
        <v>-0.00127076511335777</v>
      </c>
      <c r="C163" s="21" t="n">
        <f aca="false">IF(B163="","",A163/$B$6)</f>
        <v>0.127</v>
      </c>
      <c r="D163" s="21" t="n">
        <f aca="false">IF(B163="","",NORMDIST(B163,$B$15,$B$16,TRUE()))</f>
        <v>0.161370371796948</v>
      </c>
      <c r="E163" s="21" t="n">
        <f aca="false">IF(B163="","",IF(B163&gt;=$B$15,1-TDIST((B163-$B$15)/$B$18,$B$17,1),TDIST(($B$15-B163)/$B$18,$B$17,1)))</f>
        <v>0.14014237307205</v>
      </c>
      <c r="F163" s="21" t="n">
        <f aca="false">IF(B163="","",IF(B163&lt;$B$19,0.5*EXP((B163-$B$19)/$B$20),1-0.5*EXP(-(B163-$B$19)/$B$20)))</f>
        <v>0.125234929496718</v>
      </c>
      <c r="G163" s="21" t="n">
        <f aca="false">IF(B163="","",1/(1+EXP(-(B163-$B$15)/$B$21)))</f>
        <v>0.142636822658738</v>
      </c>
      <c r="H163" s="21" t="n">
        <f aca="false">IF(B163="","",MAX(ABS($A163/$B$6-D163),ABS(($A163-1)/$B$6-D163)))</f>
        <v>0.035370371796948</v>
      </c>
      <c r="I163" s="21" t="n">
        <f aca="false">IF(B163="","",MAX(ABS($A163/$B$6-E163),ABS(($A163-1)/$B$6-E163)))</f>
        <v>0.0141423730720503</v>
      </c>
      <c r="J163" s="21" t="n">
        <f aca="false">IF(B163="","",MAX(ABS($A163/$B$6-F163),ABS(($A163-1)/$B$6-F163)))</f>
        <v>0.00176507050328212</v>
      </c>
      <c r="K163" s="21" t="n">
        <f aca="false">IF(B163="","",MAX(ABS($A163/$B$6-G163),ABS(($A163-1)/$B$6-G163)))</f>
        <v>0.0166368226587379</v>
      </c>
    </row>
    <row r="164" customFormat="false" ht="15" hidden="false" customHeight="false" outlineLevel="0" collapsed="false">
      <c r="A164" s="11" t="n">
        <v>128</v>
      </c>
      <c r="B164" s="9" t="n">
        <f aca="false">IF(A164&gt;$B$6,"",SMALL(BTC_Data!$C$3:$C$1002,A164))</f>
        <v>-0.00127011021662182</v>
      </c>
      <c r="C164" s="21" t="n">
        <f aca="false">IF(B164="","",A164/$B$6)</f>
        <v>0.128</v>
      </c>
      <c r="D164" s="21" t="n">
        <f aca="false">IF(B164="","",NORMDIST(B164,$B$15,$B$16,TRUE()))</f>
        <v>0.161496250550834</v>
      </c>
      <c r="E164" s="21" t="n">
        <f aca="false">IF(B164="","",IF(B164&gt;=$B$15,1-TDIST((B164-$B$15)/$B$18,$B$17,1),TDIST(($B$15-B164)/$B$18,$B$17,1)))</f>
        <v>0.14025709207626</v>
      </c>
      <c r="F164" s="21" t="n">
        <f aca="false">IF(B164="","",IF(B164&lt;$B$19,0.5*EXP((B164-$B$19)/$B$20),1-0.5*EXP(-(B164-$B$19)/$B$20)))</f>
        <v>0.125324976185985</v>
      </c>
      <c r="G164" s="21" t="n">
        <f aca="false">IF(B164="","",1/(1+EXP(-(B164-$B$15)/$B$21)))</f>
        <v>0.142750950240362</v>
      </c>
      <c r="H164" s="21" t="n">
        <f aca="false">IF(B164="","",MAX(ABS($A164/$B$6-D164),ABS(($A164-1)/$B$6-D164)))</f>
        <v>0.0344962505508342</v>
      </c>
      <c r="I164" s="21" t="n">
        <f aca="false">IF(B164="","",MAX(ABS($A164/$B$6-E164),ABS(($A164-1)/$B$6-E164)))</f>
        <v>0.0132570920762597</v>
      </c>
      <c r="J164" s="21" t="n">
        <f aca="false">IF(B164="","",MAX(ABS($A164/$B$6-F164),ABS(($A164-1)/$B$6-F164)))</f>
        <v>0.00267502381401508</v>
      </c>
      <c r="K164" s="21" t="n">
        <f aca="false">IF(B164="","",MAX(ABS($A164/$B$6-G164),ABS(($A164-1)/$B$6-G164)))</f>
        <v>0.0157509502403617</v>
      </c>
    </row>
    <row r="165" customFormat="false" ht="15" hidden="false" customHeight="false" outlineLevel="0" collapsed="false">
      <c r="A165" s="11" t="n">
        <v>129</v>
      </c>
      <c r="B165" s="9" t="n">
        <f aca="false">IF(A165&gt;$B$6,"",SMALL(BTC_Data!$C$3:$C$1002,A165))</f>
        <v>-0.00126395340184915</v>
      </c>
      <c r="C165" s="21" t="n">
        <f aca="false">IF(B165="","",A165/$B$6)</f>
        <v>0.129</v>
      </c>
      <c r="D165" s="21" t="n">
        <f aca="false">IF(B165="","",NORMDIST(B165,$B$15,$B$16,TRUE()))</f>
        <v>0.162682791088294</v>
      </c>
      <c r="E165" s="21" t="n">
        <f aca="false">IF(B165="","",IF(B165&gt;=$B$15,1-TDIST((B165-$B$15)/$B$18,$B$17,1),TDIST(($B$15-B165)/$B$18,$B$17,1)))</f>
        <v>0.141339409529068</v>
      </c>
      <c r="F165" s="21" t="n">
        <f aca="false">IF(B165="","",IF(B165&lt;$B$19,0.5*EXP((B165-$B$19)/$B$20),1-0.5*EXP(-(B165-$B$19)/$B$20)))</f>
        <v>0.126174694977651</v>
      </c>
      <c r="G165" s="21" t="n">
        <f aca="false">IF(B165="","",1/(1+EXP(-(B165-$B$15)/$B$21)))</f>
        <v>0.143827610674121</v>
      </c>
      <c r="H165" s="21" t="n">
        <f aca="false">IF(B165="","",MAX(ABS($A165/$B$6-D165),ABS(($A165-1)/$B$6-D165)))</f>
        <v>0.0346827910882935</v>
      </c>
      <c r="I165" s="21" t="n">
        <f aca="false">IF(B165="","",MAX(ABS($A165/$B$6-E165),ABS(($A165-1)/$B$6-E165)))</f>
        <v>0.013339409529068</v>
      </c>
      <c r="J165" s="21" t="n">
        <f aca="false">IF(B165="","",MAX(ABS($A165/$B$6-F165),ABS(($A165-1)/$B$6-F165)))</f>
        <v>0.00282530502234948</v>
      </c>
      <c r="K165" s="21" t="n">
        <f aca="false">IF(B165="","",MAX(ABS($A165/$B$6-G165),ABS(($A165-1)/$B$6-G165)))</f>
        <v>0.015827610674121</v>
      </c>
    </row>
    <row r="166" customFormat="false" ht="15" hidden="false" customHeight="false" outlineLevel="0" collapsed="false">
      <c r="A166" s="11" t="n">
        <v>130</v>
      </c>
      <c r="B166" s="9" t="n">
        <f aca="false">IF(A166&gt;$B$6,"",SMALL(BTC_Data!$C$3:$C$1002,A166))</f>
        <v>-0.00125668570319326</v>
      </c>
      <c r="C166" s="21" t="n">
        <f aca="false">IF(B166="","",A166/$B$6)</f>
        <v>0.13</v>
      </c>
      <c r="D166" s="21" t="n">
        <f aca="false">IF(B166="","",NORMDIST(B166,$B$15,$B$16,TRUE()))</f>
        <v>0.164090700119878</v>
      </c>
      <c r="E166" s="21" t="n">
        <f aca="false">IF(B166="","",IF(B166&gt;=$B$15,1-TDIST((B166-$B$15)/$B$18,$B$17,1),TDIST(($B$15-B166)/$B$18,$B$17,1)))</f>
        <v>0.142625921708702</v>
      </c>
      <c r="F166" s="21" t="n">
        <f aca="false">IF(B166="","",IF(B166&lt;$B$19,0.5*EXP((B166-$B$19)/$B$20),1-0.5*EXP(-(B166-$B$19)/$B$20)))</f>
        <v>0.127185147132693</v>
      </c>
      <c r="G166" s="21" t="n">
        <f aca="false">IF(B166="","",1/(1+EXP(-(B166-$B$15)/$B$21)))</f>
        <v>0.145107220158219</v>
      </c>
      <c r="H166" s="21" t="n">
        <f aca="false">IF(B166="","",MAX(ABS($A166/$B$6-D166),ABS(($A166-1)/$B$6-D166)))</f>
        <v>0.0350907001198784</v>
      </c>
      <c r="I166" s="21" t="n">
        <f aca="false">IF(B166="","",MAX(ABS($A166/$B$6-E166),ABS(($A166-1)/$B$6-E166)))</f>
        <v>0.0136259217087019</v>
      </c>
      <c r="J166" s="21" t="n">
        <f aca="false">IF(B166="","",MAX(ABS($A166/$B$6-F166),ABS(($A166-1)/$B$6-F166)))</f>
        <v>0.00281485286730743</v>
      </c>
      <c r="K166" s="21" t="n">
        <f aca="false">IF(B166="","",MAX(ABS($A166/$B$6-G166),ABS(($A166-1)/$B$6-G166)))</f>
        <v>0.0161072201582188</v>
      </c>
    </row>
    <row r="167" customFormat="false" ht="15" hidden="false" customHeight="false" outlineLevel="0" collapsed="false">
      <c r="A167" s="11" t="n">
        <v>131</v>
      </c>
      <c r="B167" s="9" t="n">
        <f aca="false">IF(A167&gt;$B$6,"",SMALL(BTC_Data!$C$3:$C$1002,A167))</f>
        <v>-0.00125583243108796</v>
      </c>
      <c r="C167" s="21" t="n">
        <f aca="false">IF(B167="","",A167/$B$6)</f>
        <v>0.131</v>
      </c>
      <c r="D167" s="21" t="n">
        <f aca="false">IF(B167="","",NORMDIST(B167,$B$15,$B$16,TRUE()))</f>
        <v>0.164256514131851</v>
      </c>
      <c r="E167" s="21" t="n">
        <f aca="false">IF(B167="","",IF(B167&gt;=$B$15,1-TDIST((B167-$B$15)/$B$18,$B$17,1),TDIST(($B$15-B167)/$B$18,$B$17,1)))</f>
        <v>0.14277760041267</v>
      </c>
      <c r="F167" s="21" t="n">
        <f aca="false">IF(B167="","",IF(B167&lt;$B$19,0.5*EXP((B167-$B$19)/$B$20),1-0.5*EXP(-(B167-$B$19)/$B$20)))</f>
        <v>0.127304309926634</v>
      </c>
      <c r="G167" s="21" t="n">
        <f aca="false">IF(B167="","",1/(1+EXP(-(B167-$B$15)/$B$21)))</f>
        <v>0.145258072506226</v>
      </c>
      <c r="H167" s="21" t="n">
        <f aca="false">IF(B167="","",MAX(ABS($A167/$B$6-D167),ABS(($A167-1)/$B$6-D167)))</f>
        <v>0.0342565141318513</v>
      </c>
      <c r="I167" s="21" t="n">
        <f aca="false">IF(B167="","",MAX(ABS($A167/$B$6-E167),ABS(($A167-1)/$B$6-E167)))</f>
        <v>0.0127776004126702</v>
      </c>
      <c r="J167" s="21" t="n">
        <f aca="false">IF(B167="","",MAX(ABS($A167/$B$6-F167),ABS(($A167-1)/$B$6-F167)))</f>
        <v>0.00369569007336579</v>
      </c>
      <c r="K167" s="21" t="n">
        <f aca="false">IF(B167="","",MAX(ABS($A167/$B$6-G167),ABS(($A167-1)/$B$6-G167)))</f>
        <v>0.015258072506226</v>
      </c>
    </row>
    <row r="168" customFormat="false" ht="15" hidden="false" customHeight="false" outlineLevel="0" collapsed="false">
      <c r="A168" s="11" t="n">
        <v>132</v>
      </c>
      <c r="B168" s="9" t="n">
        <f aca="false">IF(A168&gt;$B$6,"",SMALL(BTC_Data!$C$3:$C$1002,A168))</f>
        <v>-0.00124821892138838</v>
      </c>
      <c r="C168" s="21" t="n">
        <f aca="false">IF(B168="","",A168/$B$6)</f>
        <v>0.132</v>
      </c>
      <c r="D168" s="21" t="n">
        <f aca="false">IF(B168="","",NORMDIST(B168,$B$15,$B$16,TRUE()))</f>
        <v>0.16574083421473</v>
      </c>
      <c r="E168" s="21" t="n">
        <f aca="false">IF(B168="","",IF(B168&gt;=$B$15,1-TDIST((B168-$B$15)/$B$18,$B$17,1),TDIST(($B$15-B168)/$B$18,$B$17,1)))</f>
        <v>0.144136903361945</v>
      </c>
      <c r="F168" s="21" t="n">
        <f aca="false">IF(B168="","",IF(B168&lt;$B$19,0.5*EXP((B168-$B$19)/$B$20),1-0.5*EXP(-(B168-$B$19)/$B$20)))</f>
        <v>0.128372521106499</v>
      </c>
      <c r="G168" s="21" t="n">
        <f aca="false">IF(B168="","",1/(1+EXP(-(B168-$B$15)/$B$21)))</f>
        <v>0.146609854292556</v>
      </c>
      <c r="H168" s="21" t="n">
        <f aca="false">IF(B168="","",MAX(ABS($A168/$B$6-D168),ABS(($A168-1)/$B$6-D168)))</f>
        <v>0.0347408342147298</v>
      </c>
      <c r="I168" s="21" t="n">
        <f aca="false">IF(B168="","",MAX(ABS($A168/$B$6-E168),ABS(($A168-1)/$B$6-E168)))</f>
        <v>0.013136903361945</v>
      </c>
      <c r="J168" s="21" t="n">
        <f aca="false">IF(B168="","",MAX(ABS($A168/$B$6-F168),ABS(($A168-1)/$B$6-F168)))</f>
        <v>0.00362747889350099</v>
      </c>
      <c r="K168" s="21" t="n">
        <f aca="false">IF(B168="","",MAX(ABS($A168/$B$6-G168),ABS(($A168-1)/$B$6-G168)))</f>
        <v>0.0156098542925564</v>
      </c>
    </row>
    <row r="169" customFormat="false" ht="15" hidden="false" customHeight="false" outlineLevel="0" collapsed="false">
      <c r="A169" s="11" t="n">
        <v>133</v>
      </c>
      <c r="B169" s="9" t="n">
        <f aca="false">IF(A169&gt;$B$6,"",SMALL(BTC_Data!$C$3:$C$1002,A169))</f>
        <v>-0.00124289327950577</v>
      </c>
      <c r="C169" s="21" t="n">
        <f aca="false">IF(B169="","",A169/$B$6)</f>
        <v>0.133</v>
      </c>
      <c r="D169" s="21" t="n">
        <f aca="false">IF(B169="","",NORMDIST(B169,$B$15,$B$16,TRUE()))</f>
        <v>0.166784252981713</v>
      </c>
      <c r="E169" s="21" t="n">
        <f aca="false">IF(B169="","",IF(B169&gt;=$B$15,1-TDIST((B169-$B$15)/$B$18,$B$17,1),TDIST(($B$15-B169)/$B$18,$B$17,1)))</f>
        <v>0.145094072460377</v>
      </c>
      <c r="F169" s="21" t="n">
        <f aca="false">IF(B169="","",IF(B169&lt;$B$19,0.5*EXP((B169-$B$19)/$B$20),1-0.5*EXP(-(B169-$B$19)/$B$20)))</f>
        <v>0.129125057031512</v>
      </c>
      <c r="G169" s="21" t="n">
        <f aca="false">IF(B169="","",1/(1+EXP(-(B169-$B$15)/$B$21)))</f>
        <v>0.147561604765471</v>
      </c>
      <c r="H169" s="21" t="n">
        <f aca="false">IF(B169="","",MAX(ABS($A169/$B$6-D169),ABS(($A169-1)/$B$6-D169)))</f>
        <v>0.0347842529817129</v>
      </c>
      <c r="I169" s="21" t="n">
        <f aca="false">IF(B169="","",MAX(ABS($A169/$B$6-E169),ABS(($A169-1)/$B$6-E169)))</f>
        <v>0.0130940724603766</v>
      </c>
      <c r="J169" s="21" t="n">
        <f aca="false">IF(B169="","",MAX(ABS($A169/$B$6-F169),ABS(($A169-1)/$B$6-F169)))</f>
        <v>0.00387494296848828</v>
      </c>
      <c r="K169" s="21" t="n">
        <f aca="false">IF(B169="","",MAX(ABS($A169/$B$6-G169),ABS(($A169-1)/$B$6-G169)))</f>
        <v>0.0155616047654713</v>
      </c>
    </row>
    <row r="170" customFormat="false" ht="15" hidden="false" customHeight="false" outlineLevel="0" collapsed="false">
      <c r="A170" s="11" t="n">
        <v>134</v>
      </c>
      <c r="B170" s="9" t="n">
        <f aca="false">IF(A170&gt;$B$6,"",SMALL(BTC_Data!$C$3:$C$1002,A170))</f>
        <v>-0.00124030744354864</v>
      </c>
      <c r="C170" s="21" t="n">
        <f aca="false">IF(B170="","",A170/$B$6)</f>
        <v>0.134</v>
      </c>
      <c r="D170" s="21" t="n">
        <f aca="false">IF(B170="","",NORMDIST(B170,$B$15,$B$16,TRUE()))</f>
        <v>0.167292404320051</v>
      </c>
      <c r="E170" s="21" t="n">
        <f aca="false">IF(B170="","",IF(B170&gt;=$B$15,1-TDIST((B170-$B$15)/$B$18,$B$17,1),TDIST(($B$15-B170)/$B$18,$B$17,1)))</f>
        <v>0.145560706896061</v>
      </c>
      <c r="F170" s="21" t="n">
        <f aca="false">IF(B170="","",IF(B170&lt;$B$19,0.5*EXP((B170-$B$19)/$B$20),1-0.5*EXP(-(B170-$B$19)/$B$20)))</f>
        <v>0.129492036080025</v>
      </c>
      <c r="G170" s="21" t="n">
        <f aca="false">IF(B170="","",1/(1+EXP(-(B170-$B$15)/$B$21)))</f>
        <v>0.148025561586874</v>
      </c>
      <c r="H170" s="21" t="n">
        <f aca="false">IF(B170="","",MAX(ABS($A170/$B$6-D170),ABS(($A170-1)/$B$6-D170)))</f>
        <v>0.0342924043200512</v>
      </c>
      <c r="I170" s="21" t="n">
        <f aca="false">IF(B170="","",MAX(ABS($A170/$B$6-E170),ABS(($A170-1)/$B$6-E170)))</f>
        <v>0.0125607068960607</v>
      </c>
      <c r="J170" s="21" t="n">
        <f aca="false">IF(B170="","",MAX(ABS($A170/$B$6-F170),ABS(($A170-1)/$B$6-F170)))</f>
        <v>0.00450796391997529</v>
      </c>
      <c r="K170" s="21" t="n">
        <f aca="false">IF(B170="","",MAX(ABS($A170/$B$6-G170),ABS(($A170-1)/$B$6-G170)))</f>
        <v>0.0150255615868742</v>
      </c>
    </row>
    <row r="171" customFormat="false" ht="15" hidden="false" customHeight="false" outlineLevel="0" collapsed="false">
      <c r="A171" s="11" t="n">
        <v>135</v>
      </c>
      <c r="B171" s="9" t="n">
        <f aca="false">IF(A171&gt;$B$6,"",SMALL(BTC_Data!$C$3:$C$1002,A171))</f>
        <v>-0.00123401083380303</v>
      </c>
      <c r="C171" s="21" t="n">
        <f aca="false">IF(B171="","",A171/$B$6)</f>
        <v>0.135</v>
      </c>
      <c r="D171" s="21" t="n">
        <f aca="false">IF(B171="","",NORMDIST(B171,$B$15,$B$16,TRUE()))</f>
        <v>0.168533940768513</v>
      </c>
      <c r="E171" s="21" t="n">
        <f aca="false">IF(B171="","",IF(B171&gt;=$B$15,1-TDIST((B171-$B$15)/$B$18,$B$17,1),TDIST(($B$15-B171)/$B$18,$B$17,1)))</f>
        <v>0.146702147885861</v>
      </c>
      <c r="F171" s="21" t="n">
        <f aca="false">IF(B171="","",IF(B171&lt;$B$19,0.5*EXP((B171-$B$19)/$B$20),1-0.5*EXP(-(B171-$B$19)/$B$20)))</f>
        <v>0.130390012009172</v>
      </c>
      <c r="G171" s="21" t="n">
        <f aca="false">IF(B171="","",1/(1+EXP(-(B171-$B$15)/$B$21)))</f>
        <v>0.149160355399178</v>
      </c>
      <c r="H171" s="21" t="n">
        <f aca="false">IF(B171="","",MAX(ABS($A171/$B$6-D171),ABS(($A171-1)/$B$6-D171)))</f>
        <v>0.034533940768513</v>
      </c>
      <c r="I171" s="21" t="n">
        <f aca="false">IF(B171="","",MAX(ABS($A171/$B$6-E171),ABS(($A171-1)/$B$6-E171)))</f>
        <v>0.0127021478858609</v>
      </c>
      <c r="J171" s="21" t="n">
        <f aca="false">IF(B171="","",MAX(ABS($A171/$B$6-F171),ABS(($A171-1)/$B$6-F171)))</f>
        <v>0.00460998799082821</v>
      </c>
      <c r="K171" s="21" t="n">
        <f aca="false">IF(B171="","",MAX(ABS($A171/$B$6-G171),ABS(($A171-1)/$B$6-G171)))</f>
        <v>0.0151603553991783</v>
      </c>
    </row>
    <row r="172" customFormat="false" ht="15" hidden="false" customHeight="false" outlineLevel="0" collapsed="false">
      <c r="A172" s="11" t="n">
        <v>136</v>
      </c>
      <c r="B172" s="9" t="n">
        <f aca="false">IF(A172&gt;$B$6,"",SMALL(BTC_Data!$C$3:$C$1002,A172))</f>
        <v>-0.00122552300310019</v>
      </c>
      <c r="C172" s="21" t="n">
        <f aca="false">IF(B172="","",A172/$B$6)</f>
        <v>0.136</v>
      </c>
      <c r="D172" s="21" t="n">
        <f aca="false">IF(B172="","",NORMDIST(B172,$B$15,$B$16,TRUE()))</f>
        <v>0.170216881384455</v>
      </c>
      <c r="E172" s="21" t="n">
        <f aca="false">IF(B172="","",IF(B172&gt;=$B$15,1-TDIST((B172-$B$15)/$B$18,$B$17,1),TDIST(($B$15-B172)/$B$18,$B$17,1)))</f>
        <v>0.148252437148798</v>
      </c>
      <c r="F172" s="21" t="n">
        <f aca="false">IF(B172="","",IF(B172&lt;$B$19,0.5*EXP((B172-$B$19)/$B$20),1-0.5*EXP(-(B172-$B$19)/$B$20)))</f>
        <v>0.131610346311307</v>
      </c>
      <c r="G172" s="21" t="n">
        <f aca="false">IF(B172="","",1/(1+EXP(-(B172-$B$15)/$B$21)))</f>
        <v>0.150701400278713</v>
      </c>
      <c r="H172" s="21" t="n">
        <f aca="false">IF(B172="","",MAX(ABS($A172/$B$6-D172),ABS(($A172-1)/$B$6-D172)))</f>
        <v>0.0352168813844551</v>
      </c>
      <c r="I172" s="21" t="n">
        <f aca="false">IF(B172="","",MAX(ABS($A172/$B$6-E172),ABS(($A172-1)/$B$6-E172)))</f>
        <v>0.0132524371487984</v>
      </c>
      <c r="J172" s="21" t="n">
        <f aca="false">IF(B172="","",MAX(ABS($A172/$B$6-F172),ABS(($A172-1)/$B$6-F172)))</f>
        <v>0.00438965368869293</v>
      </c>
      <c r="K172" s="21" t="n">
        <f aca="false">IF(B172="","",MAX(ABS($A172/$B$6-G172),ABS(($A172-1)/$B$6-G172)))</f>
        <v>0.0157014002787133</v>
      </c>
    </row>
    <row r="173" customFormat="false" ht="15" hidden="false" customHeight="false" outlineLevel="0" collapsed="false">
      <c r="A173" s="11" t="n">
        <v>137</v>
      </c>
      <c r="B173" s="9" t="n">
        <f aca="false">IF(A173&gt;$B$6,"",SMALL(BTC_Data!$C$3:$C$1002,A173))</f>
        <v>-0.00121291482913799</v>
      </c>
      <c r="C173" s="21" t="n">
        <f aca="false">IF(B173="","",A173/$B$6)</f>
        <v>0.137</v>
      </c>
      <c r="D173" s="21" t="n">
        <f aca="false">IF(B173="","",NORMDIST(B173,$B$15,$B$16,TRUE()))</f>
        <v>0.17273659455368</v>
      </c>
      <c r="E173" s="21" t="n">
        <f aca="false">IF(B173="","",IF(B173&gt;=$B$15,1-TDIST((B173-$B$15)/$B$18,$B$17,1),TDIST(($B$15-B173)/$B$18,$B$17,1)))</f>
        <v>0.150580045309983</v>
      </c>
      <c r="F173" s="21" t="n">
        <f aca="false">IF(B173="","",IF(B173&lt;$B$19,0.5*EXP((B173-$B$19)/$B$20),1-0.5*EXP(-(B173-$B$19)/$B$20)))</f>
        <v>0.133444196610356</v>
      </c>
      <c r="G173" s="21" t="n">
        <f aca="false">IF(B173="","",1/(1+EXP(-(B173-$B$15)/$B$21)))</f>
        <v>0.153014678601546</v>
      </c>
      <c r="H173" s="21" t="n">
        <f aca="false">IF(B173="","",MAX(ABS($A173/$B$6-D173),ABS(($A173-1)/$B$6-D173)))</f>
        <v>0.0367365945536797</v>
      </c>
      <c r="I173" s="21" t="n">
        <f aca="false">IF(B173="","",MAX(ABS($A173/$B$6-E173),ABS(($A173-1)/$B$6-E173)))</f>
        <v>0.0145800453099829</v>
      </c>
      <c r="J173" s="21" t="n">
        <f aca="false">IF(B173="","",MAX(ABS($A173/$B$6-F173),ABS(($A173-1)/$B$6-F173)))</f>
        <v>0.0035558033896442</v>
      </c>
      <c r="K173" s="21" t="n">
        <f aca="false">IF(B173="","",MAX(ABS($A173/$B$6-G173),ABS(($A173-1)/$B$6-G173)))</f>
        <v>0.0170146786015459</v>
      </c>
    </row>
    <row r="174" customFormat="false" ht="15" hidden="false" customHeight="false" outlineLevel="0" collapsed="false">
      <c r="A174" s="11" t="n">
        <v>138</v>
      </c>
      <c r="B174" s="9" t="n">
        <f aca="false">IF(A174&gt;$B$6,"",SMALL(BTC_Data!$C$3:$C$1002,A174))</f>
        <v>-0.00120506728904801</v>
      </c>
      <c r="C174" s="21" t="n">
        <f aca="false">IF(B174="","",A174/$B$6)</f>
        <v>0.138</v>
      </c>
      <c r="D174" s="21" t="n">
        <f aca="false">IF(B174="","",NORMDIST(B174,$B$15,$B$16,TRUE()))</f>
        <v>0.174316849001813</v>
      </c>
      <c r="E174" s="21" t="n">
        <f aca="false">IF(B174="","",IF(B174&gt;=$B$15,1-TDIST((B174-$B$15)/$B$18,$B$17,1),TDIST(($B$15-B174)/$B$18,$B$17,1)))</f>
        <v>0.152043784581466</v>
      </c>
      <c r="F174" s="21" t="n">
        <f aca="false">IF(B174="","",IF(B174&lt;$B$19,0.5*EXP((B174-$B$19)/$B$20),1-0.5*EXP(-(B174-$B$19)/$B$20)))</f>
        <v>0.134598495279272</v>
      </c>
      <c r="G174" s="21" t="n">
        <f aca="false">IF(B174="","",1/(1+EXP(-(B174-$B$15)/$B$21)))</f>
        <v>0.154469140710055</v>
      </c>
      <c r="H174" s="21" t="n">
        <f aca="false">IF(B174="","",MAX(ABS($A174/$B$6-D174),ABS(($A174-1)/$B$6-D174)))</f>
        <v>0.0373168490018125</v>
      </c>
      <c r="I174" s="21" t="n">
        <f aca="false">IF(B174="","",MAX(ABS($A174/$B$6-E174),ABS(($A174-1)/$B$6-E174)))</f>
        <v>0.0150437845814655</v>
      </c>
      <c r="J174" s="21" t="n">
        <f aca="false">IF(B174="","",MAX(ABS($A174/$B$6-F174),ABS(($A174-1)/$B$6-F174)))</f>
        <v>0.00340150472072781</v>
      </c>
      <c r="K174" s="21" t="n">
        <f aca="false">IF(B174="","",MAX(ABS($A174/$B$6-G174),ABS(($A174-1)/$B$6-G174)))</f>
        <v>0.0174691407100545</v>
      </c>
    </row>
    <row r="175" customFormat="false" ht="15" hidden="false" customHeight="false" outlineLevel="0" collapsed="false">
      <c r="A175" s="11" t="n">
        <v>139</v>
      </c>
      <c r="B175" s="9" t="n">
        <f aca="false">IF(A175&gt;$B$6,"",SMALL(BTC_Data!$C$3:$C$1002,A175))</f>
        <v>-0.0012047249135021</v>
      </c>
      <c r="C175" s="21" t="n">
        <f aca="false">IF(B175="","",A175/$B$6)</f>
        <v>0.139</v>
      </c>
      <c r="D175" s="21" t="n">
        <f aca="false">IF(B175="","",NORMDIST(B175,$B$15,$B$16,TRUE()))</f>
        <v>0.174386001433259</v>
      </c>
      <c r="E175" s="21" t="n">
        <f aca="false">IF(B175="","",IF(B175&gt;=$B$15,1-TDIST((B175-$B$15)/$B$18,$B$17,1),TDIST(($B$15-B175)/$B$18,$B$17,1)))</f>
        <v>0.152107907898467</v>
      </c>
      <c r="F175" s="21" t="n">
        <f aca="false">IF(B175="","",IF(B175&lt;$B$19,0.5*EXP((B175-$B$19)/$B$20),1-0.5*EXP(-(B175-$B$19)/$B$20)))</f>
        <v>0.134649082160217</v>
      </c>
      <c r="G175" s="21" t="n">
        <f aca="false">IF(B175="","",1/(1+EXP(-(B175-$B$15)/$B$21)))</f>
        <v>0.154532853062325</v>
      </c>
      <c r="H175" s="21" t="n">
        <f aca="false">IF(B175="","",MAX(ABS($A175/$B$6-D175),ABS(($A175-1)/$B$6-D175)))</f>
        <v>0.0363860014332589</v>
      </c>
      <c r="I175" s="21" t="n">
        <f aca="false">IF(B175="","",MAX(ABS($A175/$B$6-E175),ABS(($A175-1)/$B$6-E175)))</f>
        <v>0.0141079078984672</v>
      </c>
      <c r="J175" s="21" t="n">
        <f aca="false">IF(B175="","",MAX(ABS($A175/$B$6-F175),ABS(($A175-1)/$B$6-F175)))</f>
        <v>0.0043509178397827</v>
      </c>
      <c r="K175" s="21" t="n">
        <f aca="false">IF(B175="","",MAX(ABS($A175/$B$6-G175),ABS(($A175-1)/$B$6-G175)))</f>
        <v>0.0165328530623246</v>
      </c>
    </row>
    <row r="176" customFormat="false" ht="15" hidden="false" customHeight="false" outlineLevel="0" collapsed="false">
      <c r="A176" s="11" t="n">
        <v>140</v>
      </c>
      <c r="B176" s="9" t="n">
        <f aca="false">IF(A176&gt;$B$6,"",SMALL(BTC_Data!$C$3:$C$1002,A176))</f>
        <v>-0.00120029972228275</v>
      </c>
      <c r="C176" s="21" t="n">
        <f aca="false">IF(B176="","",A176/$B$6)</f>
        <v>0.14</v>
      </c>
      <c r="D176" s="21" t="n">
        <f aca="false">IF(B176="","",NORMDIST(B176,$B$15,$B$16,TRUE()))</f>
        <v>0.175281361918069</v>
      </c>
      <c r="E176" s="21" t="n">
        <f aca="false">IF(B176="","",IF(B176&gt;=$B$15,1-TDIST((B176-$B$15)/$B$18,$B$17,1),TDIST(($B$15-B176)/$B$18,$B$17,1)))</f>
        <v>0.152938679599919</v>
      </c>
      <c r="F176" s="21" t="n">
        <f aca="false">IF(B176="","",IF(B176&lt;$B$19,0.5*EXP((B176-$B$19)/$B$20),1-0.5*EXP(-(B176-$B$19)/$B$20)))</f>
        <v>0.135304629193951</v>
      </c>
      <c r="G176" s="21" t="n">
        <f aca="false">IF(B176="","",1/(1+EXP(-(B176-$B$15)/$B$21)))</f>
        <v>0.155358266458947</v>
      </c>
      <c r="H176" s="21" t="n">
        <f aca="false">IF(B176="","",MAX(ABS($A176/$B$6-D176),ABS(($A176-1)/$B$6-D176)))</f>
        <v>0.0362813619180686</v>
      </c>
      <c r="I176" s="21" t="n">
        <f aca="false">IF(B176="","",MAX(ABS($A176/$B$6-E176),ABS(($A176-1)/$B$6-E176)))</f>
        <v>0.0139386795999193</v>
      </c>
      <c r="J176" s="21" t="n">
        <f aca="false">IF(B176="","",MAX(ABS($A176/$B$6-F176),ABS(($A176-1)/$B$6-F176)))</f>
        <v>0.00469537080604915</v>
      </c>
      <c r="K176" s="21" t="n">
        <f aca="false">IF(B176="","",MAX(ABS($A176/$B$6-G176),ABS(($A176-1)/$B$6-G176)))</f>
        <v>0.0163582664589472</v>
      </c>
    </row>
    <row r="177" customFormat="false" ht="15" hidden="false" customHeight="false" outlineLevel="0" collapsed="false">
      <c r="A177" s="11" t="n">
        <v>141</v>
      </c>
      <c r="B177" s="9" t="n">
        <f aca="false">IF(A177&gt;$B$6,"",SMALL(BTC_Data!$C$3:$C$1002,A177))</f>
        <v>-0.00119984282793628</v>
      </c>
      <c r="C177" s="21" t="n">
        <f aca="false">IF(B177="","",A177/$B$6)</f>
        <v>0.141</v>
      </c>
      <c r="D177" s="21" t="n">
        <f aca="false">IF(B177="","",NORMDIST(B177,$B$15,$B$16,TRUE()))</f>
        <v>0.175373972282106</v>
      </c>
      <c r="E177" s="21" t="n">
        <f aca="false">IF(B177="","",IF(B177&gt;=$B$15,1-TDIST((B177-$B$15)/$B$18,$B$17,1),TDIST(($B$15-B177)/$B$18,$B$17,1)))</f>
        <v>0.153024665044708</v>
      </c>
      <c r="F177" s="21" t="n">
        <f aca="false">IF(B177="","",IF(B177&lt;$B$19,0.5*EXP((B177-$B$19)/$B$20),1-0.5*EXP(-(B177-$B$19)/$B$20)))</f>
        <v>0.135372494950434</v>
      </c>
      <c r="G177" s="21" t="n">
        <f aca="false">IF(B177="","",1/(1+EXP(-(B177-$B$15)/$B$21)))</f>
        <v>0.15544369374763</v>
      </c>
      <c r="H177" s="21" t="n">
        <f aca="false">IF(B177="","",MAX(ABS($A177/$B$6-D177),ABS(($A177-1)/$B$6-D177)))</f>
        <v>0.035373972282106</v>
      </c>
      <c r="I177" s="21" t="n">
        <f aca="false">IF(B177="","",MAX(ABS($A177/$B$6-E177),ABS(($A177-1)/$B$6-E177)))</f>
        <v>0.0130246650447084</v>
      </c>
      <c r="J177" s="21" t="n">
        <f aca="false">IF(B177="","",MAX(ABS($A177/$B$6-F177),ABS(($A177-1)/$B$6-F177)))</f>
        <v>0.00562750504956627</v>
      </c>
      <c r="K177" s="21" t="n">
        <f aca="false">IF(B177="","",MAX(ABS($A177/$B$6-G177),ABS(($A177-1)/$B$6-G177)))</f>
        <v>0.0154436937476304</v>
      </c>
    </row>
    <row r="178" customFormat="false" ht="15" hidden="false" customHeight="false" outlineLevel="0" collapsed="false">
      <c r="A178" s="11" t="n">
        <v>142</v>
      </c>
      <c r="B178" s="9" t="n">
        <f aca="false">IF(A178&gt;$B$6,"",SMALL(BTC_Data!$C$3:$C$1002,A178))</f>
        <v>-0.00119792681362529</v>
      </c>
      <c r="C178" s="21" t="n">
        <f aca="false">IF(B178="","",A178/$B$6)</f>
        <v>0.142</v>
      </c>
      <c r="D178" s="21" t="n">
        <f aca="false">IF(B178="","",NORMDIST(B178,$B$15,$B$16,TRUE()))</f>
        <v>0.175762677228375</v>
      </c>
      <c r="E178" s="21" t="n">
        <f aca="false">IF(B178="","",IF(B178&gt;=$B$15,1-TDIST((B178-$B$15)/$B$18,$B$17,1),TDIST(($B$15-B178)/$B$18,$B$17,1)))</f>
        <v>0.153385677691199</v>
      </c>
      <c r="F178" s="21" t="n">
        <f aca="false">IF(B178="","",IF(B178&lt;$B$19,0.5*EXP((B178-$B$19)/$B$20),1-0.5*EXP(-(B178-$B$19)/$B$20)))</f>
        <v>0.135657465024459</v>
      </c>
      <c r="G178" s="21" t="n">
        <f aca="false">IF(B178="","",1/(1+EXP(-(B178-$B$15)/$B$21)))</f>
        <v>0.155802355727015</v>
      </c>
      <c r="H178" s="21" t="n">
        <f aca="false">IF(B178="","",MAX(ABS($A178/$B$6-D178),ABS(($A178-1)/$B$6-D178)))</f>
        <v>0.0347626772283753</v>
      </c>
      <c r="I178" s="21" t="n">
        <f aca="false">IF(B178="","",MAX(ABS($A178/$B$6-E178),ABS(($A178-1)/$B$6-E178)))</f>
        <v>0.0123856776911991</v>
      </c>
      <c r="J178" s="21" t="n">
        <f aca="false">IF(B178="","",MAX(ABS($A178/$B$6-F178),ABS(($A178-1)/$B$6-F178)))</f>
        <v>0.00634253497554127</v>
      </c>
      <c r="K178" s="21" t="n">
        <f aca="false">IF(B178="","",MAX(ABS($A178/$B$6-G178),ABS(($A178-1)/$B$6-G178)))</f>
        <v>0.0148023557270155</v>
      </c>
    </row>
    <row r="179" customFormat="false" ht="15" hidden="false" customHeight="false" outlineLevel="0" collapsed="false">
      <c r="A179" s="11" t="n">
        <v>143</v>
      </c>
      <c r="B179" s="9" t="n">
        <f aca="false">IF(A179&gt;$B$6,"",SMALL(BTC_Data!$C$3:$C$1002,A179))</f>
        <v>-0.00118445410422841</v>
      </c>
      <c r="C179" s="21" t="n">
        <f aca="false">IF(B179="","",A179/$B$6)</f>
        <v>0.143</v>
      </c>
      <c r="D179" s="21" t="n">
        <f aca="false">IF(B179="","",NORMDIST(B179,$B$15,$B$16,TRUE()))</f>
        <v>0.178511299651384</v>
      </c>
      <c r="E179" s="21" t="n">
        <f aca="false">IF(B179="","",IF(B179&gt;=$B$15,1-TDIST((B179-$B$15)/$B$18,$B$17,1),TDIST(($B$15-B179)/$B$18,$B$17,1)))</f>
        <v>0.155943719215633</v>
      </c>
      <c r="F179" s="21" t="n">
        <f aca="false">IF(B179="","",IF(B179&lt;$B$19,0.5*EXP((B179-$B$19)/$B$20),1-0.5*EXP(-(B179-$B$19)/$B$20)))</f>
        <v>0.137678281279878</v>
      </c>
      <c r="G179" s="21" t="n">
        <f aca="false">IF(B179="","",1/(1+EXP(-(B179-$B$15)/$B$21)))</f>
        <v>0.158343414280195</v>
      </c>
      <c r="H179" s="21" t="n">
        <f aca="false">IF(B179="","",MAX(ABS($A179/$B$6-D179),ABS(($A179-1)/$B$6-D179)))</f>
        <v>0.0365112996513839</v>
      </c>
      <c r="I179" s="21" t="n">
        <f aca="false">IF(B179="","",MAX(ABS($A179/$B$6-E179),ABS(($A179-1)/$B$6-E179)))</f>
        <v>0.013943719215633</v>
      </c>
      <c r="J179" s="21" t="n">
        <f aca="false">IF(B179="","",MAX(ABS($A179/$B$6-F179),ABS(($A179-1)/$B$6-F179)))</f>
        <v>0.00532171872012247</v>
      </c>
      <c r="K179" s="21" t="n">
        <f aca="false">IF(B179="","",MAX(ABS($A179/$B$6-G179),ABS(($A179-1)/$B$6-G179)))</f>
        <v>0.0163434142801954</v>
      </c>
    </row>
    <row r="180" customFormat="false" ht="15" hidden="false" customHeight="false" outlineLevel="0" collapsed="false">
      <c r="A180" s="11" t="n">
        <v>144</v>
      </c>
      <c r="B180" s="9" t="n">
        <f aca="false">IF(A180&gt;$B$6,"",SMALL(BTC_Data!$C$3:$C$1002,A180))</f>
        <v>-0.00118263026974008</v>
      </c>
      <c r="C180" s="21" t="n">
        <f aca="false">IF(B180="","",A180/$B$6)</f>
        <v>0.144</v>
      </c>
      <c r="D180" s="21" t="n">
        <f aca="false">IF(B180="","",NORMDIST(B180,$B$15,$B$16,TRUE()))</f>
        <v>0.178885457299244</v>
      </c>
      <c r="E180" s="21" t="n">
        <f aca="false">IF(B180="","",IF(B180&gt;=$B$15,1-TDIST((B180-$B$15)/$B$18,$B$17,1),TDIST(($B$15-B180)/$B$18,$B$17,1)))</f>
        <v>0.156292642073022</v>
      </c>
      <c r="F180" s="21" t="n">
        <f aca="false">IF(B180="","",IF(B180&lt;$B$19,0.5*EXP((B180-$B$19)/$B$20),1-0.5*EXP(-(B180-$B$19)/$B$20)))</f>
        <v>0.137954147774856</v>
      </c>
      <c r="G180" s="21" t="n">
        <f aca="false">IF(B180="","",1/(1+EXP(-(B180-$B$15)/$B$21)))</f>
        <v>0.158689977375107</v>
      </c>
      <c r="H180" s="21" t="n">
        <f aca="false">IF(B180="","",MAX(ABS($A180/$B$6-D180),ABS(($A180-1)/$B$6-D180)))</f>
        <v>0.0358854572992442</v>
      </c>
      <c r="I180" s="21" t="n">
        <f aca="false">IF(B180="","",MAX(ABS($A180/$B$6-E180),ABS(($A180-1)/$B$6-E180)))</f>
        <v>0.0132926420730223</v>
      </c>
      <c r="J180" s="21" t="n">
        <f aca="false">IF(B180="","",MAX(ABS($A180/$B$6-F180),ABS(($A180-1)/$B$6-F180)))</f>
        <v>0.0060458522251437</v>
      </c>
      <c r="K180" s="21" t="n">
        <f aca="false">IF(B180="","",MAX(ABS($A180/$B$6-G180),ABS(($A180-1)/$B$6-G180)))</f>
        <v>0.0156899773751071</v>
      </c>
    </row>
    <row r="181" customFormat="false" ht="15" hidden="false" customHeight="false" outlineLevel="0" collapsed="false">
      <c r="A181" s="11" t="n">
        <v>145</v>
      </c>
      <c r="B181" s="9" t="n">
        <f aca="false">IF(A181&gt;$B$6,"",SMALL(BTC_Data!$C$3:$C$1002,A181))</f>
        <v>-0.0011813941949439</v>
      </c>
      <c r="C181" s="21" t="n">
        <f aca="false">IF(B181="","",A181/$B$6)</f>
        <v>0.145</v>
      </c>
      <c r="D181" s="21" t="n">
        <f aca="false">IF(B181="","",NORMDIST(B181,$B$15,$B$16,TRUE()))</f>
        <v>0.179139317095029</v>
      </c>
      <c r="E181" s="21" t="n">
        <f aca="false">IF(B181="","",IF(B181&gt;=$B$15,1-TDIST((B181-$B$15)/$B$18,$B$17,1),TDIST(($B$15-B181)/$B$18,$B$17,1)))</f>
        <v>0.156529476897621</v>
      </c>
      <c r="F181" s="21" t="n">
        <f aca="false">IF(B181="","",IF(B181&lt;$B$19,0.5*EXP((B181-$B$19)/$B$20),1-0.5*EXP(-(B181-$B$19)/$B$20)))</f>
        <v>0.138141426090505</v>
      </c>
      <c r="G181" s="21" t="n">
        <f aca="false">IF(B181="","",1/(1+EXP(-(B181-$B$15)/$B$21)))</f>
        <v>0.158925204720815</v>
      </c>
      <c r="H181" s="21" t="n">
        <f aca="false">IF(B181="","",MAX(ABS($A181/$B$6-D181),ABS(($A181-1)/$B$6-D181)))</f>
        <v>0.0351393170950289</v>
      </c>
      <c r="I181" s="21" t="n">
        <f aca="false">IF(B181="","",MAX(ABS($A181/$B$6-E181),ABS(($A181-1)/$B$6-E181)))</f>
        <v>0.0125294768976206</v>
      </c>
      <c r="J181" s="21" t="n">
        <f aca="false">IF(B181="","",MAX(ABS($A181/$B$6-F181),ABS(($A181-1)/$B$6-F181)))</f>
        <v>0.00685857390949524</v>
      </c>
      <c r="K181" s="21" t="n">
        <f aca="false">IF(B181="","",MAX(ABS($A181/$B$6-G181),ABS(($A181-1)/$B$6-G181)))</f>
        <v>0.0149252047208147</v>
      </c>
    </row>
    <row r="182" customFormat="false" ht="15" hidden="false" customHeight="false" outlineLevel="0" collapsed="false">
      <c r="A182" s="11" t="n">
        <v>146</v>
      </c>
      <c r="B182" s="9" t="n">
        <f aca="false">IF(A182&gt;$B$6,"",SMALL(BTC_Data!$C$3:$C$1002,A182))</f>
        <v>-0.00116633929056187</v>
      </c>
      <c r="C182" s="21" t="n">
        <f aca="false">IF(B182="","",A182/$B$6)</f>
        <v>0.146</v>
      </c>
      <c r="D182" s="21" t="n">
        <f aca="false">IF(B182="","",NORMDIST(B182,$B$15,$B$16,TRUE()))</f>
        <v>0.182249397096853</v>
      </c>
      <c r="E182" s="21" t="n">
        <f aca="false">IF(B182="","",IF(B182&gt;=$B$15,1-TDIST((B182-$B$15)/$B$18,$B$17,1),TDIST(($B$15-B182)/$B$18,$B$17,1)))</f>
        <v>0.159437293072621</v>
      </c>
      <c r="F182" s="21" t="n">
        <f aca="false">IF(B182="","",IF(B182&lt;$B$19,0.5*EXP((B182-$B$19)/$B$20),1-0.5*EXP(-(B182-$B$19)/$B$20)))</f>
        <v>0.140442911269651</v>
      </c>
      <c r="G182" s="21" t="n">
        <f aca="false">IF(B182="","",1/(1+EXP(-(B182-$B$15)/$B$21)))</f>
        <v>0.161812914995055</v>
      </c>
      <c r="H182" s="21" t="n">
        <f aca="false">IF(B182="","",MAX(ABS($A182/$B$6-D182),ABS(($A182-1)/$B$6-D182)))</f>
        <v>0.0372493970968534</v>
      </c>
      <c r="I182" s="21" t="n">
        <f aca="false">IF(B182="","",MAX(ABS($A182/$B$6-E182),ABS(($A182-1)/$B$6-E182)))</f>
        <v>0.014437293072621</v>
      </c>
      <c r="J182" s="21" t="n">
        <f aca="false">IF(B182="","",MAX(ABS($A182/$B$6-F182),ABS(($A182-1)/$B$6-F182)))</f>
        <v>0.00555708873034916</v>
      </c>
      <c r="K182" s="21" t="n">
        <f aca="false">IF(B182="","",MAX(ABS($A182/$B$6-G182),ABS(($A182-1)/$B$6-G182)))</f>
        <v>0.0168129149950554</v>
      </c>
    </row>
    <row r="183" customFormat="false" ht="15" hidden="false" customHeight="false" outlineLevel="0" collapsed="false">
      <c r="A183" s="11" t="n">
        <v>147</v>
      </c>
      <c r="B183" s="9" t="n">
        <f aca="false">IF(A183&gt;$B$6,"",SMALL(BTC_Data!$C$3:$C$1002,A183))</f>
        <v>-0.0011624910855329</v>
      </c>
      <c r="C183" s="21" t="n">
        <f aca="false">IF(B183="","",A183/$B$6)</f>
        <v>0.147</v>
      </c>
      <c r="D183" s="21" t="n">
        <f aca="false">IF(B183="","",NORMDIST(B183,$B$15,$B$16,TRUE()))</f>
        <v>0.183049752202001</v>
      </c>
      <c r="E183" s="21" t="n">
        <f aca="false">IF(B183="","",IF(B183&gt;=$B$15,1-TDIST((B183-$B$15)/$B$18,$B$17,1),TDIST(($B$15-B183)/$B$18,$B$17,1)))</f>
        <v>0.160187480257217</v>
      </c>
      <c r="F183" s="21" t="n">
        <f aca="false">IF(B183="","",IF(B183&lt;$B$19,0.5*EXP((B183-$B$19)/$B$20),1-0.5*EXP(-(B183-$B$19)/$B$20)))</f>
        <v>0.141037324996201</v>
      </c>
      <c r="G183" s="21" t="n">
        <f aca="false">IF(B183="","",1/(1+EXP(-(B183-$B$15)/$B$21)))</f>
        <v>0.162557807623993</v>
      </c>
      <c r="H183" s="21" t="n">
        <f aca="false">IF(B183="","",MAX(ABS($A183/$B$6-D183),ABS(($A183-1)/$B$6-D183)))</f>
        <v>0.0370497522020015</v>
      </c>
      <c r="I183" s="21" t="n">
        <f aca="false">IF(B183="","",MAX(ABS($A183/$B$6-E183),ABS(($A183-1)/$B$6-E183)))</f>
        <v>0.0141874802572169</v>
      </c>
      <c r="J183" s="21" t="n">
        <f aca="false">IF(B183="","",MAX(ABS($A183/$B$6-F183),ABS(($A183-1)/$B$6-F183)))</f>
        <v>0.00596267500379927</v>
      </c>
      <c r="K183" s="21" t="n">
        <f aca="false">IF(B183="","",MAX(ABS($A183/$B$6-G183),ABS(($A183-1)/$B$6-G183)))</f>
        <v>0.0165578076239928</v>
      </c>
    </row>
    <row r="184" customFormat="false" ht="15" hidden="false" customHeight="false" outlineLevel="0" collapsed="false">
      <c r="A184" s="11" t="n">
        <v>148</v>
      </c>
      <c r="B184" s="9" t="n">
        <f aca="false">IF(A184&gt;$B$6,"",SMALL(BTC_Data!$C$3:$C$1002,A184))</f>
        <v>-0.00115997326675521</v>
      </c>
      <c r="C184" s="21" t="n">
        <f aca="false">IF(B184="","",A184/$B$6)</f>
        <v>0.148</v>
      </c>
      <c r="D184" s="21" t="n">
        <f aca="false">IF(B184="","",NORMDIST(B184,$B$15,$B$16,TRUE()))</f>
        <v>0.183574596574379</v>
      </c>
      <c r="E184" s="21" t="n">
        <f aca="false">IF(B184="","",IF(B184&gt;=$B$15,1-TDIST((B184-$B$15)/$B$18,$B$17,1),TDIST(($B$15-B184)/$B$18,$B$17,1)))</f>
        <v>0.160679843554124</v>
      </c>
      <c r="F184" s="21" t="n">
        <f aca="false">IF(B184="","",IF(B184&lt;$B$19,0.5*EXP((B184-$B$19)/$B$20),1-0.5*EXP(-(B184-$B$19)/$B$20)))</f>
        <v>0.141427601213045</v>
      </c>
      <c r="G184" s="21" t="n">
        <f aca="false">IF(B184="","",1/(1+EXP(-(B184-$B$15)/$B$21)))</f>
        <v>0.16304667285263</v>
      </c>
      <c r="H184" s="21" t="n">
        <f aca="false">IF(B184="","",MAX(ABS($A184/$B$6-D184),ABS(($A184-1)/$B$6-D184)))</f>
        <v>0.0365745965743786</v>
      </c>
      <c r="I184" s="21" t="n">
        <f aca="false">IF(B184="","",MAX(ABS($A184/$B$6-E184),ABS(($A184-1)/$B$6-E184)))</f>
        <v>0.0136798435541237</v>
      </c>
      <c r="J184" s="21" t="n">
        <f aca="false">IF(B184="","",MAX(ABS($A184/$B$6-F184),ABS(($A184-1)/$B$6-F184)))</f>
        <v>0.00657239878695459</v>
      </c>
      <c r="K184" s="21" t="n">
        <f aca="false">IF(B184="","",MAX(ABS($A184/$B$6-G184),ABS(($A184-1)/$B$6-G184)))</f>
        <v>0.0160466728526304</v>
      </c>
    </row>
    <row r="185" customFormat="false" ht="15" hidden="false" customHeight="false" outlineLevel="0" collapsed="false">
      <c r="A185" s="11" t="n">
        <v>149</v>
      </c>
      <c r="B185" s="9" t="n">
        <f aca="false">IF(A185&gt;$B$6,"",SMALL(BTC_Data!$C$3:$C$1002,A185))</f>
        <v>-0.00115727328674098</v>
      </c>
      <c r="C185" s="21" t="n">
        <f aca="false">IF(B185="","",A185/$B$6)</f>
        <v>0.149</v>
      </c>
      <c r="D185" s="21" t="n">
        <f aca="false">IF(B185="","",NORMDIST(B185,$B$15,$B$16,TRUE()))</f>
        <v>0.184138453740752</v>
      </c>
      <c r="E185" s="21" t="n">
        <f aca="false">IF(B185="","",IF(B185&gt;=$B$15,1-TDIST((B185-$B$15)/$B$18,$B$17,1),TDIST(($B$15-B185)/$B$18,$B$17,1)))</f>
        <v>0.161209173067197</v>
      </c>
      <c r="F185" s="21" t="n">
        <f aca="false">IF(B185="","",IF(B185&lt;$B$19,0.5*EXP((B185-$B$19)/$B$20),1-0.5*EXP(-(B185-$B$19)/$B$20)))</f>
        <v>0.141847313530576</v>
      </c>
      <c r="G185" s="21" t="n">
        <f aca="false">IF(B185="","",1/(1+EXP(-(B185-$B$15)/$B$21)))</f>
        <v>0.163572221507401</v>
      </c>
      <c r="H185" s="21" t="n">
        <f aca="false">IF(B185="","",MAX(ABS($A185/$B$6-D185),ABS(($A185-1)/$B$6-D185)))</f>
        <v>0.0361384537407517</v>
      </c>
      <c r="I185" s="21" t="n">
        <f aca="false">IF(B185="","",MAX(ABS($A185/$B$6-E185),ABS(($A185-1)/$B$6-E185)))</f>
        <v>0.0132091730671966</v>
      </c>
      <c r="J185" s="21" t="n">
        <f aca="false">IF(B185="","",MAX(ABS($A185/$B$6-F185),ABS(($A185-1)/$B$6-F185)))</f>
        <v>0.00715268646942399</v>
      </c>
      <c r="K185" s="21" t="n">
        <f aca="false">IF(B185="","",MAX(ABS($A185/$B$6-G185),ABS(($A185-1)/$B$6-G185)))</f>
        <v>0.0155722215074006</v>
      </c>
    </row>
    <row r="186" customFormat="false" ht="15" hidden="false" customHeight="false" outlineLevel="0" collapsed="false">
      <c r="A186" s="11" t="n">
        <v>150</v>
      </c>
      <c r="B186" s="9" t="n">
        <f aca="false">IF(A186&gt;$B$6,"",SMALL(BTC_Data!$C$3:$C$1002,A186))</f>
        <v>-0.00114726158973333</v>
      </c>
      <c r="C186" s="21" t="n">
        <f aca="false">IF(B186="","",A186/$B$6)</f>
        <v>0.15</v>
      </c>
      <c r="D186" s="21" t="n">
        <f aca="false">IF(B186="","",NORMDIST(B186,$B$15,$B$16,TRUE()))</f>
        <v>0.186238667164195</v>
      </c>
      <c r="E186" s="21" t="n">
        <f aca="false">IF(B186="","",IF(B186&gt;=$B$15,1-TDIST((B186-$B$15)/$B$18,$B$17,1),TDIST(($B$15-B186)/$B$18,$B$17,1)))</f>
        <v>0.163184125590652</v>
      </c>
      <c r="F186" s="21" t="n">
        <f aca="false">IF(B186="","",IF(B186&lt;$B$19,0.5*EXP((B186-$B$19)/$B$20),1-0.5*EXP(-(B186-$B$19)/$B$20)))</f>
        <v>0.143414535049193</v>
      </c>
      <c r="G186" s="21" t="n">
        <f aca="false">IF(B186="","",1/(1+EXP(-(B186-$B$15)/$B$21)))</f>
        <v>0.165532887687976</v>
      </c>
      <c r="H186" s="21" t="n">
        <f aca="false">IF(B186="","",MAX(ABS($A186/$B$6-D186),ABS(($A186-1)/$B$6-D186)))</f>
        <v>0.0372386671641947</v>
      </c>
      <c r="I186" s="21" t="n">
        <f aca="false">IF(B186="","",MAX(ABS($A186/$B$6-E186),ABS(($A186-1)/$B$6-E186)))</f>
        <v>0.0141841255906517</v>
      </c>
      <c r="J186" s="21" t="n">
        <f aca="false">IF(B186="","",MAX(ABS($A186/$B$6-F186),ABS(($A186-1)/$B$6-F186)))</f>
        <v>0.00658546495080711</v>
      </c>
      <c r="K186" s="21" t="n">
        <f aca="false">IF(B186="","",MAX(ABS($A186/$B$6-G186),ABS(($A186-1)/$B$6-G186)))</f>
        <v>0.0165328876879757</v>
      </c>
    </row>
    <row r="187" customFormat="false" ht="15" hidden="false" customHeight="false" outlineLevel="0" collapsed="false">
      <c r="A187" s="11" t="n">
        <v>151</v>
      </c>
      <c r="B187" s="9" t="n">
        <f aca="false">IF(A187&gt;$B$6,"",SMALL(BTC_Data!$C$3:$C$1002,A187))</f>
        <v>-0.00114715880047012</v>
      </c>
      <c r="C187" s="21" t="n">
        <f aca="false">IF(B187="","",A187/$B$6)</f>
        <v>0.151</v>
      </c>
      <c r="D187" s="21" t="n">
        <f aca="false">IF(B187="","",NORMDIST(B187,$B$15,$B$16,TRUE()))</f>
        <v>0.186260306577298</v>
      </c>
      <c r="E187" s="21" t="n">
        <f aca="false">IF(B187="","",IF(B187&gt;=$B$15,1-TDIST((B187-$B$15)/$B$18,$B$17,1),TDIST(($B$15-B187)/$B$18,$B$17,1)))</f>
        <v>0.163204501787332</v>
      </c>
      <c r="F187" s="21" t="n">
        <f aca="false">IF(B187="","",IF(B187&lt;$B$19,0.5*EXP((B187-$B$19)/$B$20),1-0.5*EXP(-(B187-$B$19)/$B$20)))</f>
        <v>0.143430715059022</v>
      </c>
      <c r="G187" s="21" t="n">
        <f aca="false">IF(B187="","",1/(1+EXP(-(B187-$B$15)/$B$21)))</f>
        <v>0.16555311504128</v>
      </c>
      <c r="H187" s="21" t="n">
        <f aca="false">IF(B187="","",MAX(ABS($A187/$B$6-D187),ABS(($A187-1)/$B$6-D187)))</f>
        <v>0.0362603065772983</v>
      </c>
      <c r="I187" s="21" t="n">
        <f aca="false">IF(B187="","",MAX(ABS($A187/$B$6-E187),ABS(($A187-1)/$B$6-E187)))</f>
        <v>0.0132045017873315</v>
      </c>
      <c r="J187" s="21" t="n">
        <f aca="false">IF(B187="","",MAX(ABS($A187/$B$6-F187),ABS(($A187-1)/$B$6-F187)))</f>
        <v>0.00756928494097811</v>
      </c>
      <c r="K187" s="21" t="n">
        <f aca="false">IF(B187="","",MAX(ABS($A187/$B$6-G187),ABS(($A187-1)/$B$6-G187)))</f>
        <v>0.01555311504128</v>
      </c>
    </row>
    <row r="188" customFormat="false" ht="15" hidden="false" customHeight="false" outlineLevel="0" collapsed="false">
      <c r="A188" s="11" t="n">
        <v>152</v>
      </c>
      <c r="B188" s="9" t="n">
        <f aca="false">IF(A188&gt;$B$6,"",SMALL(BTC_Data!$C$3:$C$1002,A188))</f>
        <v>-0.0011469733458167</v>
      </c>
      <c r="C188" s="21" t="n">
        <f aca="false">IF(B188="","",A188/$B$6)</f>
        <v>0.152</v>
      </c>
      <c r="D188" s="21" t="n">
        <f aca="false">IF(B188="","",NORMDIST(B188,$B$15,$B$16,TRUE()))</f>
        <v>0.186299352824274</v>
      </c>
      <c r="E188" s="21" t="n">
        <f aca="false">IF(B188="","",IF(B188&gt;=$B$15,1-TDIST((B188-$B$15)/$B$18,$B$17,1),TDIST(($B$15-B188)/$B$18,$B$17,1)))</f>
        <v>0.163241270093314</v>
      </c>
      <c r="F188" s="21" t="n">
        <f aca="false">IF(B188="","",IF(B188&lt;$B$19,0.5*EXP((B188-$B$19)/$B$20),1-0.5*EXP(-(B188-$B$19)/$B$20)))</f>
        <v>0.143459912007202</v>
      </c>
      <c r="G188" s="21" t="n">
        <f aca="false">IF(B188="","",1/(1+EXP(-(B188-$B$15)/$B$21)))</f>
        <v>0.165589614689861</v>
      </c>
      <c r="H188" s="21" t="n">
        <f aca="false">IF(B188="","",MAX(ABS($A188/$B$6-D188),ABS(($A188-1)/$B$6-D188)))</f>
        <v>0.0352993528242743</v>
      </c>
      <c r="I188" s="21" t="n">
        <f aca="false">IF(B188="","",MAX(ABS($A188/$B$6-E188),ABS(($A188-1)/$B$6-E188)))</f>
        <v>0.0122412700933142</v>
      </c>
      <c r="J188" s="21" t="n">
        <f aca="false">IF(B188="","",MAX(ABS($A188/$B$6-F188),ABS(($A188-1)/$B$6-F188)))</f>
        <v>0.0085400879927981</v>
      </c>
      <c r="K188" s="21" t="n">
        <f aca="false">IF(B188="","",MAX(ABS($A188/$B$6-G188),ABS(($A188-1)/$B$6-G188)))</f>
        <v>0.0145896146898607</v>
      </c>
    </row>
    <row r="189" customFormat="false" ht="15" hidden="false" customHeight="false" outlineLevel="0" collapsed="false">
      <c r="A189" s="11" t="n">
        <v>153</v>
      </c>
      <c r="B189" s="9" t="n">
        <f aca="false">IF(A189&gt;$B$6,"",SMALL(BTC_Data!$C$3:$C$1002,A189))</f>
        <v>-0.00114406835322733</v>
      </c>
      <c r="C189" s="21" t="n">
        <f aca="false">IF(B189="","",A189/$B$6)</f>
        <v>0.153</v>
      </c>
      <c r="D189" s="21" t="n">
        <f aca="false">IF(B189="","",NORMDIST(B189,$B$15,$B$16,TRUE()))</f>
        <v>0.186911641501321</v>
      </c>
      <c r="E189" s="21" t="n">
        <f aca="false">IF(B189="","",IF(B189&gt;=$B$15,1-TDIST((B189-$B$15)/$B$18,$B$17,1),TDIST(($B$15-B189)/$B$18,$B$17,1)))</f>
        <v>0.163818075646702</v>
      </c>
      <c r="F189" s="21" t="n">
        <f aca="false">IF(B189="","",IF(B189&lt;$B$19,0.5*EXP((B189-$B$19)/$B$20),1-0.5*EXP(-(B189-$B$19)/$B$20)))</f>
        <v>0.143918034340077</v>
      </c>
      <c r="G189" s="21" t="n">
        <f aca="false">IF(B189="","",1/(1+EXP(-(B189-$B$15)/$B$21)))</f>
        <v>0.166162193349431</v>
      </c>
      <c r="H189" s="21" t="n">
        <f aca="false">IF(B189="","",MAX(ABS($A189/$B$6-D189),ABS(($A189-1)/$B$6-D189)))</f>
        <v>0.0349116415013207</v>
      </c>
      <c r="I189" s="21" t="n">
        <f aca="false">IF(B189="","",MAX(ABS($A189/$B$6-E189),ABS(($A189-1)/$B$6-E189)))</f>
        <v>0.0118180756467023</v>
      </c>
      <c r="J189" s="21" t="n">
        <f aca="false">IF(B189="","",MAX(ABS($A189/$B$6-F189),ABS(($A189-1)/$B$6-F189)))</f>
        <v>0.00908196565992264</v>
      </c>
      <c r="K189" s="21" t="n">
        <f aca="false">IF(B189="","",MAX(ABS($A189/$B$6-G189),ABS(($A189-1)/$B$6-G189)))</f>
        <v>0.014162193349431</v>
      </c>
    </row>
    <row r="190" customFormat="false" ht="15" hidden="false" customHeight="false" outlineLevel="0" collapsed="false">
      <c r="A190" s="11" t="n">
        <v>154</v>
      </c>
      <c r="B190" s="9" t="n">
        <f aca="false">IF(A190&gt;$B$6,"",SMALL(BTC_Data!$C$3:$C$1002,A190))</f>
        <v>-0.00114348952674681</v>
      </c>
      <c r="C190" s="21" t="n">
        <f aca="false">IF(B190="","",A190/$B$6)</f>
        <v>0.154</v>
      </c>
      <c r="D190" s="21" t="n">
        <f aca="false">IF(B190="","",NORMDIST(B190,$B$15,$B$16,TRUE()))</f>
        <v>0.187033790041267</v>
      </c>
      <c r="E190" s="21" t="n">
        <f aca="false">IF(B190="","",IF(B190&gt;=$B$15,1-TDIST((B190-$B$15)/$B$18,$B$17,1),TDIST(($B$15-B190)/$B$18,$B$17,1)))</f>
        <v>0.163933198883555</v>
      </c>
      <c r="F190" s="21" t="n">
        <f aca="false">IF(B190="","",IF(B190&lt;$B$19,0.5*EXP((B190-$B$19)/$B$20),1-0.5*EXP(-(B190-$B$19)/$B$20)))</f>
        <v>0.144009490913737</v>
      </c>
      <c r="G190" s="21" t="n">
        <f aca="false">IF(B190="","",1/(1+EXP(-(B190-$B$15)/$B$21)))</f>
        <v>0.166276470197061</v>
      </c>
      <c r="H190" s="21" t="n">
        <f aca="false">IF(B190="","",MAX(ABS($A190/$B$6-D190),ABS(($A190-1)/$B$6-D190)))</f>
        <v>0.0340337900412666</v>
      </c>
      <c r="I190" s="21" t="n">
        <f aca="false">IF(B190="","",MAX(ABS($A190/$B$6-E190),ABS(($A190-1)/$B$6-E190)))</f>
        <v>0.0109331988835551</v>
      </c>
      <c r="J190" s="21" t="n">
        <f aca="false">IF(B190="","",MAX(ABS($A190/$B$6-F190),ABS(($A190-1)/$B$6-F190)))</f>
        <v>0.00999050908626295</v>
      </c>
      <c r="K190" s="21" t="n">
        <f aca="false">IF(B190="","",MAX(ABS($A190/$B$6-G190),ABS(($A190-1)/$B$6-G190)))</f>
        <v>0.0132764701970607</v>
      </c>
    </row>
    <row r="191" customFormat="false" ht="15" hidden="false" customHeight="false" outlineLevel="0" collapsed="false">
      <c r="A191" s="11" t="n">
        <v>155</v>
      </c>
      <c r="B191" s="9" t="n">
        <f aca="false">IF(A191&gt;$B$6,"",SMALL(BTC_Data!$C$3:$C$1002,A191))</f>
        <v>-0.00113546604466797</v>
      </c>
      <c r="C191" s="21" t="n">
        <f aca="false">IF(B191="","",A191/$B$6)</f>
        <v>0.155</v>
      </c>
      <c r="D191" s="21" t="n">
        <f aca="false">IF(B191="","",NORMDIST(B191,$B$15,$B$16,TRUE()))</f>
        <v>0.188732051461418</v>
      </c>
      <c r="E191" s="21" t="n">
        <f aca="false">IF(B191="","",IF(B191&gt;=$B$15,1-TDIST((B191-$B$15)/$B$18,$B$17,1),TDIST(($B$15-B191)/$B$18,$B$17,1)))</f>
        <v>0.165535622985273</v>
      </c>
      <c r="F191" s="21" t="n">
        <f aca="false">IF(B191="","",IF(B191&lt;$B$19,0.5*EXP((B191-$B$19)/$B$20),1-0.5*EXP(-(B191-$B$19)/$B$20)))</f>
        <v>0.145283231403857</v>
      </c>
      <c r="G191" s="21" t="n">
        <f aca="false">IF(B191="","",1/(1+EXP(-(B191-$B$15)/$B$21)))</f>
        <v>0.167867019946122</v>
      </c>
      <c r="H191" s="21" t="n">
        <f aca="false">IF(B191="","",MAX(ABS($A191/$B$6-D191),ABS(($A191-1)/$B$6-D191)))</f>
        <v>0.0347320514614177</v>
      </c>
      <c r="I191" s="21" t="n">
        <f aca="false">IF(B191="","",MAX(ABS($A191/$B$6-E191),ABS(($A191-1)/$B$6-E191)))</f>
        <v>0.0115356229852725</v>
      </c>
      <c r="J191" s="21" t="n">
        <f aca="false">IF(B191="","",MAX(ABS($A191/$B$6-F191),ABS(($A191-1)/$B$6-F191)))</f>
        <v>0.00971676859614287</v>
      </c>
      <c r="K191" s="21" t="n">
        <f aca="false">IF(B191="","",MAX(ABS($A191/$B$6-G191),ABS(($A191-1)/$B$6-G191)))</f>
        <v>0.013867019946122</v>
      </c>
    </row>
    <row r="192" customFormat="false" ht="15" hidden="false" customHeight="false" outlineLevel="0" collapsed="false">
      <c r="A192" s="11" t="n">
        <v>156</v>
      </c>
      <c r="B192" s="9" t="n">
        <f aca="false">IF(A192&gt;$B$6,"",SMALL(BTC_Data!$C$3:$C$1002,A192))</f>
        <v>-0.00112644800467787</v>
      </c>
      <c r="C192" s="21" t="n">
        <f aca="false">IF(B192="","",A192/$B$6)</f>
        <v>0.156</v>
      </c>
      <c r="D192" s="21" t="n">
        <f aca="false">IF(B192="","",NORMDIST(B192,$B$15,$B$16,TRUE()))</f>
        <v>0.190652126883675</v>
      </c>
      <c r="E192" s="21" t="n">
        <f aca="false">IF(B192="","",IF(B192&gt;=$B$15,1-TDIST((B192-$B$15)/$B$18,$B$17,1),TDIST(($B$15-B192)/$B$18,$B$17,1)))</f>
        <v>0.167351461326809</v>
      </c>
      <c r="F192" s="21" t="n">
        <f aca="false">IF(B192="","",IF(B192&lt;$B$19,0.5*EXP((B192-$B$19)/$B$20),1-0.5*EXP(-(B192-$B$19)/$B$20)))</f>
        <v>0.146728311757317</v>
      </c>
      <c r="G192" s="21" t="n">
        <f aca="false">IF(B192="","",1/(1+EXP(-(B192-$B$15)/$B$21)))</f>
        <v>0.169669198431014</v>
      </c>
      <c r="H192" s="21" t="n">
        <f aca="false">IF(B192="","",MAX(ABS($A192/$B$6-D192),ABS(($A192-1)/$B$6-D192)))</f>
        <v>0.0356521268836749</v>
      </c>
      <c r="I192" s="21" t="n">
        <f aca="false">IF(B192="","",MAX(ABS($A192/$B$6-E192),ABS(($A192-1)/$B$6-E192)))</f>
        <v>0.0123514613268094</v>
      </c>
      <c r="J192" s="21" t="n">
        <f aca="false">IF(B192="","",MAX(ABS($A192/$B$6-F192),ABS(($A192-1)/$B$6-F192)))</f>
        <v>0.0092716882426826</v>
      </c>
      <c r="K192" s="21" t="n">
        <f aca="false">IF(B192="","",MAX(ABS($A192/$B$6-G192),ABS(($A192-1)/$B$6-G192)))</f>
        <v>0.0146691984310145</v>
      </c>
    </row>
    <row r="193" customFormat="false" ht="15" hidden="false" customHeight="false" outlineLevel="0" collapsed="false">
      <c r="A193" s="11" t="n">
        <v>157</v>
      </c>
      <c r="B193" s="9" t="n">
        <f aca="false">IF(A193&gt;$B$6,"",SMALL(BTC_Data!$C$3:$C$1002,A193))</f>
        <v>-0.00112206920378022</v>
      </c>
      <c r="C193" s="21" t="n">
        <f aca="false">IF(B193="","",A193/$B$6)</f>
        <v>0.157</v>
      </c>
      <c r="D193" s="21" t="n">
        <f aca="false">IF(B193="","",NORMDIST(B193,$B$15,$B$16,TRUE()))</f>
        <v>0.191588747860771</v>
      </c>
      <c r="E193" s="21" t="n">
        <f aca="false">IF(B193="","",IF(B193&gt;=$B$15,1-TDIST((B193-$B$15)/$B$18,$B$17,1),TDIST(($B$15-B193)/$B$18,$B$17,1)))</f>
        <v>0.168238815701875</v>
      </c>
      <c r="F193" s="21" t="n">
        <f aca="false">IF(B193="","",IF(B193&lt;$B$19,0.5*EXP((B193-$B$19)/$B$20),1-0.5*EXP(-(B193-$B$19)/$B$20)))</f>
        <v>0.147435160470146</v>
      </c>
      <c r="G193" s="21" t="n">
        <f aca="false">IF(B193="","",1/(1+EXP(-(B193-$B$15)/$B$21)))</f>
        <v>0.170549801650995</v>
      </c>
      <c r="H193" s="21" t="n">
        <f aca="false">IF(B193="","",MAX(ABS($A193/$B$6-D193),ABS(($A193-1)/$B$6-D193)))</f>
        <v>0.035588747860771</v>
      </c>
      <c r="I193" s="21" t="n">
        <f aca="false">IF(B193="","",MAX(ABS($A193/$B$6-E193),ABS(($A193-1)/$B$6-E193)))</f>
        <v>0.0122388157018751</v>
      </c>
      <c r="J193" s="21" t="n">
        <f aca="false">IF(B193="","",MAX(ABS($A193/$B$6-F193),ABS(($A193-1)/$B$6-F193)))</f>
        <v>0.00956483952985365</v>
      </c>
      <c r="K193" s="21" t="n">
        <f aca="false">IF(B193="","",MAX(ABS($A193/$B$6-G193),ABS(($A193-1)/$B$6-G193)))</f>
        <v>0.0145498016509952</v>
      </c>
    </row>
    <row r="194" customFormat="false" ht="15" hidden="false" customHeight="false" outlineLevel="0" collapsed="false">
      <c r="A194" s="11" t="n">
        <v>158</v>
      </c>
      <c r="B194" s="9" t="n">
        <f aca="false">IF(A194&gt;$B$6,"",SMALL(BTC_Data!$C$3:$C$1002,A194))</f>
        <v>-0.00112110851806957</v>
      </c>
      <c r="C194" s="21" t="n">
        <f aca="false">IF(B194="","",A194/$B$6)</f>
        <v>0.158</v>
      </c>
      <c r="D194" s="21" t="n">
        <f aca="false">IF(B194="","",NORMDIST(B194,$B$15,$B$16,TRUE()))</f>
        <v>0.191794613939105</v>
      </c>
      <c r="E194" s="21" t="n">
        <f aca="false">IF(B194="","",IF(B194&gt;=$B$15,1-TDIST((B194-$B$15)/$B$18,$B$17,1),TDIST(($B$15-B194)/$B$18,$B$17,1)))</f>
        <v>0.168433991790755</v>
      </c>
      <c r="F194" s="21" t="n">
        <f aca="false">IF(B194="","",IF(B194&lt;$B$19,0.5*EXP((B194-$B$19)/$B$20),1-0.5*EXP(-(B194-$B$19)/$B$20)))</f>
        <v>0.147590694252572</v>
      </c>
      <c r="G194" s="21" t="n">
        <f aca="false">IF(B194="","",1/(1+EXP(-(B194-$B$15)/$B$21)))</f>
        <v>0.17074348628678</v>
      </c>
      <c r="H194" s="21" t="n">
        <f aca="false">IF(B194="","",MAX(ABS($A194/$B$6-D194),ABS(($A194-1)/$B$6-D194)))</f>
        <v>0.0347946139391046</v>
      </c>
      <c r="I194" s="21" t="n">
        <f aca="false">IF(B194="","",MAX(ABS($A194/$B$6-E194),ABS(($A194-1)/$B$6-E194)))</f>
        <v>0.0114339917907553</v>
      </c>
      <c r="J194" s="21" t="n">
        <f aca="false">IF(B194="","",MAX(ABS($A194/$B$6-F194),ABS(($A194-1)/$B$6-F194)))</f>
        <v>0.0104093057474281</v>
      </c>
      <c r="K194" s="21" t="n">
        <f aca="false">IF(B194="","",MAX(ABS($A194/$B$6-G194),ABS(($A194-1)/$B$6-G194)))</f>
        <v>0.0137434862867804</v>
      </c>
    </row>
    <row r="195" customFormat="false" ht="15" hidden="false" customHeight="false" outlineLevel="0" collapsed="false">
      <c r="A195" s="11" t="n">
        <v>159</v>
      </c>
      <c r="B195" s="9" t="n">
        <f aca="false">IF(A195&gt;$B$6,"",SMALL(BTC_Data!$C$3:$C$1002,A195))</f>
        <v>-0.00112096383457527</v>
      </c>
      <c r="C195" s="21" t="n">
        <f aca="false">IF(B195="","",A195/$B$6)</f>
        <v>0.159</v>
      </c>
      <c r="D195" s="21" t="n">
        <f aca="false">IF(B195="","",NORMDIST(B195,$B$15,$B$16,TRUE()))</f>
        <v>0.191825630006861</v>
      </c>
      <c r="E195" s="21" t="n">
        <f aca="false">IF(B195="","",IF(B195&gt;=$B$15,1-TDIST((B195-$B$15)/$B$18,$B$17,1),TDIST(($B$15-B195)/$B$18,$B$17,1)))</f>
        <v>0.168463401617079</v>
      </c>
      <c r="F195" s="21" t="n">
        <f aca="false">IF(B195="","",IF(B195&lt;$B$19,0.5*EXP((B195-$B$19)/$B$20),1-0.5*EXP(-(B195-$B$19)/$B$20)))</f>
        <v>0.147614132536342</v>
      </c>
      <c r="G195" s="21" t="n">
        <f aca="false">IF(B195="","",1/(1+EXP(-(B195-$B$15)/$B$21)))</f>
        <v>0.170772671173925</v>
      </c>
      <c r="H195" s="21" t="n">
        <f aca="false">IF(B195="","",MAX(ABS($A195/$B$6-D195),ABS(($A195-1)/$B$6-D195)))</f>
        <v>0.0338256300068613</v>
      </c>
      <c r="I195" s="21" t="n">
        <f aca="false">IF(B195="","",MAX(ABS($A195/$B$6-E195),ABS(($A195-1)/$B$6-E195)))</f>
        <v>0.0104634016170788</v>
      </c>
      <c r="J195" s="21" t="n">
        <f aca="false">IF(B195="","",MAX(ABS($A195/$B$6-F195),ABS(($A195-1)/$B$6-F195)))</f>
        <v>0.0113858674636576</v>
      </c>
      <c r="K195" s="21" t="n">
        <f aca="false">IF(B195="","",MAX(ABS($A195/$B$6-G195),ABS(($A195-1)/$B$6-G195)))</f>
        <v>0.0127726711739254</v>
      </c>
    </row>
    <row r="196" customFormat="false" ht="15" hidden="false" customHeight="false" outlineLevel="0" collapsed="false">
      <c r="A196" s="11" t="n">
        <v>160</v>
      </c>
      <c r="B196" s="9" t="n">
        <f aca="false">IF(A196&gt;$B$6,"",SMALL(BTC_Data!$C$3:$C$1002,A196))</f>
        <v>-0.00111703887868508</v>
      </c>
      <c r="C196" s="21" t="n">
        <f aca="false">IF(B196="","",A196/$B$6)</f>
        <v>0.16</v>
      </c>
      <c r="D196" s="21" t="n">
        <f aca="false">IF(B196="","",NORMDIST(B196,$B$15,$B$16,TRUE()))</f>
        <v>0.192668201242722</v>
      </c>
      <c r="E196" s="21" t="n">
        <f aca="false">IF(B196="","",IF(B196&gt;=$B$15,1-TDIST((B196-$B$15)/$B$18,$B$17,1),TDIST(($B$15-B196)/$B$18,$B$17,1)))</f>
        <v>0.16926277144448</v>
      </c>
      <c r="F196" s="21" t="n">
        <f aca="false">IF(B196="","",IF(B196&lt;$B$19,0.5*EXP((B196-$B$19)/$B$20),1-0.5*EXP(-(B196-$B$19)/$B$20)))</f>
        <v>0.148251385446194</v>
      </c>
      <c r="G196" s="21" t="n">
        <f aca="false">IF(B196="","",1/(1+EXP(-(B196-$B$15)/$B$21)))</f>
        <v>0.171565907023357</v>
      </c>
      <c r="H196" s="21" t="n">
        <f aca="false">IF(B196="","",MAX(ABS($A196/$B$6-D196),ABS(($A196-1)/$B$6-D196)))</f>
        <v>0.0336682012427217</v>
      </c>
      <c r="I196" s="21" t="n">
        <f aca="false">IF(B196="","",MAX(ABS($A196/$B$6-E196),ABS(($A196-1)/$B$6-E196)))</f>
        <v>0.0102627714444804</v>
      </c>
      <c r="J196" s="21" t="n">
        <f aca="false">IF(B196="","",MAX(ABS($A196/$B$6-F196),ABS(($A196-1)/$B$6-F196)))</f>
        <v>0.0117486145538064</v>
      </c>
      <c r="K196" s="21" t="n">
        <f aca="false">IF(B196="","",MAX(ABS($A196/$B$6-G196),ABS(($A196-1)/$B$6-G196)))</f>
        <v>0.0125659070233569</v>
      </c>
    </row>
    <row r="197" customFormat="false" ht="15" hidden="false" customHeight="false" outlineLevel="0" collapsed="false">
      <c r="A197" s="11" t="n">
        <v>161</v>
      </c>
      <c r="B197" s="9" t="n">
        <f aca="false">IF(A197&gt;$B$6,"",SMALL(BTC_Data!$C$3:$C$1002,A197))</f>
        <v>-0.00111328118751286</v>
      </c>
      <c r="C197" s="21" t="n">
        <f aca="false">IF(B197="","",A197/$B$6)</f>
        <v>0.161</v>
      </c>
      <c r="D197" s="21" t="n">
        <f aca="false">IF(B197="","",NORMDIST(B197,$B$15,$B$16,TRUE()))</f>
        <v>0.193476981255216</v>
      </c>
      <c r="E197" s="21" t="n">
        <f aca="false">IF(B197="","",IF(B197&gt;=$B$15,1-TDIST((B197-$B$15)/$B$18,$B$17,1),TDIST(($B$15-B197)/$B$18,$B$17,1)))</f>
        <v>0.170030867636706</v>
      </c>
      <c r="F197" s="21" t="n">
        <f aca="false">IF(B197="","",IF(B197&lt;$B$19,0.5*EXP((B197-$B$19)/$B$20),1-0.5*EXP(-(B197-$B$19)/$B$20)))</f>
        <v>0.148864058898141</v>
      </c>
      <c r="G197" s="21" t="n">
        <f aca="false">IF(B197="","",1/(1+EXP(-(B197-$B$15)/$B$21)))</f>
        <v>0.172328073302049</v>
      </c>
      <c r="H197" s="21" t="n">
        <f aca="false">IF(B197="","",MAX(ABS($A197/$B$6-D197),ABS(($A197-1)/$B$6-D197)))</f>
        <v>0.0334769812552157</v>
      </c>
      <c r="I197" s="21" t="n">
        <f aca="false">IF(B197="","",MAX(ABS($A197/$B$6-E197),ABS(($A197-1)/$B$6-E197)))</f>
        <v>0.0100308676367064</v>
      </c>
      <c r="J197" s="21" t="n">
        <f aca="false">IF(B197="","",MAX(ABS($A197/$B$6-F197),ABS(($A197-1)/$B$6-F197)))</f>
        <v>0.0121359411018588</v>
      </c>
      <c r="K197" s="21" t="n">
        <f aca="false">IF(B197="","",MAX(ABS($A197/$B$6-G197),ABS(($A197-1)/$B$6-G197)))</f>
        <v>0.0123280733020485</v>
      </c>
    </row>
    <row r="198" customFormat="false" ht="15" hidden="false" customHeight="false" outlineLevel="0" collapsed="false">
      <c r="A198" s="11" t="n">
        <v>162</v>
      </c>
      <c r="B198" s="9" t="n">
        <f aca="false">IF(A198&gt;$B$6,"",SMALL(BTC_Data!$C$3:$C$1002,A198))</f>
        <v>-0.00110682862719724</v>
      </c>
      <c r="C198" s="21" t="n">
        <f aca="false">IF(B198="","",A198/$B$6)</f>
        <v>0.162</v>
      </c>
      <c r="D198" s="21" t="n">
        <f aca="false">IF(B198="","",NORMDIST(B198,$B$15,$B$16,TRUE()))</f>
        <v>0.194870609392598</v>
      </c>
      <c r="E198" s="21" t="n">
        <f aca="false">IF(B198="","",IF(B198&gt;=$B$15,1-TDIST((B198-$B$15)/$B$18,$B$17,1),TDIST(($B$15-B198)/$B$18,$B$17,1)))</f>
        <v>0.171356192474147</v>
      </c>
      <c r="F198" s="21" t="n">
        <f aca="false">IF(B198="","",IF(B198&lt;$B$19,0.5*EXP((B198-$B$19)/$B$20),1-0.5*EXP(-(B198-$B$19)/$B$20)))</f>
        <v>0.14992203046853</v>
      </c>
      <c r="G198" s="21" t="n">
        <f aca="false">IF(B198="","",1/(1+EXP(-(B198-$B$15)/$B$21)))</f>
        <v>0.173643085652429</v>
      </c>
      <c r="H198" s="21" t="n">
        <f aca="false">IF(B198="","",MAX(ABS($A198/$B$6-D198),ABS(($A198-1)/$B$6-D198)))</f>
        <v>0.033870609392598</v>
      </c>
      <c r="I198" s="21" t="n">
        <f aca="false">IF(B198="","",MAX(ABS($A198/$B$6-E198),ABS(($A198-1)/$B$6-E198)))</f>
        <v>0.0103561924741467</v>
      </c>
      <c r="J198" s="21" t="n">
        <f aca="false">IF(B198="","",MAX(ABS($A198/$B$6-F198),ABS(($A198-1)/$B$6-F198)))</f>
        <v>0.0120779695314699</v>
      </c>
      <c r="K198" s="21" t="n">
        <f aca="false">IF(B198="","",MAX(ABS($A198/$B$6-G198),ABS(($A198-1)/$B$6-G198)))</f>
        <v>0.0126430856524289</v>
      </c>
    </row>
    <row r="199" customFormat="false" ht="15" hidden="false" customHeight="false" outlineLevel="0" collapsed="false">
      <c r="A199" s="11" t="n">
        <v>163</v>
      </c>
      <c r="B199" s="9" t="n">
        <f aca="false">IF(A199&gt;$B$6,"",SMALL(BTC_Data!$C$3:$C$1002,A199))</f>
        <v>-0.00109696892227051</v>
      </c>
      <c r="C199" s="21" t="n">
        <f aca="false">IF(B199="","",A199/$B$6)</f>
        <v>0.163</v>
      </c>
      <c r="D199" s="21" t="n">
        <f aca="false">IF(B199="","",NORMDIST(B199,$B$15,$B$16,TRUE()))</f>
        <v>0.197011869736182</v>
      </c>
      <c r="E199" s="21" t="n">
        <f aca="false">IF(B199="","",IF(B199&gt;=$B$15,1-TDIST((B199-$B$15)/$B$18,$B$17,1),TDIST(($B$15-B199)/$B$18,$B$17,1)))</f>
        <v>0.173396931534236</v>
      </c>
      <c r="F199" s="21" t="n">
        <f aca="false">IF(B199="","",IF(B199&lt;$B$19,0.5*EXP((B199-$B$19)/$B$20),1-0.5*EXP(-(B199-$B$19)/$B$20)))</f>
        <v>0.151553183311933</v>
      </c>
      <c r="G199" s="21" t="n">
        <f aca="false">IF(B199="","",1/(1+EXP(-(B199-$B$15)/$B$21)))</f>
        <v>0.175667753364697</v>
      </c>
      <c r="H199" s="21" t="n">
        <f aca="false">IF(B199="","",MAX(ABS($A199/$B$6-D199),ABS(($A199-1)/$B$6-D199)))</f>
        <v>0.0350118697361816</v>
      </c>
      <c r="I199" s="21" t="n">
        <f aca="false">IF(B199="","",MAX(ABS($A199/$B$6-E199),ABS(($A199-1)/$B$6-E199)))</f>
        <v>0.0113969315342356</v>
      </c>
      <c r="J199" s="21" t="n">
        <f aca="false">IF(B199="","",MAX(ABS($A199/$B$6-F199),ABS(($A199-1)/$B$6-F199)))</f>
        <v>0.0114468166880667</v>
      </c>
      <c r="K199" s="21" t="n">
        <f aca="false">IF(B199="","",MAX(ABS($A199/$B$6-G199),ABS(($A199-1)/$B$6-G199)))</f>
        <v>0.013667753364697</v>
      </c>
    </row>
    <row r="200" customFormat="false" ht="15" hidden="false" customHeight="false" outlineLevel="0" collapsed="false">
      <c r="A200" s="11" t="n">
        <v>164</v>
      </c>
      <c r="B200" s="9" t="n">
        <f aca="false">IF(A200&gt;$B$6,"",SMALL(BTC_Data!$C$3:$C$1002,A200))</f>
        <v>-0.00109299180712918</v>
      </c>
      <c r="C200" s="21" t="n">
        <f aca="false">IF(B200="","",A200/$B$6)</f>
        <v>0.164</v>
      </c>
      <c r="D200" s="21" t="n">
        <f aca="false">IF(B200="","",NORMDIST(B200,$B$15,$B$16,TRUE()))</f>
        <v>0.197879606621061</v>
      </c>
      <c r="E200" s="21" t="n">
        <f aca="false">IF(B200="","",IF(B200&gt;=$B$15,1-TDIST((B200-$B$15)/$B$18,$B$17,1),TDIST(($B$15-B200)/$B$18,$B$17,1)))</f>
        <v>0.174225453683852</v>
      </c>
      <c r="F200" s="21" t="n">
        <f aca="false">IF(B200="","",IF(B200&lt;$B$19,0.5*EXP((B200-$B$19)/$B$20),1-0.5*EXP(-(B200-$B$19)/$B$20)))</f>
        <v>0.152216154683831</v>
      </c>
      <c r="G200" s="21" t="n">
        <f aca="false">IF(B200="","",1/(1+EXP(-(B200-$B$15)/$B$21)))</f>
        <v>0.176489686751874</v>
      </c>
      <c r="H200" s="21" t="n">
        <f aca="false">IF(B200="","",MAX(ABS($A200/$B$6-D200),ABS(($A200-1)/$B$6-D200)))</f>
        <v>0.0348796066210605</v>
      </c>
      <c r="I200" s="21" t="n">
        <f aca="false">IF(B200="","",MAX(ABS($A200/$B$6-E200),ABS(($A200-1)/$B$6-E200)))</f>
        <v>0.0112254536838522</v>
      </c>
      <c r="J200" s="21" t="n">
        <f aca="false">IF(B200="","",MAX(ABS($A200/$B$6-F200),ABS(($A200-1)/$B$6-F200)))</f>
        <v>0.0117838453161688</v>
      </c>
      <c r="K200" s="21" t="n">
        <f aca="false">IF(B200="","",MAX(ABS($A200/$B$6-G200),ABS(($A200-1)/$B$6-G200)))</f>
        <v>0.0134896867518743</v>
      </c>
    </row>
    <row r="201" customFormat="false" ht="15" hidden="false" customHeight="false" outlineLevel="0" collapsed="false">
      <c r="A201" s="11" t="n">
        <v>165</v>
      </c>
      <c r="B201" s="9" t="n">
        <f aca="false">IF(A201&gt;$B$6,"",SMALL(BTC_Data!$C$3:$C$1002,A201))</f>
        <v>-0.00108734275382916</v>
      </c>
      <c r="C201" s="21" t="n">
        <f aca="false">IF(B201="","",A201/$B$6)</f>
        <v>0.165</v>
      </c>
      <c r="D201" s="21" t="n">
        <f aca="false">IF(B201="","",NORMDIST(B201,$B$15,$B$16,TRUE()))</f>
        <v>0.19911609244913</v>
      </c>
      <c r="E201" s="21" t="n">
        <f aca="false">IF(B201="","",IF(B201&gt;=$B$15,1-TDIST((B201-$B$15)/$B$18,$B$17,1),TDIST(($B$15-B201)/$B$18,$B$17,1)))</f>
        <v>0.175407571092042</v>
      </c>
      <c r="F201" s="21" t="n">
        <f aca="false">IF(B201="","",IF(B201&lt;$B$19,0.5*EXP((B201-$B$19)/$B$20),1-0.5*EXP(-(B201-$B$19)/$B$20)))</f>
        <v>0.153162820686176</v>
      </c>
      <c r="G201" s="21" t="n">
        <f aca="false">IF(B201="","",1/(1+EXP(-(B201-$B$15)/$B$21)))</f>
        <v>0.177662341951573</v>
      </c>
      <c r="H201" s="21" t="n">
        <f aca="false">IF(B201="","",MAX(ABS($A201/$B$6-D201),ABS(($A201-1)/$B$6-D201)))</f>
        <v>0.0351160924491297</v>
      </c>
      <c r="I201" s="21" t="n">
        <f aca="false">IF(B201="","",MAX(ABS($A201/$B$6-E201),ABS(($A201-1)/$B$6-E201)))</f>
        <v>0.0114075710920416</v>
      </c>
      <c r="J201" s="21" t="n">
        <f aca="false">IF(B201="","",MAX(ABS($A201/$B$6-F201),ABS(($A201-1)/$B$6-F201)))</f>
        <v>0.0118371793138243</v>
      </c>
      <c r="K201" s="21" t="n">
        <f aca="false">IF(B201="","",MAX(ABS($A201/$B$6-G201),ABS(($A201-1)/$B$6-G201)))</f>
        <v>0.0136623419515734</v>
      </c>
    </row>
    <row r="202" customFormat="false" ht="15" hidden="false" customHeight="false" outlineLevel="0" collapsed="false">
      <c r="A202" s="11" t="n">
        <v>166</v>
      </c>
      <c r="B202" s="9" t="n">
        <f aca="false">IF(A202&gt;$B$6,"",SMALL(BTC_Data!$C$3:$C$1002,A202))</f>
        <v>-0.00108085478445519</v>
      </c>
      <c r="C202" s="21" t="n">
        <f aca="false">IF(B202="","",A202/$B$6)</f>
        <v>0.166</v>
      </c>
      <c r="D202" s="21" t="n">
        <f aca="false">IF(B202="","",NORMDIST(B202,$B$15,$B$16,TRUE()))</f>
        <v>0.200541931543704</v>
      </c>
      <c r="E202" s="21" t="n">
        <f aca="false">IF(B202="","",IF(B202&gt;=$B$15,1-TDIST((B202-$B$15)/$B$18,$B$17,1),TDIST(($B$15-B202)/$B$18,$B$17,1)))</f>
        <v>0.176772914066129</v>
      </c>
      <c r="F202" s="21" t="n">
        <f aca="false">IF(B202="","",IF(B202&lt;$B$19,0.5*EXP((B202-$B$19)/$B$20),1-0.5*EXP(-(B202-$B$19)/$B$20)))</f>
        <v>0.154257338071613</v>
      </c>
      <c r="G202" s="21" t="n">
        <f aca="false">IF(B202="","",1/(1+EXP(-(B202-$B$15)/$B$21)))</f>
        <v>0.179016668975948</v>
      </c>
      <c r="H202" s="21" t="n">
        <f aca="false">IF(B202="","",MAX(ABS($A202/$B$6-D202),ABS(($A202-1)/$B$6-D202)))</f>
        <v>0.0355419315437038</v>
      </c>
      <c r="I202" s="21" t="n">
        <f aca="false">IF(B202="","",MAX(ABS($A202/$B$6-E202),ABS(($A202-1)/$B$6-E202)))</f>
        <v>0.0117729140661285</v>
      </c>
      <c r="J202" s="21" t="n">
        <f aca="false">IF(B202="","",MAX(ABS($A202/$B$6-F202),ABS(($A202-1)/$B$6-F202)))</f>
        <v>0.0117426619283869</v>
      </c>
      <c r="K202" s="21" t="n">
        <f aca="false">IF(B202="","",MAX(ABS($A202/$B$6-G202),ABS(($A202-1)/$B$6-G202)))</f>
        <v>0.0140166689759484</v>
      </c>
    </row>
    <row r="203" customFormat="false" ht="15" hidden="false" customHeight="false" outlineLevel="0" collapsed="false">
      <c r="A203" s="11" t="n">
        <v>167</v>
      </c>
      <c r="B203" s="9" t="n">
        <f aca="false">IF(A203&gt;$B$6,"",SMALL(BTC_Data!$C$3:$C$1002,A203))</f>
        <v>-0.00107954453657233</v>
      </c>
      <c r="C203" s="21" t="n">
        <f aca="false">IF(B203="","",A203/$B$6)</f>
        <v>0.167</v>
      </c>
      <c r="D203" s="21" t="n">
        <f aca="false">IF(B203="","",NORMDIST(B203,$B$15,$B$16,TRUE()))</f>
        <v>0.200830622661922</v>
      </c>
      <c r="E203" s="21" t="n">
        <f aca="false">IF(B203="","",IF(B203&gt;=$B$15,1-TDIST((B203-$B$15)/$B$18,$B$17,1),TDIST(($B$15-B203)/$B$18,$B$17,1)))</f>
        <v>0.177049642430871</v>
      </c>
      <c r="F203" s="21" t="n">
        <f aca="false">IF(B203="","",IF(B203&lt;$B$19,0.5*EXP((B203-$B$19)/$B$20),1-0.5*EXP(-(B203-$B$19)/$B$20)))</f>
        <v>0.154479323752641</v>
      </c>
      <c r="G203" s="21" t="n">
        <f aca="false">IF(B203="","",1/(1+EXP(-(B203-$B$15)/$B$21)))</f>
        <v>0.1792911535515</v>
      </c>
      <c r="H203" s="21" t="n">
        <f aca="false">IF(B203="","",MAX(ABS($A203/$B$6-D203),ABS(($A203-1)/$B$6-D203)))</f>
        <v>0.0348306226619222</v>
      </c>
      <c r="I203" s="21" t="n">
        <f aca="false">IF(B203="","",MAX(ABS($A203/$B$6-E203),ABS(($A203-1)/$B$6-E203)))</f>
        <v>0.0110496424308708</v>
      </c>
      <c r="J203" s="21" t="n">
        <f aca="false">IF(B203="","",MAX(ABS($A203/$B$6-F203),ABS(($A203-1)/$B$6-F203)))</f>
        <v>0.0125206762473591</v>
      </c>
      <c r="K203" s="21" t="n">
        <f aca="false">IF(B203="","",MAX(ABS($A203/$B$6-G203),ABS(($A203-1)/$B$6-G203)))</f>
        <v>0.0132911535515003</v>
      </c>
    </row>
    <row r="204" customFormat="false" ht="15" hidden="false" customHeight="false" outlineLevel="0" collapsed="false">
      <c r="A204" s="11" t="n">
        <v>168</v>
      </c>
      <c r="B204" s="9" t="n">
        <f aca="false">IF(A204&gt;$B$6,"",SMALL(BTC_Data!$C$3:$C$1002,A204))</f>
        <v>-0.00106980832820425</v>
      </c>
      <c r="C204" s="21" t="n">
        <f aca="false">IF(B204="","",A204/$B$6)</f>
        <v>0.168</v>
      </c>
      <c r="D204" s="21" t="n">
        <f aca="false">IF(B204="","",NORMDIST(B204,$B$15,$B$16,TRUE()))</f>
        <v>0.202983634195792</v>
      </c>
      <c r="E204" s="21" t="n">
        <f aca="false">IF(B204="","",IF(B204&gt;=$B$15,1-TDIST((B204-$B$15)/$B$18,$B$17,1),TDIST(($B$15-B204)/$B$18,$B$17,1)))</f>
        <v>0.17911646550428</v>
      </c>
      <c r="F204" s="21" t="n">
        <f aca="false">IF(B204="","",IF(B204&lt;$B$19,0.5*EXP((B204-$B$19)/$B$20),1-0.5*EXP(-(B204-$B$19)/$B$20)))</f>
        <v>0.156138895445956</v>
      </c>
      <c r="G204" s="21" t="n">
        <f aca="false">IF(B204="","",1/(1+EXP(-(B204-$B$15)/$B$21)))</f>
        <v>0.181341104508189</v>
      </c>
      <c r="H204" s="21" t="n">
        <f aca="false">IF(B204="","",MAX(ABS($A204/$B$6-D204),ABS(($A204-1)/$B$6-D204)))</f>
        <v>0.0359836341957917</v>
      </c>
      <c r="I204" s="21" t="n">
        <f aca="false">IF(B204="","",MAX(ABS($A204/$B$6-E204),ABS(($A204-1)/$B$6-E204)))</f>
        <v>0.0121164655042804</v>
      </c>
      <c r="J204" s="21" t="n">
        <f aca="false">IF(B204="","",MAX(ABS($A204/$B$6-F204),ABS(($A204-1)/$B$6-F204)))</f>
        <v>0.0118611045540444</v>
      </c>
      <c r="K204" s="21" t="n">
        <f aca="false">IF(B204="","",MAX(ABS($A204/$B$6-G204),ABS(($A204-1)/$B$6-G204)))</f>
        <v>0.0143411045081891</v>
      </c>
    </row>
    <row r="205" customFormat="false" ht="15" hidden="false" customHeight="false" outlineLevel="0" collapsed="false">
      <c r="A205" s="11" t="n">
        <v>169</v>
      </c>
      <c r="B205" s="9" t="n">
        <f aca="false">IF(A205&gt;$B$6,"",SMALL(BTC_Data!$C$3:$C$1002,A205))</f>
        <v>-0.00106648295944423</v>
      </c>
      <c r="C205" s="21" t="n">
        <f aca="false">IF(B205="","",A205/$B$6)</f>
        <v>0.169</v>
      </c>
      <c r="D205" s="21" t="n">
        <f aca="false">IF(B205="","",NORMDIST(B205,$B$15,$B$16,TRUE()))</f>
        <v>0.203722134291587</v>
      </c>
      <c r="E205" s="21" t="n">
        <f aca="false">IF(B205="","",IF(B205&gt;=$B$15,1-TDIST((B205-$B$15)/$B$18,$B$17,1),TDIST(($B$15-B205)/$B$18,$B$17,1)))</f>
        <v>0.179826629026146</v>
      </c>
      <c r="F205" s="21" t="n">
        <f aca="false">IF(B205="","",IF(B205&lt;$B$19,0.5*EXP((B205-$B$19)/$B$20),1-0.5*EXP(-(B205-$B$19)/$B$20)))</f>
        <v>0.156709791488785</v>
      </c>
      <c r="G205" s="21" t="n">
        <f aca="false">IF(B205="","",1/(1+EXP(-(B205-$B$15)/$B$21)))</f>
        <v>0.182045425834979</v>
      </c>
      <c r="H205" s="21" t="n">
        <f aca="false">IF(B205="","",MAX(ABS($A205/$B$6-D205),ABS(($A205-1)/$B$6-D205)))</f>
        <v>0.0357221342915867</v>
      </c>
      <c r="I205" s="21" t="n">
        <f aca="false">IF(B205="","",MAX(ABS($A205/$B$6-E205),ABS(($A205-1)/$B$6-E205)))</f>
        <v>0.0118266290261463</v>
      </c>
      <c r="J205" s="21" t="n">
        <f aca="false">IF(B205="","",MAX(ABS($A205/$B$6-F205),ABS(($A205-1)/$B$6-F205)))</f>
        <v>0.0122902085112147</v>
      </c>
      <c r="K205" s="21" t="n">
        <f aca="false">IF(B205="","",MAX(ABS($A205/$B$6-G205),ABS(($A205-1)/$B$6-G205)))</f>
        <v>0.0140454258349791</v>
      </c>
    </row>
    <row r="206" customFormat="false" ht="15" hidden="false" customHeight="false" outlineLevel="0" collapsed="false">
      <c r="A206" s="11" t="n">
        <v>170</v>
      </c>
      <c r="B206" s="9" t="n">
        <f aca="false">IF(A206&gt;$B$6,"",SMALL(BTC_Data!$C$3:$C$1002,A206))</f>
        <v>-0.00106408048470485</v>
      </c>
      <c r="C206" s="21" t="n">
        <f aca="false">IF(B206="","",A206/$B$6)</f>
        <v>0.17</v>
      </c>
      <c r="D206" s="21" t="n">
        <f aca="false">IF(B206="","",NORMDIST(B206,$B$15,$B$16,TRUE()))</f>
        <v>0.204256672802848</v>
      </c>
      <c r="E206" s="21" t="n">
        <f aca="false">IF(B206="","",IF(B206&gt;=$B$15,1-TDIST((B206-$B$15)/$B$18,$B$17,1),TDIST(($B$15-B206)/$B$18,$B$17,1)))</f>
        <v>0.180341046910717</v>
      </c>
      <c r="F206" s="21" t="n">
        <f aca="false">IF(B206="","",IF(B206&lt;$B$19,0.5*EXP((B206-$B$19)/$B$20),1-0.5*EXP(-(B206-$B$19)/$B$20)))</f>
        <v>0.157123544356826</v>
      </c>
      <c r="G206" s="21" t="n">
        <f aca="false">IF(B206="","",1/(1+EXP(-(B206-$B$15)/$B$21)))</f>
        <v>0.182555597966081</v>
      </c>
      <c r="H206" s="21" t="n">
        <f aca="false">IF(B206="","",MAX(ABS($A206/$B$6-D206),ABS(($A206-1)/$B$6-D206)))</f>
        <v>0.0352566728028485</v>
      </c>
      <c r="I206" s="21" t="n">
        <f aca="false">IF(B206="","",MAX(ABS($A206/$B$6-E206),ABS(($A206-1)/$B$6-E206)))</f>
        <v>0.011341046910717</v>
      </c>
      <c r="J206" s="21" t="n">
        <f aca="false">IF(B206="","",MAX(ABS($A206/$B$6-F206),ABS(($A206-1)/$B$6-F206)))</f>
        <v>0.0128764556431737</v>
      </c>
      <c r="K206" s="21" t="n">
        <f aca="false">IF(B206="","",MAX(ABS($A206/$B$6-G206),ABS(($A206-1)/$B$6-G206)))</f>
        <v>0.0135555979660813</v>
      </c>
    </row>
    <row r="207" customFormat="false" ht="15" hidden="false" customHeight="false" outlineLevel="0" collapsed="false">
      <c r="A207" s="11" t="n">
        <v>171</v>
      </c>
      <c r="B207" s="9" t="n">
        <f aca="false">IF(A207&gt;$B$6,"",SMALL(BTC_Data!$C$3:$C$1002,A207))</f>
        <v>-0.00106215611932681</v>
      </c>
      <c r="C207" s="21" t="n">
        <f aca="false">IF(B207="","",A207/$B$6)</f>
        <v>0.171</v>
      </c>
      <c r="D207" s="21" t="n">
        <f aca="false">IF(B207="","",NORMDIST(B207,$B$15,$B$16,TRUE()))</f>
        <v>0.204685436182587</v>
      </c>
      <c r="E207" s="21" t="n">
        <f aca="false">IF(B207="","",IF(B207&gt;=$B$15,1-TDIST((B207-$B$15)/$B$18,$B$17,1),TDIST(($B$15-B207)/$B$18,$B$17,1)))</f>
        <v>0.180753907453807</v>
      </c>
      <c r="F207" s="21" t="n">
        <f aca="false">IF(B207="","",IF(B207&lt;$B$19,0.5*EXP((B207-$B$19)/$B$20),1-0.5*EXP(-(B207-$B$19)/$B$20)))</f>
        <v>0.157455745304073</v>
      </c>
      <c r="G207" s="21" t="n">
        <f aca="false">IF(B207="","",1/(1+EXP(-(B207-$B$15)/$B$21)))</f>
        <v>0.182965042673182</v>
      </c>
      <c r="H207" s="21" t="n">
        <f aca="false">IF(B207="","",MAX(ABS($A207/$B$6-D207),ABS(($A207-1)/$B$6-D207)))</f>
        <v>0.0346854361825865</v>
      </c>
      <c r="I207" s="21" t="n">
        <f aca="false">IF(B207="","",MAX(ABS($A207/$B$6-E207),ABS(($A207-1)/$B$6-E207)))</f>
        <v>0.0107539074538074</v>
      </c>
      <c r="J207" s="21" t="n">
        <f aca="false">IF(B207="","",MAX(ABS($A207/$B$6-F207),ABS(($A207-1)/$B$6-F207)))</f>
        <v>0.0135442546959269</v>
      </c>
      <c r="K207" s="21" t="n">
        <f aca="false">IF(B207="","",MAX(ABS($A207/$B$6-G207),ABS(($A207-1)/$B$6-G207)))</f>
        <v>0.012965042673182</v>
      </c>
    </row>
    <row r="208" customFormat="false" ht="15" hidden="false" customHeight="false" outlineLevel="0" collapsed="false">
      <c r="A208" s="11" t="n">
        <v>172</v>
      </c>
      <c r="B208" s="9" t="n">
        <f aca="false">IF(A208&gt;$B$6,"",SMALL(BTC_Data!$C$3:$C$1002,A208))</f>
        <v>-0.00106215555279288</v>
      </c>
      <c r="C208" s="21" t="n">
        <f aca="false">IF(B208="","",A208/$B$6)</f>
        <v>0.172</v>
      </c>
      <c r="D208" s="21" t="n">
        <f aca="false">IF(B208="","",NORMDIST(B208,$B$15,$B$16,TRUE()))</f>
        <v>0.20468556248948</v>
      </c>
      <c r="E208" s="21" t="n">
        <f aca="false">IF(B208="","",IF(B208&gt;=$B$15,1-TDIST((B208-$B$15)/$B$18,$B$17,1),TDIST(($B$15-B208)/$B$18,$B$17,1)))</f>
        <v>0.180754029106945</v>
      </c>
      <c r="F208" s="21" t="n">
        <f aca="false">IF(B208="","",IF(B208&lt;$B$19,0.5*EXP((B208-$B$19)/$B$20),1-0.5*EXP(-(B208-$B$19)/$B$20)))</f>
        <v>0.157455843207509</v>
      </c>
      <c r="G208" s="21" t="n">
        <f aca="false">IF(B208="","",1/(1+EXP(-(B208-$B$15)/$B$21)))</f>
        <v>0.182965163318735</v>
      </c>
      <c r="H208" s="21" t="n">
        <f aca="false">IF(B208="","",MAX(ABS($A208/$B$6-D208),ABS(($A208-1)/$B$6-D208)))</f>
        <v>0.0336855624894798</v>
      </c>
      <c r="I208" s="21" t="n">
        <f aca="false">IF(B208="","",MAX(ABS($A208/$B$6-E208),ABS(($A208-1)/$B$6-E208)))</f>
        <v>0.0097540291069447</v>
      </c>
      <c r="J208" s="21" t="n">
        <f aca="false">IF(B208="","",MAX(ABS($A208/$B$6-F208),ABS(($A208-1)/$B$6-F208)))</f>
        <v>0.0145441567924909</v>
      </c>
      <c r="K208" s="21" t="n">
        <f aca="false">IF(B208="","",MAX(ABS($A208/$B$6-G208),ABS(($A208-1)/$B$6-G208)))</f>
        <v>0.0119651633187348</v>
      </c>
    </row>
    <row r="209" customFormat="false" ht="15" hidden="false" customHeight="false" outlineLevel="0" collapsed="false">
      <c r="A209" s="11" t="n">
        <v>173</v>
      </c>
      <c r="B209" s="9" t="n">
        <f aca="false">IF(A209&gt;$B$6,"",SMALL(BTC_Data!$C$3:$C$1002,A209))</f>
        <v>-0.00105819794707085</v>
      </c>
      <c r="C209" s="21" t="n">
        <f aca="false">IF(B209="","",A209/$B$6)</f>
        <v>0.173</v>
      </c>
      <c r="D209" s="21" t="n">
        <f aca="false">IF(B209="","",NORMDIST(B209,$B$15,$B$16,TRUE()))</f>
        <v>0.205569028791667</v>
      </c>
      <c r="E209" s="21" t="n">
        <f aca="false">IF(B209="","",IF(B209&gt;=$B$15,1-TDIST((B209-$B$15)/$B$18,$B$17,1),TDIST(($B$15-B209)/$B$18,$B$17,1)))</f>
        <v>0.181605390010811</v>
      </c>
      <c r="F209" s="21" t="n">
        <f aca="false">IF(B209="","",IF(B209&lt;$B$19,0.5*EXP((B209-$B$19)/$B$20),1-0.5*EXP(-(B209-$B$19)/$B$20)))</f>
        <v>0.158141249681555</v>
      </c>
      <c r="G209" s="21" t="n">
        <f aca="false">IF(B209="","",1/(1+EXP(-(B209-$B$15)/$B$21)))</f>
        <v>0.183809457543219</v>
      </c>
      <c r="H209" s="21" t="n">
        <f aca="false">IF(B209="","",MAX(ABS($A209/$B$6-D209),ABS(($A209-1)/$B$6-D209)))</f>
        <v>0.0335690287916667</v>
      </c>
      <c r="I209" s="21" t="n">
        <f aca="false">IF(B209="","",MAX(ABS($A209/$B$6-E209),ABS(($A209-1)/$B$6-E209)))</f>
        <v>0.00960539001081062</v>
      </c>
      <c r="J209" s="21" t="n">
        <f aca="false">IF(B209="","",MAX(ABS($A209/$B$6-F209),ABS(($A209-1)/$B$6-F209)))</f>
        <v>0.0148587503184451</v>
      </c>
      <c r="K209" s="21" t="n">
        <f aca="false">IF(B209="","",MAX(ABS($A209/$B$6-G209),ABS(($A209-1)/$B$6-G209)))</f>
        <v>0.011809457543219</v>
      </c>
    </row>
    <row r="210" customFormat="false" ht="15" hidden="false" customHeight="false" outlineLevel="0" collapsed="false">
      <c r="A210" s="11" t="n">
        <v>174</v>
      </c>
      <c r="B210" s="9" t="n">
        <f aca="false">IF(A210&gt;$B$6,"",SMALL(BTC_Data!$C$3:$C$1002,A210))</f>
        <v>-0.0010528252230636</v>
      </c>
      <c r="C210" s="21" t="n">
        <f aca="false">IF(B210="","",A210/$B$6)</f>
        <v>0.174</v>
      </c>
      <c r="D210" s="21" t="n">
        <f aca="false">IF(B210="","",NORMDIST(B210,$B$15,$B$16,TRUE()))</f>
        <v>0.206772011378456</v>
      </c>
      <c r="E210" s="21" t="n">
        <f aca="false">IF(B210="","",IF(B210&gt;=$B$15,1-TDIST((B210-$B$15)/$B$18,$B$17,1),TDIST(($B$15-B210)/$B$18,$B$17,1)))</f>
        <v>0.182766086715764</v>
      </c>
      <c r="F210" s="21" t="n">
        <f aca="false">IF(B210="","",IF(B210&lt;$B$19,0.5*EXP((B210-$B$19)/$B$20),1-0.5*EXP(-(B210-$B$19)/$B$20)))</f>
        <v>0.159076513508511</v>
      </c>
      <c r="G210" s="21" t="n">
        <f aca="false">IF(B210="","",1/(1+EXP(-(B210-$B$15)/$B$21)))</f>
        <v>0.184960471571619</v>
      </c>
      <c r="H210" s="21" t="n">
        <f aca="false">IF(B210="","",MAX(ABS($A210/$B$6-D210),ABS(($A210-1)/$B$6-D210)))</f>
        <v>0.0337720113784565</v>
      </c>
      <c r="I210" s="21" t="n">
        <f aca="false">IF(B210="","",MAX(ABS($A210/$B$6-E210),ABS(($A210-1)/$B$6-E210)))</f>
        <v>0.00976608671576373</v>
      </c>
      <c r="J210" s="21" t="n">
        <f aca="false">IF(B210="","",MAX(ABS($A210/$B$6-F210),ABS(($A210-1)/$B$6-F210)))</f>
        <v>0.0149234864914889</v>
      </c>
      <c r="K210" s="21" t="n">
        <f aca="false">IF(B210="","",MAX(ABS($A210/$B$6-G210),ABS(($A210-1)/$B$6-G210)))</f>
        <v>0.0119604715716191</v>
      </c>
    </row>
    <row r="211" customFormat="false" ht="15" hidden="false" customHeight="false" outlineLevel="0" collapsed="false">
      <c r="A211" s="11" t="n">
        <v>175</v>
      </c>
      <c r="B211" s="9" t="n">
        <f aca="false">IF(A211&gt;$B$6,"",SMALL(BTC_Data!$C$3:$C$1002,A211))</f>
        <v>-0.00105149812906136</v>
      </c>
      <c r="C211" s="21" t="n">
        <f aca="false">IF(B211="","",A211/$B$6)</f>
        <v>0.175</v>
      </c>
      <c r="D211" s="21" t="n">
        <f aca="false">IF(B211="","",NORMDIST(B211,$B$15,$B$16,TRUE()))</f>
        <v>0.207069795679049</v>
      </c>
      <c r="E211" s="21" t="n">
        <f aca="false">IF(B211="","",IF(B211&gt;=$B$15,1-TDIST((B211-$B$15)/$B$18,$B$17,1),TDIST(($B$15-B211)/$B$18,$B$17,1)))</f>
        <v>0.183053657898146</v>
      </c>
      <c r="F211" s="21" t="n">
        <f aca="false">IF(B211="","",IF(B211&lt;$B$19,0.5*EXP((B211-$B$19)/$B$20),1-0.5*EXP(-(B211-$B$19)/$B$20)))</f>
        <v>0.159308379699906</v>
      </c>
      <c r="G211" s="21" t="n">
        <f aca="false">IF(B211="","",1/(1+EXP(-(B211-$B$15)/$B$21)))</f>
        <v>0.185245635382738</v>
      </c>
      <c r="H211" s="21" t="n">
        <f aca="false">IF(B211="","",MAX(ABS($A211/$B$6-D211),ABS(($A211-1)/$B$6-D211)))</f>
        <v>0.0330697956790491</v>
      </c>
      <c r="I211" s="21" t="n">
        <f aca="false">IF(B211="","",MAX(ABS($A211/$B$6-E211),ABS(($A211-1)/$B$6-E211)))</f>
        <v>0.00905365789814577</v>
      </c>
      <c r="J211" s="21" t="n">
        <f aca="false">IF(B211="","",MAX(ABS($A211/$B$6-F211),ABS(($A211-1)/$B$6-F211)))</f>
        <v>0.0156916203000938</v>
      </c>
      <c r="K211" s="21" t="n">
        <f aca="false">IF(B211="","",MAX(ABS($A211/$B$6-G211),ABS(($A211-1)/$B$6-G211)))</f>
        <v>0.0112456353827384</v>
      </c>
    </row>
    <row r="212" customFormat="false" ht="15" hidden="false" customHeight="false" outlineLevel="0" collapsed="false">
      <c r="A212" s="11" t="n">
        <v>176</v>
      </c>
      <c r="B212" s="9" t="n">
        <f aca="false">IF(A212&gt;$B$6,"",SMALL(BTC_Data!$C$3:$C$1002,A212))</f>
        <v>-0.00103903073654865</v>
      </c>
      <c r="C212" s="21" t="n">
        <f aca="false">IF(B212="","",A212/$B$6)</f>
        <v>0.176</v>
      </c>
      <c r="D212" s="21" t="n">
        <f aca="false">IF(B212="","",NORMDIST(B212,$B$15,$B$16,TRUE()))</f>
        <v>0.209879697937972</v>
      </c>
      <c r="E212" s="21" t="n">
        <f aca="false">IF(B212="","",IF(B212&gt;=$B$15,1-TDIST((B212-$B$15)/$B$18,$B$17,1),TDIST(($B$15-B212)/$B$18,$B$17,1)))</f>
        <v>0.185772139027736</v>
      </c>
      <c r="F212" s="21" t="n">
        <f aca="false">IF(B212="","",IF(B212&lt;$B$19,0.5*EXP((B212-$B$19)/$B$20),1-0.5*EXP(-(B212-$B$19)/$B$20)))</f>
        <v>0.161503216740046</v>
      </c>
      <c r="G212" s="21" t="n">
        <f aca="false">IF(B212="","",1/(1+EXP(-(B212-$B$15)/$B$21)))</f>
        <v>0.187941201191629</v>
      </c>
      <c r="H212" s="21" t="n">
        <f aca="false">IF(B212="","",MAX(ABS($A212/$B$6-D212),ABS(($A212-1)/$B$6-D212)))</f>
        <v>0.0348796979379725</v>
      </c>
      <c r="I212" s="21" t="n">
        <f aca="false">IF(B212="","",MAX(ABS($A212/$B$6-E212),ABS(($A212-1)/$B$6-E212)))</f>
        <v>0.0107721390277357</v>
      </c>
      <c r="J212" s="21" t="n">
        <f aca="false">IF(B212="","",MAX(ABS($A212/$B$6-F212),ABS(($A212-1)/$B$6-F212)))</f>
        <v>0.0144967832599541</v>
      </c>
      <c r="K212" s="21" t="n">
        <f aca="false">IF(B212="","",MAX(ABS($A212/$B$6-G212),ABS(($A212-1)/$B$6-G212)))</f>
        <v>0.0129412011916295</v>
      </c>
    </row>
    <row r="213" customFormat="false" ht="15" hidden="false" customHeight="false" outlineLevel="0" collapsed="false">
      <c r="A213" s="11" t="n">
        <v>177</v>
      </c>
      <c r="B213" s="9" t="n">
        <f aca="false">IF(A213&gt;$B$6,"",SMALL(BTC_Data!$C$3:$C$1002,A213))</f>
        <v>-0.00102373819193657</v>
      </c>
      <c r="C213" s="21" t="n">
        <f aca="false">IF(B213="","",A213/$B$6)</f>
        <v>0.177</v>
      </c>
      <c r="D213" s="21" t="n">
        <f aca="false">IF(B213="","",NORMDIST(B213,$B$15,$B$16,TRUE()))</f>
        <v>0.213356758224121</v>
      </c>
      <c r="E213" s="21" t="n">
        <f aca="false">IF(B213="","",IF(B213&gt;=$B$15,1-TDIST((B213-$B$15)/$B$18,$B$17,1),TDIST(($B$15-B213)/$B$18,$B$17,1)))</f>
        <v>0.189148394961957</v>
      </c>
      <c r="F213" s="21" t="n">
        <f aca="false">IF(B213="","",IF(B213&lt;$B$19,0.5*EXP((B213-$B$19)/$B$20),1-0.5*EXP(-(B213-$B$19)/$B$20)))</f>
        <v>0.164236747538248</v>
      </c>
      <c r="G213" s="21" t="n">
        <f aca="false">IF(B213="","",1/(1+EXP(-(B213-$B$15)/$B$21)))</f>
        <v>0.191288626943009</v>
      </c>
      <c r="H213" s="21" t="n">
        <f aca="false">IF(B213="","",MAX(ABS($A213/$B$6-D213),ABS(($A213-1)/$B$6-D213)))</f>
        <v>0.0373567582241208</v>
      </c>
      <c r="I213" s="21" t="n">
        <f aca="false">IF(B213="","",MAX(ABS($A213/$B$6-E213),ABS(($A213-1)/$B$6-E213)))</f>
        <v>0.013148394961957</v>
      </c>
      <c r="J213" s="21" t="n">
        <f aca="false">IF(B213="","",MAX(ABS($A213/$B$6-F213),ABS(($A213-1)/$B$6-F213)))</f>
        <v>0.0127632524617524</v>
      </c>
      <c r="K213" s="21" t="n">
        <f aca="false">IF(B213="","",MAX(ABS($A213/$B$6-G213),ABS(($A213-1)/$B$6-G213)))</f>
        <v>0.0152886269430095</v>
      </c>
    </row>
    <row r="214" customFormat="false" ht="15" hidden="false" customHeight="false" outlineLevel="0" collapsed="false">
      <c r="A214" s="11" t="n">
        <v>178</v>
      </c>
      <c r="B214" s="9" t="n">
        <f aca="false">IF(A214&gt;$B$6,"",SMALL(BTC_Data!$C$3:$C$1002,A214))</f>
        <v>-0.00101846747020629</v>
      </c>
      <c r="C214" s="21" t="n">
        <f aca="false">IF(B214="","",A214/$B$6)</f>
        <v>0.178</v>
      </c>
      <c r="D214" s="21" t="n">
        <f aca="false">IF(B214="","",NORMDIST(B214,$B$15,$B$16,TRUE()))</f>
        <v>0.214562898232107</v>
      </c>
      <c r="E214" s="21" t="n">
        <f aca="false">IF(B214="","",IF(B214&gt;=$B$15,1-TDIST((B214-$B$15)/$B$18,$B$17,1),TDIST(($B$15-B214)/$B$18,$B$17,1)))</f>
        <v>0.190322731146897</v>
      </c>
      <c r="F214" s="21" t="n">
        <f aca="false">IF(B214="","",IF(B214&lt;$B$19,0.5*EXP((B214-$B$19)/$B$20),1-0.5*EXP(-(B214-$B$19)/$B$20)))</f>
        <v>0.165189566804469</v>
      </c>
      <c r="G214" s="21" t="n">
        <f aca="false">IF(B214="","",1/(1+EXP(-(B214-$B$15)/$B$21)))</f>
        <v>0.192452847048441</v>
      </c>
      <c r="H214" s="21" t="n">
        <f aca="false">IF(B214="","",MAX(ABS($A214/$B$6-D214),ABS(($A214-1)/$B$6-D214)))</f>
        <v>0.0375628982321071</v>
      </c>
      <c r="I214" s="21" t="n">
        <f aca="false">IF(B214="","",MAX(ABS($A214/$B$6-E214),ABS(($A214-1)/$B$6-E214)))</f>
        <v>0.0133227311468967</v>
      </c>
      <c r="J214" s="21" t="n">
        <f aca="false">IF(B214="","",MAX(ABS($A214/$B$6-F214),ABS(($A214-1)/$B$6-F214)))</f>
        <v>0.0128104331955309</v>
      </c>
      <c r="K214" s="21" t="n">
        <f aca="false">IF(B214="","",MAX(ABS($A214/$B$6-G214),ABS(($A214-1)/$B$6-G214)))</f>
        <v>0.0154528470484414</v>
      </c>
    </row>
    <row r="215" customFormat="false" ht="15" hidden="false" customHeight="false" outlineLevel="0" collapsed="false">
      <c r="A215" s="11" t="n">
        <v>179</v>
      </c>
      <c r="B215" s="9" t="n">
        <f aca="false">IF(A215&gt;$B$6,"",SMALL(BTC_Data!$C$3:$C$1002,A215))</f>
        <v>-0.00101836299367253</v>
      </c>
      <c r="C215" s="21" t="n">
        <f aca="false">IF(B215="","",A215/$B$6)</f>
        <v>0.179</v>
      </c>
      <c r="D215" s="21" t="n">
        <f aca="false">IF(B215="","",NORMDIST(B215,$B$15,$B$16,TRUE()))</f>
        <v>0.214586846398928</v>
      </c>
      <c r="E215" s="21" t="n">
        <f aca="false">IF(B215="","",IF(B215&gt;=$B$15,1-TDIST((B215-$B$15)/$B$18,$B$17,1),TDIST(($B$15-B215)/$B$18,$B$17,1)))</f>
        <v>0.190346064273336</v>
      </c>
      <c r="F215" s="21" t="n">
        <f aca="false">IF(B215="","",IF(B215&lt;$B$19,0.5*EXP((B215-$B$19)/$B$20),1-0.5*EXP(-(B215-$B$19)/$B$20)))</f>
        <v>0.165208509406302</v>
      </c>
      <c r="G215" s="21" t="n">
        <f aca="false">IF(B215="","",1/(1+EXP(-(B215-$B$15)/$B$21)))</f>
        <v>0.192475978739631</v>
      </c>
      <c r="H215" s="21" t="n">
        <f aca="false">IF(B215="","",MAX(ABS($A215/$B$6-D215),ABS(($A215-1)/$B$6-D215)))</f>
        <v>0.0365868463989275</v>
      </c>
      <c r="I215" s="21" t="n">
        <f aca="false">IF(B215="","",MAX(ABS($A215/$B$6-E215),ABS(($A215-1)/$B$6-E215)))</f>
        <v>0.0123460642733361</v>
      </c>
      <c r="J215" s="21" t="n">
        <f aca="false">IF(B215="","",MAX(ABS($A215/$B$6-F215),ABS(($A215-1)/$B$6-F215)))</f>
        <v>0.0137914905936975</v>
      </c>
      <c r="K215" s="21" t="n">
        <f aca="false">IF(B215="","",MAX(ABS($A215/$B$6-G215),ABS(($A215-1)/$B$6-G215)))</f>
        <v>0.0144759787396306</v>
      </c>
    </row>
    <row r="216" customFormat="false" ht="15" hidden="false" customHeight="false" outlineLevel="0" collapsed="false">
      <c r="A216" s="11" t="n">
        <v>180</v>
      </c>
      <c r="B216" s="9" t="n">
        <f aca="false">IF(A216&gt;$B$6,"",SMALL(BTC_Data!$C$3:$C$1002,A216))</f>
        <v>-0.00101019053904872</v>
      </c>
      <c r="C216" s="21" t="n">
        <f aca="false">IF(B216="","",A216/$B$6)</f>
        <v>0.18</v>
      </c>
      <c r="D216" s="21" t="n">
        <f aca="false">IF(B216="","",NORMDIST(B216,$B$15,$B$16,TRUE()))</f>
        <v>0.21646494995914</v>
      </c>
      <c r="E216" s="21" t="n">
        <f aca="false">IF(B216="","",IF(B216&gt;=$B$15,1-TDIST((B216-$B$15)/$B$18,$B$17,1),TDIST(($B$15-B216)/$B$18,$B$17,1)))</f>
        <v>0.192177921152722</v>
      </c>
      <c r="F216" s="21" t="n">
        <f aca="false">IF(B216="","",IF(B216&lt;$B$19,0.5*EXP((B216-$B$19)/$B$20),1-0.5*EXP(-(B216-$B$19)/$B$20)))</f>
        <v>0.166697004609812</v>
      </c>
      <c r="G216" s="21" t="n">
        <f aca="false">IF(B216="","",1/(1+EXP(-(B216-$B$15)/$B$21)))</f>
        <v>0.19429197001238</v>
      </c>
      <c r="H216" s="21" t="n">
        <f aca="false">IF(B216="","",MAX(ABS($A216/$B$6-D216),ABS(($A216-1)/$B$6-D216)))</f>
        <v>0.0374649499591396</v>
      </c>
      <c r="I216" s="21" t="n">
        <f aca="false">IF(B216="","",MAX(ABS($A216/$B$6-E216),ABS(($A216-1)/$B$6-E216)))</f>
        <v>0.0131779211527224</v>
      </c>
      <c r="J216" s="21" t="n">
        <f aca="false">IF(B216="","",MAX(ABS($A216/$B$6-F216),ABS(($A216-1)/$B$6-F216)))</f>
        <v>0.0133029953901879</v>
      </c>
      <c r="K216" s="21" t="n">
        <f aca="false">IF(B216="","",MAX(ABS($A216/$B$6-G216),ABS(($A216-1)/$B$6-G216)))</f>
        <v>0.0152919700123795</v>
      </c>
    </row>
    <row r="217" customFormat="false" ht="15" hidden="false" customHeight="false" outlineLevel="0" collapsed="false">
      <c r="A217" s="11" t="n">
        <v>181</v>
      </c>
      <c r="B217" s="9" t="n">
        <f aca="false">IF(A217&gt;$B$6,"",SMALL(BTC_Data!$C$3:$C$1002,A217))</f>
        <v>-0.00100948440929405</v>
      </c>
      <c r="C217" s="21" t="n">
        <f aca="false">IF(B217="","",A217/$B$6)</f>
        <v>0.181</v>
      </c>
      <c r="D217" s="21" t="n">
        <f aca="false">IF(B217="","",NORMDIST(B217,$B$15,$B$16,TRUE()))</f>
        <v>0.216627670153368</v>
      </c>
      <c r="E217" s="21" t="n">
        <f aca="false">IF(B217="","",IF(B217&gt;=$B$15,1-TDIST((B217-$B$15)/$B$18,$B$17,1),TDIST(($B$15-B217)/$B$18,$B$17,1)))</f>
        <v>0.192336818883267</v>
      </c>
      <c r="F217" s="21" t="n">
        <f aca="false">IF(B217="","",IF(B217&lt;$B$19,0.5*EXP((B217-$B$19)/$B$20),1-0.5*EXP(-(B217-$B$19)/$B$20)))</f>
        <v>0.166826243722596</v>
      </c>
      <c r="G217" s="21" t="n">
        <f aca="false">IF(B217="","",1/(1+EXP(-(B217-$B$15)/$B$21)))</f>
        <v>0.194449486896945</v>
      </c>
      <c r="H217" s="21" t="n">
        <f aca="false">IF(B217="","",MAX(ABS($A217/$B$6-D217),ABS(($A217-1)/$B$6-D217)))</f>
        <v>0.0366276701533677</v>
      </c>
      <c r="I217" s="21" t="n">
        <f aca="false">IF(B217="","",MAX(ABS($A217/$B$6-E217),ABS(($A217-1)/$B$6-E217)))</f>
        <v>0.0123368188832673</v>
      </c>
      <c r="J217" s="21" t="n">
        <f aca="false">IF(B217="","",MAX(ABS($A217/$B$6-F217),ABS(($A217-1)/$B$6-F217)))</f>
        <v>0.0141737562774042</v>
      </c>
      <c r="K217" s="21" t="n">
        <f aca="false">IF(B217="","",MAX(ABS($A217/$B$6-G217),ABS(($A217-1)/$B$6-G217)))</f>
        <v>0.014449486896945</v>
      </c>
    </row>
    <row r="218" customFormat="false" ht="15" hidden="false" customHeight="false" outlineLevel="0" collapsed="false">
      <c r="A218" s="11" t="n">
        <v>182</v>
      </c>
      <c r="B218" s="9" t="n">
        <f aca="false">IF(A218&gt;$B$6,"",SMALL(BTC_Data!$C$3:$C$1002,A218))</f>
        <v>-0.00100559188964222</v>
      </c>
      <c r="C218" s="21" t="n">
        <f aca="false">IF(B218="","",A218/$B$6)</f>
        <v>0.182</v>
      </c>
      <c r="D218" s="21" t="n">
        <f aca="false">IF(B218="","",NORMDIST(B218,$B$15,$B$16,TRUE()))</f>
        <v>0.217525929594409</v>
      </c>
      <c r="E218" s="21" t="n">
        <f aca="false">IF(B218="","",IF(B218&gt;=$B$15,1-TDIST((B218-$B$15)/$B$18,$B$17,1),TDIST(($B$15-B218)/$B$18,$B$17,1)))</f>
        <v>0.193214505048559</v>
      </c>
      <c r="F218" s="21" t="n">
        <f aca="false">IF(B218="","",IF(B218&lt;$B$19,0.5*EXP((B218-$B$19)/$B$20),1-0.5*EXP(-(B218-$B$19)/$B$20)))</f>
        <v>0.167540471205372</v>
      </c>
      <c r="G218" s="21" t="n">
        <f aca="false">IF(B218="","",1/(1+EXP(-(B218-$B$15)/$B$21)))</f>
        <v>0.195319532967182</v>
      </c>
      <c r="H218" s="21" t="n">
        <f aca="false">IF(B218="","",MAX(ABS($A218/$B$6-D218),ABS(($A218-1)/$B$6-D218)))</f>
        <v>0.0365259295944088</v>
      </c>
      <c r="I218" s="21" t="n">
        <f aca="false">IF(B218="","",MAX(ABS($A218/$B$6-E218),ABS(($A218-1)/$B$6-E218)))</f>
        <v>0.0122145050485588</v>
      </c>
      <c r="J218" s="21" t="n">
        <f aca="false">IF(B218="","",MAX(ABS($A218/$B$6-F218),ABS(($A218-1)/$B$6-F218)))</f>
        <v>0.0144595287946275</v>
      </c>
      <c r="K218" s="21" t="n">
        <f aca="false">IF(B218="","",MAX(ABS($A218/$B$6-G218),ABS(($A218-1)/$B$6-G218)))</f>
        <v>0.0143195329671816</v>
      </c>
    </row>
    <row r="219" customFormat="false" ht="15" hidden="false" customHeight="false" outlineLevel="0" collapsed="false">
      <c r="A219" s="11" t="n">
        <v>183</v>
      </c>
      <c r="B219" s="9" t="n">
        <f aca="false">IF(A219&gt;$B$6,"",SMALL(BTC_Data!$C$3:$C$1002,A219))</f>
        <v>-0.00100463516218618</v>
      </c>
      <c r="C219" s="21" t="n">
        <f aca="false">IF(B219="","",A219/$B$6)</f>
        <v>0.183</v>
      </c>
      <c r="D219" s="21" t="n">
        <f aca="false">IF(B219="","",NORMDIST(B219,$B$15,$B$16,TRUE()))</f>
        <v>0.217747038026227</v>
      </c>
      <c r="E219" s="21" t="n">
        <f aca="false">IF(B219="","",IF(B219&gt;=$B$15,1-TDIST((B219-$B$15)/$B$18,$B$17,1),TDIST(($B$15-B219)/$B$18,$B$17,1)))</f>
        <v>0.193430686225042</v>
      </c>
      <c r="F219" s="21" t="n">
        <f aca="false">IF(B219="","",IF(B219&lt;$B$19,0.5*EXP((B219-$B$19)/$B$20),1-0.5*EXP(-(B219-$B$19)/$B$20)))</f>
        <v>0.167716486076674</v>
      </c>
      <c r="G219" s="21" t="n">
        <f aca="false">IF(B219="","",1/(1+EXP(-(B219-$B$15)/$B$21)))</f>
        <v>0.195533829036944</v>
      </c>
      <c r="H219" s="21" t="n">
        <f aca="false">IF(B219="","",MAX(ABS($A219/$B$6-D219),ABS(($A219-1)/$B$6-D219)))</f>
        <v>0.0357470380262266</v>
      </c>
      <c r="I219" s="21" t="n">
        <f aca="false">IF(B219="","",MAX(ABS($A219/$B$6-E219),ABS(($A219-1)/$B$6-E219)))</f>
        <v>0.0114306862250416</v>
      </c>
      <c r="J219" s="21" t="n">
        <f aca="false">IF(B219="","",MAX(ABS($A219/$B$6-F219),ABS(($A219-1)/$B$6-F219)))</f>
        <v>0.0152835139233258</v>
      </c>
      <c r="K219" s="21" t="n">
        <f aca="false">IF(B219="","",MAX(ABS($A219/$B$6-G219),ABS(($A219-1)/$B$6-G219)))</f>
        <v>0.0135338290369436</v>
      </c>
    </row>
    <row r="220" customFormat="false" ht="15" hidden="false" customHeight="false" outlineLevel="0" collapsed="false">
      <c r="A220" s="11" t="n">
        <v>184</v>
      </c>
      <c r="B220" s="9" t="n">
        <f aca="false">IF(A220&gt;$B$6,"",SMALL(BTC_Data!$C$3:$C$1002,A220))</f>
        <v>-0.000999944417252929</v>
      </c>
      <c r="C220" s="21" t="n">
        <f aca="false">IF(B220="","",A220/$B$6)</f>
        <v>0.184</v>
      </c>
      <c r="D220" s="21" t="n">
        <f aca="false">IF(B220="","",NORMDIST(B220,$B$15,$B$16,TRUE()))</f>
        <v>0.218832986394771</v>
      </c>
      <c r="E220" s="21" t="n">
        <f aca="false">IF(B220="","",IF(B220&gt;=$B$15,1-TDIST((B220-$B$15)/$B$18,$B$17,1),TDIST(($B$15-B220)/$B$18,$B$17,1)))</f>
        <v>0.194493218489845</v>
      </c>
      <c r="F220" s="21" t="n">
        <f aca="false">IF(B220="","",IF(B220&lt;$B$19,0.5*EXP((B220-$B$19)/$B$20),1-0.5*EXP(-(B220-$B$19)/$B$20)))</f>
        <v>0.16858215002398</v>
      </c>
      <c r="G220" s="21" t="n">
        <f aca="false">IF(B220="","",1/(1+EXP(-(B220-$B$15)/$B$21)))</f>
        <v>0.196587077617755</v>
      </c>
      <c r="H220" s="21" t="n">
        <f aca="false">IF(B220="","",MAX(ABS($A220/$B$6-D220),ABS(($A220-1)/$B$6-D220)))</f>
        <v>0.0358329863947707</v>
      </c>
      <c r="I220" s="21" t="n">
        <f aca="false">IF(B220="","",MAX(ABS($A220/$B$6-E220),ABS(($A220-1)/$B$6-E220)))</f>
        <v>0.0114932184898452</v>
      </c>
      <c r="J220" s="21" t="n">
        <f aca="false">IF(B220="","",MAX(ABS($A220/$B$6-F220),ABS(($A220-1)/$B$6-F220)))</f>
        <v>0.0154178499760199</v>
      </c>
      <c r="K220" s="21" t="n">
        <f aca="false">IF(B220="","",MAX(ABS($A220/$B$6-G220),ABS(($A220-1)/$B$6-G220)))</f>
        <v>0.0135870776177545</v>
      </c>
    </row>
    <row r="221" customFormat="false" ht="15" hidden="false" customHeight="false" outlineLevel="0" collapsed="false">
      <c r="A221" s="11" t="n">
        <v>185</v>
      </c>
      <c r="B221" s="9" t="n">
        <f aca="false">IF(A221&gt;$B$6,"",SMALL(BTC_Data!$C$3:$C$1002,A221))</f>
        <v>-0.000996099461972655</v>
      </c>
      <c r="C221" s="21" t="n">
        <f aca="false">IF(B221="","",A221/$B$6)</f>
        <v>0.185</v>
      </c>
      <c r="D221" s="21" t="n">
        <f aca="false">IF(B221="","",NORMDIST(B221,$B$15,$B$16,TRUE()))</f>
        <v>0.219725446426671</v>
      </c>
      <c r="E221" s="21" t="n">
        <f aca="false">IF(B221="","",IF(B221&gt;=$B$15,1-TDIST((B221-$B$15)/$B$18,$B$17,1),TDIST(($B$15-B221)/$B$18,$B$17,1)))</f>
        <v>0.19536740730113</v>
      </c>
      <c r="F221" s="21" t="n">
        <f aca="false">IF(B221="","",IF(B221&lt;$B$19,0.5*EXP((B221-$B$19)/$B$20),1-0.5*EXP(-(B221-$B$19)/$B$20)))</f>
        <v>0.169295057074578</v>
      </c>
      <c r="G221" s="21" t="n">
        <f aca="false">IF(B221="","",1/(1+EXP(-(B221-$B$15)/$B$21)))</f>
        <v>0.197453606126515</v>
      </c>
      <c r="H221" s="21" t="n">
        <f aca="false">IF(B221="","",MAX(ABS($A221/$B$6-D221),ABS(($A221-1)/$B$6-D221)))</f>
        <v>0.0357254464266712</v>
      </c>
      <c r="I221" s="21" t="n">
        <f aca="false">IF(B221="","",MAX(ABS($A221/$B$6-E221),ABS(($A221-1)/$B$6-E221)))</f>
        <v>0.01136740730113</v>
      </c>
      <c r="J221" s="21" t="n">
        <f aca="false">IF(B221="","",MAX(ABS($A221/$B$6-F221),ABS(($A221-1)/$B$6-F221)))</f>
        <v>0.0157049429254223</v>
      </c>
      <c r="K221" s="21" t="n">
        <f aca="false">IF(B221="","",MAX(ABS($A221/$B$6-G221),ABS(($A221-1)/$B$6-G221)))</f>
        <v>0.0134536061265146</v>
      </c>
    </row>
    <row r="222" customFormat="false" ht="15" hidden="false" customHeight="false" outlineLevel="0" collapsed="false">
      <c r="A222" s="11" t="n">
        <v>186</v>
      </c>
      <c r="B222" s="9" t="n">
        <f aca="false">IF(A222&gt;$B$6,"",SMALL(BTC_Data!$C$3:$C$1002,A222))</f>
        <v>-0.000995142180612252</v>
      </c>
      <c r="C222" s="21" t="n">
        <f aca="false">IF(B222="","",A222/$B$6)</f>
        <v>0.186</v>
      </c>
      <c r="D222" s="21" t="n">
        <f aca="false">IF(B222="","",NORMDIST(B222,$B$15,$B$16,TRUE()))</f>
        <v>0.219947967322352</v>
      </c>
      <c r="E222" s="21" t="n">
        <f aca="false">IF(B222="","",IF(B222&gt;=$B$15,1-TDIST((B222-$B$15)/$B$18,$B$17,1),TDIST(($B$15-B222)/$B$18,$B$17,1)))</f>
        <v>0.195585508966716</v>
      </c>
      <c r="F222" s="21" t="n">
        <f aca="false">IF(B222="","",IF(B222&lt;$B$19,0.5*EXP((B222-$B$19)/$B$20),1-0.5*EXP(-(B222-$B$19)/$B$20)))</f>
        <v>0.169473018307242</v>
      </c>
      <c r="G222" s="21" t="n">
        <f aca="false">IF(B222="","",1/(1+EXP(-(B222-$B$15)/$B$21)))</f>
        <v>0.197669793583097</v>
      </c>
      <c r="H222" s="21" t="n">
        <f aca="false">IF(B222="","",MAX(ABS($A222/$B$6-D222),ABS(($A222-1)/$B$6-D222)))</f>
        <v>0.0349479673223516</v>
      </c>
      <c r="I222" s="21" t="n">
        <f aca="false">IF(B222="","",MAX(ABS($A222/$B$6-E222),ABS(($A222-1)/$B$6-E222)))</f>
        <v>0.0105855089667162</v>
      </c>
      <c r="J222" s="21" t="n">
        <f aca="false">IF(B222="","",MAX(ABS($A222/$B$6-F222),ABS(($A222-1)/$B$6-F222)))</f>
        <v>0.0165269816927578</v>
      </c>
      <c r="K222" s="21" t="n">
        <f aca="false">IF(B222="","",MAX(ABS($A222/$B$6-G222),ABS(($A222-1)/$B$6-G222)))</f>
        <v>0.0126697935830974</v>
      </c>
    </row>
    <row r="223" customFormat="false" ht="15" hidden="false" customHeight="false" outlineLevel="0" collapsed="false">
      <c r="A223" s="11" t="n">
        <v>187</v>
      </c>
      <c r="B223" s="9" t="n">
        <f aca="false">IF(A223&gt;$B$6,"",SMALL(BTC_Data!$C$3:$C$1002,A223))</f>
        <v>-0.000994907568254155</v>
      </c>
      <c r="C223" s="21" t="n">
        <f aca="false">IF(B223="","",A223/$B$6)</f>
        <v>0.187</v>
      </c>
      <c r="D223" s="21" t="n">
        <f aca="false">IF(B223="","",NORMDIST(B223,$B$15,$B$16,TRUE()))</f>
        <v>0.220002522894604</v>
      </c>
      <c r="E223" s="21" t="n">
        <f aca="false">IF(B223="","",IF(B223&gt;=$B$15,1-TDIST((B223-$B$15)/$B$18,$B$17,1),TDIST(($B$15-B223)/$B$18,$B$17,1)))</f>
        <v>0.195638989375933</v>
      </c>
      <c r="F223" s="21" t="n">
        <f aca="false">IF(B223="","",IF(B223&lt;$B$19,0.5*EXP((B223-$B$19)/$B$20),1-0.5*EXP(-(B223-$B$19)/$B$20)))</f>
        <v>0.169516661923172</v>
      </c>
      <c r="G223" s="21" t="n">
        <f aca="false">IF(B223="","",1/(1+EXP(-(B223-$B$15)/$B$21)))</f>
        <v>0.197722804429501</v>
      </c>
      <c r="H223" s="21" t="n">
        <f aca="false">IF(B223="","",MAX(ABS($A223/$B$6-D223),ABS(($A223-1)/$B$6-D223)))</f>
        <v>0.0340025228946038</v>
      </c>
      <c r="I223" s="21" t="n">
        <f aca="false">IF(B223="","",MAX(ABS($A223/$B$6-E223),ABS(($A223-1)/$B$6-E223)))</f>
        <v>0.00963898937593288</v>
      </c>
      <c r="J223" s="21" t="n">
        <f aca="false">IF(B223="","",MAX(ABS($A223/$B$6-F223),ABS(($A223-1)/$B$6-F223)))</f>
        <v>0.0174833380768279</v>
      </c>
      <c r="K223" s="21" t="n">
        <f aca="false">IF(B223="","",MAX(ABS($A223/$B$6-G223),ABS(($A223-1)/$B$6-G223)))</f>
        <v>0.0117228044295013</v>
      </c>
    </row>
    <row r="224" customFormat="false" ht="15" hidden="false" customHeight="false" outlineLevel="0" collapsed="false">
      <c r="A224" s="11" t="n">
        <v>188</v>
      </c>
      <c r="B224" s="9" t="n">
        <f aca="false">IF(A224&gt;$B$6,"",SMALL(BTC_Data!$C$3:$C$1002,A224))</f>
        <v>-0.000992861968805658</v>
      </c>
      <c r="C224" s="21" t="n">
        <f aca="false">IF(B224="","",A224/$B$6)</f>
        <v>0.188</v>
      </c>
      <c r="D224" s="21" t="n">
        <f aca="false">IF(B224="","",NORMDIST(B224,$B$15,$B$16,TRUE()))</f>
        <v>0.220478525094578</v>
      </c>
      <c r="E224" s="21" t="n">
        <f aca="false">IF(B224="","",IF(B224&gt;=$B$15,1-TDIST((B224-$B$15)/$B$18,$B$17,1),TDIST(($B$15-B224)/$B$18,$B$17,1)))</f>
        <v>0.196105749291293</v>
      </c>
      <c r="F224" s="21" t="n">
        <f aca="false">IF(B224="","",IF(B224&lt;$B$19,0.5*EXP((B224-$B$19)/$B$20),1-0.5*EXP(-(B224-$B$19)/$B$20)))</f>
        <v>0.169897669802991</v>
      </c>
      <c r="G224" s="21" t="n">
        <f aca="false">IF(B224="","",1/(1+EXP(-(B224-$B$15)/$B$21)))</f>
        <v>0.198185463134999</v>
      </c>
      <c r="H224" s="21" t="n">
        <f aca="false">IF(B224="","",MAX(ABS($A224/$B$6-D224),ABS(($A224-1)/$B$6-D224)))</f>
        <v>0.0334785250945784</v>
      </c>
      <c r="I224" s="21" t="n">
        <f aca="false">IF(B224="","",MAX(ABS($A224/$B$6-E224),ABS(($A224-1)/$B$6-E224)))</f>
        <v>0.00910574929129349</v>
      </c>
      <c r="J224" s="21" t="n">
        <f aca="false">IF(B224="","",MAX(ABS($A224/$B$6-F224),ABS(($A224-1)/$B$6-F224)))</f>
        <v>0.018102330197009</v>
      </c>
      <c r="K224" s="21" t="n">
        <f aca="false">IF(B224="","",MAX(ABS($A224/$B$6-G224),ABS(($A224-1)/$B$6-G224)))</f>
        <v>0.0111854631349994</v>
      </c>
    </row>
    <row r="225" customFormat="false" ht="15" hidden="false" customHeight="false" outlineLevel="0" collapsed="false">
      <c r="A225" s="11" t="n">
        <v>189</v>
      </c>
      <c r="B225" s="9" t="n">
        <f aca="false">IF(A225&gt;$B$6,"",SMALL(BTC_Data!$C$3:$C$1002,A225))</f>
        <v>-0.000987103687290269</v>
      </c>
      <c r="C225" s="21" t="n">
        <f aca="false">IF(B225="","",A225/$B$6)</f>
        <v>0.189</v>
      </c>
      <c r="D225" s="21" t="n">
        <f aca="false">IF(B225="","",NORMDIST(B225,$B$15,$B$16,TRUE()))</f>
        <v>0.221821616996974</v>
      </c>
      <c r="E225" s="21" t="n">
        <f aca="false">IF(B225="","",IF(B225&gt;=$B$15,1-TDIST((B225-$B$15)/$B$18,$B$17,1),TDIST(($B$15-B225)/$B$18,$B$17,1)))</f>
        <v>0.197424101701889</v>
      </c>
      <c r="F225" s="21" t="n">
        <f aca="false">IF(B225="","",IF(B225&lt;$B$19,0.5*EXP((B225-$B$19)/$B$20),1-0.5*EXP(-(B225-$B$19)/$B$20)))</f>
        <v>0.170974796365912</v>
      </c>
      <c r="G225" s="21" t="n">
        <f aca="false">IF(B225="","",1/(1+EXP(-(B225-$B$15)/$B$21)))</f>
        <v>0.199492203297901</v>
      </c>
      <c r="H225" s="21" t="n">
        <f aca="false">IF(B225="","",MAX(ABS($A225/$B$6-D225),ABS(($A225-1)/$B$6-D225)))</f>
        <v>0.0338216169969735</v>
      </c>
      <c r="I225" s="21" t="n">
        <f aca="false">IF(B225="","",MAX(ABS($A225/$B$6-E225),ABS(($A225-1)/$B$6-E225)))</f>
        <v>0.00942410170188929</v>
      </c>
      <c r="J225" s="21" t="n">
        <f aca="false">IF(B225="","",MAX(ABS($A225/$B$6-F225),ABS(($A225-1)/$B$6-F225)))</f>
        <v>0.0180252036340884</v>
      </c>
      <c r="K225" s="21" t="n">
        <f aca="false">IF(B225="","",MAX(ABS($A225/$B$6-G225),ABS(($A225-1)/$B$6-G225)))</f>
        <v>0.0114922032979011</v>
      </c>
    </row>
    <row r="226" customFormat="false" ht="15" hidden="false" customHeight="false" outlineLevel="0" collapsed="false">
      <c r="A226" s="11" t="n">
        <v>190</v>
      </c>
      <c r="B226" s="9" t="n">
        <f aca="false">IF(A226&gt;$B$6,"",SMALL(BTC_Data!$C$3:$C$1002,A226))</f>
        <v>-0.00096779163906513</v>
      </c>
      <c r="C226" s="21" t="n">
        <f aca="false">IF(B226="","",A226/$B$6)</f>
        <v>0.19</v>
      </c>
      <c r="D226" s="21" t="n">
        <f aca="false">IF(B226="","",NORMDIST(B226,$B$15,$B$16,TRUE()))</f>
        <v>0.226360025261167</v>
      </c>
      <c r="E226" s="21" t="n">
        <f aca="false">IF(B226="","",IF(B226&gt;=$B$15,1-TDIST((B226-$B$15)/$B$18,$B$17,1),TDIST(($B$15-B226)/$B$18,$B$17,1)))</f>
        <v>0.201893451602151</v>
      </c>
      <c r="F226" s="21" t="n">
        <f aca="false">IF(B226="","",IF(B226&lt;$B$19,0.5*EXP((B226-$B$19)/$B$20),1-0.5*EXP(-(B226-$B$19)/$B$20)))</f>
        <v>0.174637353824098</v>
      </c>
      <c r="G226" s="21" t="n">
        <f aca="false">IF(B226="","",1/(1+EXP(-(B226-$B$15)/$B$21)))</f>
        <v>0.203921900843245</v>
      </c>
      <c r="H226" s="21" t="n">
        <f aca="false">IF(B226="","",MAX(ABS($A226/$B$6-D226),ABS(($A226-1)/$B$6-D226)))</f>
        <v>0.0373600252611673</v>
      </c>
      <c r="I226" s="21" t="n">
        <f aca="false">IF(B226="","",MAX(ABS($A226/$B$6-E226),ABS(($A226-1)/$B$6-E226)))</f>
        <v>0.012893451602151</v>
      </c>
      <c r="J226" s="21" t="n">
        <f aca="false">IF(B226="","",MAX(ABS($A226/$B$6-F226),ABS(($A226-1)/$B$6-F226)))</f>
        <v>0.0153626461759025</v>
      </c>
      <c r="K226" s="21" t="n">
        <f aca="false">IF(B226="","",MAX(ABS($A226/$B$6-G226),ABS(($A226-1)/$B$6-G226)))</f>
        <v>0.0149219008432452</v>
      </c>
    </row>
    <row r="227" customFormat="false" ht="15" hidden="false" customHeight="false" outlineLevel="0" collapsed="false">
      <c r="A227" s="11" t="n">
        <v>191</v>
      </c>
      <c r="B227" s="9" t="n">
        <f aca="false">IF(A227&gt;$B$6,"",SMALL(BTC_Data!$C$3:$C$1002,A227))</f>
        <v>-0.000964117590738889</v>
      </c>
      <c r="C227" s="21" t="n">
        <f aca="false">IF(B227="","",A227/$B$6)</f>
        <v>0.191</v>
      </c>
      <c r="D227" s="21" t="n">
        <f aca="false">IF(B227="","",NORMDIST(B227,$B$15,$B$16,TRUE()))</f>
        <v>0.227229340813287</v>
      </c>
      <c r="E227" s="21" t="n">
        <f aca="false">IF(B227="","",IF(B227&gt;=$B$15,1-TDIST((B227-$B$15)/$B$18,$B$17,1),TDIST(($B$15-B227)/$B$18,$B$17,1)))</f>
        <v>0.202752083409101</v>
      </c>
      <c r="F227" s="21" t="n">
        <f aca="false">IF(B227="","",IF(B227&lt;$B$19,0.5*EXP((B227-$B$19)/$B$20),1-0.5*EXP(-(B227-$B$19)/$B$20)))</f>
        <v>0.175342974464296</v>
      </c>
      <c r="G227" s="21" t="n">
        <f aca="false">IF(B227="","",1/(1+EXP(-(B227-$B$15)/$B$21)))</f>
        <v>0.204772869289739</v>
      </c>
      <c r="H227" s="21" t="n">
        <f aca="false">IF(B227="","",MAX(ABS($A227/$B$6-D227),ABS(($A227-1)/$B$6-D227)))</f>
        <v>0.0372293408132869</v>
      </c>
      <c r="I227" s="21" t="n">
        <f aca="false">IF(B227="","",MAX(ABS($A227/$B$6-E227),ABS(($A227-1)/$B$6-E227)))</f>
        <v>0.0127520834091008</v>
      </c>
      <c r="J227" s="21" t="n">
        <f aca="false">IF(B227="","",MAX(ABS($A227/$B$6-F227),ABS(($A227-1)/$B$6-F227)))</f>
        <v>0.015657025535704</v>
      </c>
      <c r="K227" s="21" t="n">
        <f aca="false">IF(B227="","",MAX(ABS($A227/$B$6-G227),ABS(($A227-1)/$B$6-G227)))</f>
        <v>0.0147728692897393</v>
      </c>
    </row>
    <row r="228" customFormat="false" ht="15" hidden="false" customHeight="false" outlineLevel="0" collapsed="false">
      <c r="A228" s="11" t="n">
        <v>192</v>
      </c>
      <c r="B228" s="9" t="n">
        <f aca="false">IF(A228&gt;$B$6,"",SMALL(BTC_Data!$C$3:$C$1002,A228))</f>
        <v>-0.000955478936995879</v>
      </c>
      <c r="C228" s="21" t="n">
        <f aca="false">IF(B228="","",A228/$B$6)</f>
        <v>0.192</v>
      </c>
      <c r="D228" s="21" t="n">
        <f aca="false">IF(B228="","",NORMDIST(B228,$B$15,$B$16,TRUE()))</f>
        <v>0.229280725062952</v>
      </c>
      <c r="E228" s="21" t="n">
        <f aca="false">IF(B228="","",IF(B228&gt;=$B$15,1-TDIST((B228-$B$15)/$B$18,$B$17,1),TDIST(($B$15-B228)/$B$18,$B$17,1)))</f>
        <v>0.204781475855296</v>
      </c>
      <c r="F228" s="21" t="n">
        <f aca="false">IF(B228="","",IF(B228&lt;$B$19,0.5*EXP((B228-$B$19)/$B$20),1-0.5*EXP(-(B228-$B$19)/$B$20)))</f>
        <v>0.177013327314294</v>
      </c>
      <c r="G228" s="21" t="n">
        <f aca="false">IF(B228="","",1/(1+EXP(-(B228-$B$15)/$B$21)))</f>
        <v>0.206784097747272</v>
      </c>
      <c r="H228" s="21" t="n">
        <f aca="false">IF(B228="","",MAX(ABS($A228/$B$6-D228),ABS(($A228-1)/$B$6-D228)))</f>
        <v>0.0382807250629524</v>
      </c>
      <c r="I228" s="21" t="n">
        <f aca="false">IF(B228="","",MAX(ABS($A228/$B$6-E228),ABS(($A228-1)/$B$6-E228)))</f>
        <v>0.0137814758552962</v>
      </c>
      <c r="J228" s="21" t="n">
        <f aca="false">IF(B228="","",MAX(ABS($A228/$B$6-F228),ABS(($A228-1)/$B$6-F228)))</f>
        <v>0.014986672685706</v>
      </c>
      <c r="K228" s="21" t="n">
        <f aca="false">IF(B228="","",MAX(ABS($A228/$B$6-G228),ABS(($A228-1)/$B$6-G228)))</f>
        <v>0.0157840977472716</v>
      </c>
    </row>
    <row r="229" customFormat="false" ht="15" hidden="false" customHeight="false" outlineLevel="0" collapsed="false">
      <c r="A229" s="11" t="n">
        <v>193</v>
      </c>
      <c r="B229" s="9" t="n">
        <f aca="false">IF(A229&gt;$B$6,"",SMALL(BTC_Data!$C$3:$C$1002,A229))</f>
        <v>-0.000955219351931436</v>
      </c>
      <c r="C229" s="21" t="n">
        <f aca="false">IF(B229="","",A229/$B$6)</f>
        <v>0.193</v>
      </c>
      <c r="D229" s="21" t="n">
        <f aca="false">IF(B229="","",NORMDIST(B229,$B$15,$B$16,TRUE()))</f>
        <v>0.229342527892682</v>
      </c>
      <c r="E229" s="21" t="n">
        <f aca="false">IF(B229="","",IF(B229&gt;=$B$15,1-TDIST((B229-$B$15)/$B$18,$B$17,1),TDIST(($B$15-B229)/$B$18,$B$17,1)))</f>
        <v>0.204842686101662</v>
      </c>
      <c r="F229" s="21" t="n">
        <f aca="false">IF(B229="","",IF(B229&lt;$B$19,0.5*EXP((B229-$B$19)/$B$20),1-0.5*EXP(-(B229-$B$19)/$B$20)))</f>
        <v>0.177063765667077</v>
      </c>
      <c r="G229" s="21" t="n">
        <f aca="false">IF(B229="","",1/(1+EXP(-(B229-$B$15)/$B$21)))</f>
        <v>0.206844759067708</v>
      </c>
      <c r="H229" s="21" t="n">
        <f aca="false">IF(B229="","",MAX(ABS($A229/$B$6-D229),ABS(($A229-1)/$B$6-D229)))</f>
        <v>0.0373425278926819</v>
      </c>
      <c r="I229" s="21" t="n">
        <f aca="false">IF(B229="","",MAX(ABS($A229/$B$6-E229),ABS(($A229-1)/$B$6-E229)))</f>
        <v>0.0128426861016622</v>
      </c>
      <c r="J229" s="21" t="n">
        <f aca="false">IF(B229="","",MAX(ABS($A229/$B$6-F229),ABS(($A229-1)/$B$6-F229)))</f>
        <v>0.0159362343329226</v>
      </c>
      <c r="K229" s="21" t="n">
        <f aca="false">IF(B229="","",MAX(ABS($A229/$B$6-G229),ABS(($A229-1)/$B$6-G229)))</f>
        <v>0.014844759067708</v>
      </c>
    </row>
    <row r="230" customFormat="false" ht="15" hidden="false" customHeight="false" outlineLevel="0" collapsed="false">
      <c r="A230" s="11" t="n">
        <v>194</v>
      </c>
      <c r="B230" s="9" t="n">
        <f aca="false">IF(A230&gt;$B$6,"",SMALL(BTC_Data!$C$3:$C$1002,A230))</f>
        <v>-0.000954523902902627</v>
      </c>
      <c r="C230" s="21" t="n">
        <f aca="false">IF(B230="","",A230/$B$6)</f>
        <v>0.194</v>
      </c>
      <c r="D230" s="21" t="n">
        <f aca="false">IF(B230="","",NORMDIST(B230,$B$15,$B$16,TRUE()))</f>
        <v>0.229508148602803</v>
      </c>
      <c r="E230" s="21" t="n">
        <f aca="false">IF(B230="","",IF(B230&gt;=$B$15,1-TDIST((B230-$B$15)/$B$18,$B$17,1),TDIST(($B$15-B230)/$B$18,$B$17,1)))</f>
        <v>0.205006738928056</v>
      </c>
      <c r="F230" s="21" t="n">
        <f aca="false">IF(B230="","",IF(B230&lt;$B$19,0.5*EXP((B230-$B$19)/$B$20),1-0.5*EXP(-(B230-$B$19)/$B$20)))</f>
        <v>0.177198964865054</v>
      </c>
      <c r="G230" s="21" t="n">
        <f aca="false">IF(B230="","",1/(1+EXP(-(B230-$B$15)/$B$21)))</f>
        <v>0.207007340393322</v>
      </c>
      <c r="H230" s="21" t="n">
        <f aca="false">IF(B230="","",MAX(ABS($A230/$B$6-D230),ABS(($A230-1)/$B$6-D230)))</f>
        <v>0.0365081486028025</v>
      </c>
      <c r="I230" s="21" t="n">
        <f aca="false">IF(B230="","",MAX(ABS($A230/$B$6-E230),ABS(($A230-1)/$B$6-E230)))</f>
        <v>0.0120067389280558</v>
      </c>
      <c r="J230" s="21" t="n">
        <f aca="false">IF(B230="","",MAX(ABS($A230/$B$6-F230),ABS(($A230-1)/$B$6-F230)))</f>
        <v>0.0168010351349459</v>
      </c>
      <c r="K230" s="21" t="n">
        <f aca="false">IF(B230="","",MAX(ABS($A230/$B$6-G230),ABS(($A230-1)/$B$6-G230)))</f>
        <v>0.0140073403933217</v>
      </c>
    </row>
    <row r="231" customFormat="false" ht="15" hidden="false" customHeight="false" outlineLevel="0" collapsed="false">
      <c r="A231" s="11" t="n">
        <v>195</v>
      </c>
      <c r="B231" s="9" t="n">
        <f aca="false">IF(A231&gt;$B$6,"",SMALL(BTC_Data!$C$3:$C$1002,A231))</f>
        <v>-0.000946688832304865</v>
      </c>
      <c r="C231" s="21" t="n">
        <f aca="false">IF(B231="","",A231/$B$6)</f>
        <v>0.195</v>
      </c>
      <c r="D231" s="21" t="n">
        <f aca="false">IF(B231="","",NORMDIST(B231,$B$15,$B$16,TRUE()))</f>
        <v>0.23137868932899</v>
      </c>
      <c r="E231" s="21" t="n">
        <f aca="false">IF(B231="","",IF(B231&gt;=$B$15,1-TDIST((B231-$B$15)/$B$18,$B$17,1),TDIST(($B$15-B231)/$B$18,$B$17,1)))</f>
        <v>0.20686160364481</v>
      </c>
      <c r="F231" s="21" t="n">
        <f aca="false">IF(B231="","",IF(B231&lt;$B$19,0.5*EXP((B231-$B$19)/$B$20),1-0.5*EXP(-(B231-$B$19)/$B$20)))</f>
        <v>0.178729298342665</v>
      </c>
      <c r="G231" s="21" t="n">
        <f aca="false">IF(B231="","",1/(1+EXP(-(B231-$B$15)/$B$21)))</f>
        <v>0.208845538811364</v>
      </c>
      <c r="H231" s="21" t="n">
        <f aca="false">IF(B231="","",MAX(ABS($A231/$B$6-D231),ABS(($A231-1)/$B$6-D231)))</f>
        <v>0.0373786893289899</v>
      </c>
      <c r="I231" s="21" t="n">
        <f aca="false">IF(B231="","",MAX(ABS($A231/$B$6-E231),ABS(($A231-1)/$B$6-E231)))</f>
        <v>0.0128616036448098</v>
      </c>
      <c r="J231" s="21" t="n">
        <f aca="false">IF(B231="","",MAX(ABS($A231/$B$6-F231),ABS(($A231-1)/$B$6-F231)))</f>
        <v>0.016270701657335</v>
      </c>
      <c r="K231" s="21" t="n">
        <f aca="false">IF(B231="","",MAX(ABS($A231/$B$6-G231),ABS(($A231-1)/$B$6-G231)))</f>
        <v>0.0148455388113639</v>
      </c>
    </row>
    <row r="232" customFormat="false" ht="15" hidden="false" customHeight="false" outlineLevel="0" collapsed="false">
      <c r="A232" s="11" t="n">
        <v>196</v>
      </c>
      <c r="B232" s="9" t="n">
        <f aca="false">IF(A232&gt;$B$6,"",SMALL(BTC_Data!$C$3:$C$1002,A232))</f>
        <v>-0.000935774688649804</v>
      </c>
      <c r="C232" s="21" t="n">
        <f aca="false">IF(B232="","",A232/$B$6)</f>
        <v>0.196</v>
      </c>
      <c r="D232" s="21" t="n">
        <f aca="false">IF(B232="","",NORMDIST(B232,$B$15,$B$16,TRUE()))</f>
        <v>0.233998438573822</v>
      </c>
      <c r="E232" s="21" t="n">
        <f aca="false">IF(B232="","",IF(B232&gt;=$B$15,1-TDIST((B232-$B$15)/$B$18,$B$17,1),TDIST(($B$15-B232)/$B$18,$B$17,1)))</f>
        <v>0.209465644792129</v>
      </c>
      <c r="F232" s="21" t="n">
        <f aca="false">IF(B232="","",IF(B232&lt;$B$19,0.5*EXP((B232-$B$19)/$B$20),1-0.5*EXP(-(B232-$B$19)/$B$20)))</f>
        <v>0.180883083976436</v>
      </c>
      <c r="G232" s="21" t="n">
        <f aca="false">IF(B232="","",1/(1+EXP(-(B232-$B$15)/$B$21)))</f>
        <v>0.21142610084075</v>
      </c>
      <c r="H232" s="21" t="n">
        <f aca="false">IF(B232="","",MAX(ABS($A232/$B$6-D232),ABS(($A232-1)/$B$6-D232)))</f>
        <v>0.0389984385738222</v>
      </c>
      <c r="I232" s="21" t="n">
        <f aca="false">IF(B232="","",MAX(ABS($A232/$B$6-E232),ABS(($A232-1)/$B$6-E232)))</f>
        <v>0.014465644792129</v>
      </c>
      <c r="J232" s="21" t="n">
        <f aca="false">IF(B232="","",MAX(ABS($A232/$B$6-F232),ABS(($A232-1)/$B$6-F232)))</f>
        <v>0.0151169160235636</v>
      </c>
      <c r="K232" s="21" t="n">
        <f aca="false">IF(B232="","",MAX(ABS($A232/$B$6-G232),ABS(($A232-1)/$B$6-G232)))</f>
        <v>0.0164261008407501</v>
      </c>
    </row>
    <row r="233" customFormat="false" ht="15" hidden="false" customHeight="false" outlineLevel="0" collapsed="false">
      <c r="A233" s="11" t="n">
        <v>197</v>
      </c>
      <c r="B233" s="9" t="n">
        <f aca="false">IF(A233&gt;$B$6,"",SMALL(BTC_Data!$C$3:$C$1002,A233))</f>
        <v>-0.000932039164934451</v>
      </c>
      <c r="C233" s="21" t="n">
        <f aca="false">IF(B233="","",A233/$B$6)</f>
        <v>0.197</v>
      </c>
      <c r="D233" s="21" t="n">
        <f aca="false">IF(B233="","",NORMDIST(B233,$B$15,$B$16,TRUE()))</f>
        <v>0.23489884554641</v>
      </c>
      <c r="E233" s="21" t="n">
        <f aca="false">IF(B233="","",IF(B233&gt;=$B$15,1-TDIST((B233-$B$15)/$B$18,$B$17,1),TDIST(($B$15-B233)/$B$18,$B$17,1)))</f>
        <v>0.210362326952721</v>
      </c>
      <c r="F233" s="21" t="n">
        <f aca="false">IF(B233="","",IF(B233&lt;$B$19,0.5*EXP((B233-$B$19)/$B$20),1-0.5*EXP(-(B233-$B$19)/$B$20)))</f>
        <v>0.181626194449572</v>
      </c>
      <c r="G233" s="21" t="n">
        <f aca="false">IF(B233="","",1/(1+EXP(-(B233-$B$15)/$B$21)))</f>
        <v>0.212314678556402</v>
      </c>
      <c r="H233" s="21" t="n">
        <f aca="false">IF(B233="","",MAX(ABS($A233/$B$6-D233),ABS(($A233-1)/$B$6-D233)))</f>
        <v>0.0388988455464104</v>
      </c>
      <c r="I233" s="21" t="n">
        <f aca="false">IF(B233="","",MAX(ABS($A233/$B$6-E233),ABS(($A233-1)/$B$6-E233)))</f>
        <v>0.0143623269527214</v>
      </c>
      <c r="J233" s="21" t="n">
        <f aca="false">IF(B233="","",MAX(ABS($A233/$B$6-F233),ABS(($A233-1)/$B$6-F233)))</f>
        <v>0.0153738055504285</v>
      </c>
      <c r="K233" s="21" t="n">
        <f aca="false">IF(B233="","",MAX(ABS($A233/$B$6-G233),ABS(($A233-1)/$B$6-G233)))</f>
        <v>0.0163146785564024</v>
      </c>
    </row>
    <row r="234" customFormat="false" ht="15" hidden="false" customHeight="false" outlineLevel="0" collapsed="false">
      <c r="A234" s="11" t="n">
        <v>198</v>
      </c>
      <c r="B234" s="9" t="n">
        <f aca="false">IF(A234&gt;$B$6,"",SMALL(BTC_Data!$C$3:$C$1002,A234))</f>
        <v>-0.000927311243710927</v>
      </c>
      <c r="C234" s="21" t="n">
        <f aca="false">IF(B234="","",A234/$B$6)</f>
        <v>0.198</v>
      </c>
      <c r="D234" s="21" t="n">
        <f aca="false">IF(B234="","",NORMDIST(B234,$B$15,$B$16,TRUE()))</f>
        <v>0.23604119916737</v>
      </c>
      <c r="E234" s="21" t="n">
        <f aca="false">IF(B234="","",IF(B234&gt;=$B$15,1-TDIST((B234-$B$15)/$B$18,$B$17,1),TDIST(($B$15-B234)/$B$18,$B$17,1)))</f>
        <v>0.21150118157716</v>
      </c>
      <c r="F234" s="21" t="n">
        <f aca="false">IF(B234="","",IF(B234&lt;$B$19,0.5*EXP((B234-$B$19)/$B$20),1-0.5*EXP(-(B234-$B$19)/$B$20)))</f>
        <v>0.182571102046363</v>
      </c>
      <c r="G234" s="21" t="n">
        <f aca="false">IF(B234="","",1/(1+EXP(-(B234-$B$15)/$B$21)))</f>
        <v>0.213443226950153</v>
      </c>
      <c r="H234" s="21" t="n">
        <f aca="false">IF(B234="","",MAX(ABS($A234/$B$6-D234),ABS(($A234-1)/$B$6-D234)))</f>
        <v>0.0390411991673697</v>
      </c>
      <c r="I234" s="21" t="n">
        <f aca="false">IF(B234="","",MAX(ABS($A234/$B$6-E234),ABS(($A234-1)/$B$6-E234)))</f>
        <v>0.0145011815771599</v>
      </c>
      <c r="J234" s="21" t="n">
        <f aca="false">IF(B234="","",MAX(ABS($A234/$B$6-F234),ABS(($A234-1)/$B$6-F234)))</f>
        <v>0.0154288979536372</v>
      </c>
      <c r="K234" s="21" t="n">
        <f aca="false">IF(B234="","",MAX(ABS($A234/$B$6-G234),ABS(($A234-1)/$B$6-G234)))</f>
        <v>0.0164432269501535</v>
      </c>
    </row>
    <row r="235" customFormat="false" ht="15" hidden="false" customHeight="false" outlineLevel="0" collapsed="false">
      <c r="A235" s="11" t="n">
        <v>199</v>
      </c>
      <c r="B235" s="9" t="n">
        <f aca="false">IF(A235&gt;$B$6,"",SMALL(BTC_Data!$C$3:$C$1002,A235))</f>
        <v>-0.000923149240634302</v>
      </c>
      <c r="C235" s="21" t="n">
        <f aca="false">IF(B235="","",A235/$B$6)</f>
        <v>0.199</v>
      </c>
      <c r="D235" s="21" t="n">
        <f aca="false">IF(B235="","",NORMDIST(B235,$B$15,$B$16,TRUE()))</f>
        <v>0.237049344564986</v>
      </c>
      <c r="E235" s="21" t="n">
        <f aca="false">IF(B235="","",IF(B235&gt;=$B$15,1-TDIST((B235-$B$15)/$B$18,$B$17,1),TDIST(($B$15-B235)/$B$18,$B$17,1)))</f>
        <v>0.212507375194236</v>
      </c>
      <c r="F235" s="21" t="n">
        <f aca="false">IF(B235="","",IF(B235&lt;$B$19,0.5*EXP((B235-$B$19)/$B$20),1-0.5*EXP(-(B235-$B$19)/$B$20)))</f>
        <v>0.183406974624629</v>
      </c>
      <c r="G235" s="21" t="n">
        <f aca="false">IF(B235="","",1/(1+EXP(-(B235-$B$15)/$B$21)))</f>
        <v>0.214440303688869</v>
      </c>
      <c r="H235" s="21" t="n">
        <f aca="false">IF(B235="","",MAX(ABS($A235/$B$6-D235),ABS(($A235-1)/$B$6-D235)))</f>
        <v>0.039049344564986</v>
      </c>
      <c r="I235" s="21" t="n">
        <f aca="false">IF(B235="","",MAX(ABS($A235/$B$6-E235),ABS(($A235-1)/$B$6-E235)))</f>
        <v>0.0145073751942355</v>
      </c>
      <c r="J235" s="21" t="n">
        <f aca="false">IF(B235="","",MAX(ABS($A235/$B$6-F235),ABS(($A235-1)/$B$6-F235)))</f>
        <v>0.0155930253753713</v>
      </c>
      <c r="K235" s="21" t="n">
        <f aca="false">IF(B235="","",MAX(ABS($A235/$B$6-G235),ABS(($A235-1)/$B$6-G235)))</f>
        <v>0.016440303688869</v>
      </c>
    </row>
    <row r="236" customFormat="false" ht="15" hidden="false" customHeight="false" outlineLevel="0" collapsed="false">
      <c r="A236" s="11" t="n">
        <v>200</v>
      </c>
      <c r="B236" s="9" t="n">
        <f aca="false">IF(A236&gt;$B$6,"",SMALL(BTC_Data!$C$3:$C$1002,A236))</f>
        <v>-0.000922028146212228</v>
      </c>
      <c r="C236" s="21" t="n">
        <f aca="false">IF(B236="","",A236/$B$6)</f>
        <v>0.2</v>
      </c>
      <c r="D236" s="21" t="n">
        <f aca="false">IF(B236="","",NORMDIST(B236,$B$15,$B$16,TRUE()))</f>
        <v>0.23732130677337</v>
      </c>
      <c r="E236" s="21" t="n">
        <f aca="false">IF(B236="","",IF(B236&gt;=$B$15,1-TDIST((B236-$B$15)/$B$18,$B$17,1),TDIST(($B$15-B236)/$B$18,$B$17,1)))</f>
        <v>0.21277899286979</v>
      </c>
      <c r="F236" s="21" t="n">
        <f aca="false">IF(B236="","",IF(B236&lt;$B$19,0.5*EXP((B236-$B$19)/$B$20),1-0.5*EXP(-(B236-$B$19)/$B$20)))</f>
        <v>0.183632782253947</v>
      </c>
      <c r="G236" s="21" t="n">
        <f aca="false">IF(B236="","",1/(1+EXP(-(B236-$B$15)/$B$21)))</f>
        <v>0.214709458616043</v>
      </c>
      <c r="H236" s="21" t="n">
        <f aca="false">IF(B236="","",MAX(ABS($A236/$B$6-D236),ABS(($A236-1)/$B$6-D236)))</f>
        <v>0.0383213067733703</v>
      </c>
      <c r="I236" s="21" t="n">
        <f aca="false">IF(B236="","",MAX(ABS($A236/$B$6-E236),ABS(($A236-1)/$B$6-E236)))</f>
        <v>0.0137789928697899</v>
      </c>
      <c r="J236" s="21" t="n">
        <f aca="false">IF(B236="","",MAX(ABS($A236/$B$6-F236),ABS(($A236-1)/$B$6-F236)))</f>
        <v>0.016367217746053</v>
      </c>
      <c r="K236" s="21" t="n">
        <f aca="false">IF(B236="","",MAX(ABS($A236/$B$6-G236),ABS(($A236-1)/$B$6-G236)))</f>
        <v>0.0157094586160425</v>
      </c>
    </row>
    <row r="237" customFormat="false" ht="15" hidden="false" customHeight="false" outlineLevel="0" collapsed="false">
      <c r="A237" s="11" t="n">
        <v>201</v>
      </c>
      <c r="B237" s="9" t="n">
        <f aca="false">IF(A237&gt;$B$6,"",SMALL(BTC_Data!$C$3:$C$1002,A237))</f>
        <v>-0.000914871963423436</v>
      </c>
      <c r="C237" s="21" t="n">
        <f aca="false">IF(B237="","",A237/$B$6)</f>
        <v>0.201</v>
      </c>
      <c r="D237" s="21" t="n">
        <f aca="false">IF(B237="","",NORMDIST(B237,$B$15,$B$16,TRUE()))</f>
        <v>0.239061330228831</v>
      </c>
      <c r="E237" s="21" t="n">
        <f aca="false">IF(B237="","",IF(B237&gt;=$B$15,1-TDIST((B237-$B$15)/$B$18,$B$17,1),TDIST(($B$15-B237)/$B$18,$B$17,1)))</f>
        <v>0.214518636375296</v>
      </c>
      <c r="F237" s="21" t="n">
        <f aca="false">IF(B237="","",IF(B237&lt;$B$19,0.5*EXP((B237-$B$19)/$B$20),1-0.5*EXP(-(B237-$B$19)/$B$20)))</f>
        <v>0.185080725724504</v>
      </c>
      <c r="G237" s="21" t="n">
        <f aca="false">IF(B237="","",1/(1+EXP(-(B237-$B$15)/$B$21)))</f>
        <v>0.216433313225256</v>
      </c>
      <c r="H237" s="21" t="n">
        <f aca="false">IF(B237="","",MAX(ABS($A237/$B$6-D237),ABS(($A237-1)/$B$6-D237)))</f>
        <v>0.0390613302288311</v>
      </c>
      <c r="I237" s="21" t="n">
        <f aca="false">IF(B237="","",MAX(ABS($A237/$B$6-E237),ABS(($A237-1)/$B$6-E237)))</f>
        <v>0.0145186363752955</v>
      </c>
      <c r="J237" s="21" t="n">
        <f aca="false">IF(B237="","",MAX(ABS($A237/$B$6-F237),ABS(($A237-1)/$B$6-F237)))</f>
        <v>0.0159192742754957</v>
      </c>
      <c r="K237" s="21" t="n">
        <f aca="false">IF(B237="","",MAX(ABS($A237/$B$6-G237),ABS(($A237-1)/$B$6-G237)))</f>
        <v>0.016433313225256</v>
      </c>
    </row>
    <row r="238" customFormat="false" ht="15" hidden="false" customHeight="false" outlineLevel="0" collapsed="false">
      <c r="A238" s="11" t="n">
        <v>202</v>
      </c>
      <c r="B238" s="9" t="n">
        <f aca="false">IF(A238&gt;$B$6,"",SMALL(BTC_Data!$C$3:$C$1002,A238))</f>
        <v>-0.000912025246672443</v>
      </c>
      <c r="C238" s="21" t="n">
        <f aca="false">IF(B238="","",A238/$B$6)</f>
        <v>0.202</v>
      </c>
      <c r="D238" s="21" t="n">
        <f aca="false">IF(B238="","",NORMDIST(B238,$B$15,$B$16,TRUE()))</f>
        <v>0.239755442450357</v>
      </c>
      <c r="E238" s="21" t="n">
        <f aca="false">IF(B238="","",IF(B238&gt;=$B$15,1-TDIST((B238-$B$15)/$B$18,$B$17,1),TDIST(($B$15-B238)/$B$18,$B$17,1)))</f>
        <v>0.215213475021749</v>
      </c>
      <c r="F238" s="21" t="n">
        <f aca="false">IF(B238="","",IF(B238&lt;$B$19,0.5*EXP((B238-$B$19)/$B$20),1-0.5*EXP(-(B238-$B$19)/$B$20)))</f>
        <v>0.185659884217573</v>
      </c>
      <c r="G238" s="21" t="n">
        <f aca="false">IF(B238="","",1/(1+EXP(-(B238-$B$15)/$B$21)))</f>
        <v>0.217121838607061</v>
      </c>
      <c r="H238" s="21" t="n">
        <f aca="false">IF(B238="","",MAX(ABS($A238/$B$6-D238),ABS(($A238-1)/$B$6-D238)))</f>
        <v>0.0387554424503568</v>
      </c>
      <c r="I238" s="21" t="n">
        <f aca="false">IF(B238="","",MAX(ABS($A238/$B$6-E238),ABS(($A238-1)/$B$6-E238)))</f>
        <v>0.014213475021749</v>
      </c>
      <c r="J238" s="21" t="n">
        <f aca="false">IF(B238="","",MAX(ABS($A238/$B$6-F238),ABS(($A238-1)/$B$6-F238)))</f>
        <v>0.0163401157824265</v>
      </c>
      <c r="K238" s="21" t="n">
        <f aca="false">IF(B238="","",MAX(ABS($A238/$B$6-G238),ABS(($A238-1)/$B$6-G238)))</f>
        <v>0.0161218386070608</v>
      </c>
    </row>
    <row r="239" customFormat="false" ht="15" hidden="false" customHeight="false" outlineLevel="0" collapsed="false">
      <c r="A239" s="11" t="n">
        <v>203</v>
      </c>
      <c r="B239" s="9" t="n">
        <f aca="false">IF(A239&gt;$B$6,"",SMALL(BTC_Data!$C$3:$C$1002,A239))</f>
        <v>-0.000901995704729486</v>
      </c>
      <c r="C239" s="21" t="n">
        <f aca="false">IF(B239="","",A239/$B$6)</f>
        <v>0.203</v>
      </c>
      <c r="D239" s="21" t="n">
        <f aca="false">IF(B239="","",NORMDIST(B239,$B$15,$B$16,TRUE()))</f>
        <v>0.242209674811267</v>
      </c>
      <c r="E239" s="21" t="n">
        <f aca="false">IF(B239="","",IF(B239&gt;=$B$15,1-TDIST((B239-$B$15)/$B$18,$B$17,1),TDIST(($B$15-B239)/$B$18,$B$17,1)))</f>
        <v>0.217674270624746</v>
      </c>
      <c r="F239" s="21" t="n">
        <f aca="false">IF(B239="","",IF(B239&lt;$B$19,0.5*EXP((B239-$B$19)/$B$20),1-0.5*EXP(-(B239-$B$19)/$B$20)))</f>
        <v>0.187714851956158</v>
      </c>
      <c r="G239" s="21" t="n">
        <f aca="false">IF(B239="","",1/(1+EXP(-(B239-$B$15)/$B$21)))</f>
        <v>0.219560248463072</v>
      </c>
      <c r="H239" s="21" t="n">
        <f aca="false">IF(B239="","",MAX(ABS($A239/$B$6-D239),ABS(($A239-1)/$B$6-D239)))</f>
        <v>0.0402096748112668</v>
      </c>
      <c r="I239" s="21" t="n">
        <f aca="false">IF(B239="","",MAX(ABS($A239/$B$6-E239),ABS(($A239-1)/$B$6-E239)))</f>
        <v>0.0156742706247461</v>
      </c>
      <c r="J239" s="21" t="n">
        <f aca="false">IF(B239="","",MAX(ABS($A239/$B$6-F239),ABS(($A239-1)/$B$6-F239)))</f>
        <v>0.0152851480438422</v>
      </c>
      <c r="K239" s="21" t="n">
        <f aca="false">IF(B239="","",MAX(ABS($A239/$B$6-G239),ABS(($A239-1)/$B$6-G239)))</f>
        <v>0.0175602484630715</v>
      </c>
    </row>
    <row r="240" customFormat="false" ht="15" hidden="false" customHeight="false" outlineLevel="0" collapsed="false">
      <c r="A240" s="11" t="n">
        <v>204</v>
      </c>
      <c r="B240" s="9" t="n">
        <f aca="false">IF(A240&gt;$B$6,"",SMALL(BTC_Data!$C$3:$C$1002,A240))</f>
        <v>-0.000893953827525551</v>
      </c>
      <c r="C240" s="21" t="n">
        <f aca="false">IF(B240="","",A240/$B$6)</f>
        <v>0.204</v>
      </c>
      <c r="D240" s="21" t="n">
        <f aca="false">IF(B240="","",NORMDIST(B240,$B$15,$B$16,TRUE()))</f>
        <v>0.244187320075002</v>
      </c>
      <c r="E240" s="21" t="n">
        <f aca="false">IF(B240="","",IF(B240&gt;=$B$15,1-TDIST((B240-$B$15)/$B$18,$B$17,1),TDIST(($B$15-B240)/$B$18,$B$17,1)))</f>
        <v>0.219661711464151</v>
      </c>
      <c r="F240" s="21" t="n">
        <f aca="false">IF(B240="","",IF(B240&lt;$B$19,0.5*EXP((B240-$B$19)/$B$20),1-0.5*EXP(-(B240-$B$19)/$B$20)))</f>
        <v>0.189378982590861</v>
      </c>
      <c r="G240" s="21" t="n">
        <f aca="false">IF(B240="","",1/(1+EXP(-(B240-$B$15)/$B$21)))</f>
        <v>0.221529584390083</v>
      </c>
      <c r="H240" s="21" t="n">
        <f aca="false">IF(B240="","",MAX(ABS($A240/$B$6-D240),ABS(($A240-1)/$B$6-D240)))</f>
        <v>0.0411873200750021</v>
      </c>
      <c r="I240" s="21" t="n">
        <f aca="false">IF(B240="","",MAX(ABS($A240/$B$6-E240),ABS(($A240-1)/$B$6-E240)))</f>
        <v>0.0166617114641513</v>
      </c>
      <c r="J240" s="21" t="n">
        <f aca="false">IF(B240="","",MAX(ABS($A240/$B$6-F240),ABS(($A240-1)/$B$6-F240)))</f>
        <v>0.0146210174091388</v>
      </c>
      <c r="K240" s="21" t="n">
        <f aca="false">IF(B240="","",MAX(ABS($A240/$B$6-G240),ABS(($A240-1)/$B$6-G240)))</f>
        <v>0.0185295843900831</v>
      </c>
    </row>
    <row r="241" customFormat="false" ht="15" hidden="false" customHeight="false" outlineLevel="0" collapsed="false">
      <c r="A241" s="11" t="n">
        <v>205</v>
      </c>
      <c r="B241" s="9" t="n">
        <f aca="false">IF(A241&gt;$B$6,"",SMALL(BTC_Data!$C$3:$C$1002,A241))</f>
        <v>-0.000891110566904163</v>
      </c>
      <c r="C241" s="21" t="n">
        <f aca="false">IF(B241="","",A241/$B$6)</f>
        <v>0.205</v>
      </c>
      <c r="D241" s="21" t="n">
        <f aca="false">IF(B241="","",NORMDIST(B241,$B$15,$B$16,TRUE()))</f>
        <v>0.244888607660332</v>
      </c>
      <c r="E241" s="21" t="n">
        <f aca="false">IF(B241="","",IF(B241&gt;=$B$15,1-TDIST((B241-$B$15)/$B$18,$B$17,1),TDIST(($B$15-B241)/$B$18,$B$17,1)))</f>
        <v>0.220367433386719</v>
      </c>
      <c r="F241" s="21" t="n">
        <f aca="false">IF(B241="","",IF(B241&lt;$B$19,0.5*EXP((B241-$B$19)/$B$20),1-0.5*EXP(-(B241-$B$19)/$B$20)))</f>
        <v>0.18997087068461</v>
      </c>
      <c r="G241" s="21" t="n">
        <f aca="false">IF(B241="","",1/(1+EXP(-(B241-$B$15)/$B$21)))</f>
        <v>0.222228873172271</v>
      </c>
      <c r="H241" s="21" t="n">
        <f aca="false">IF(B241="","",MAX(ABS($A241/$B$6-D241),ABS(($A241-1)/$B$6-D241)))</f>
        <v>0.0408886076603325</v>
      </c>
      <c r="I241" s="21" t="n">
        <f aca="false">IF(B241="","",MAX(ABS($A241/$B$6-E241),ABS(($A241-1)/$B$6-E241)))</f>
        <v>0.0163674333867195</v>
      </c>
      <c r="J241" s="21" t="n">
        <f aca="false">IF(B241="","",MAX(ABS($A241/$B$6-F241),ABS(($A241-1)/$B$6-F241)))</f>
        <v>0.0150291293153901</v>
      </c>
      <c r="K241" s="21" t="n">
        <f aca="false">IF(B241="","",MAX(ABS($A241/$B$6-G241),ABS(($A241-1)/$B$6-G241)))</f>
        <v>0.0182288731722711</v>
      </c>
    </row>
    <row r="242" customFormat="false" ht="15" hidden="false" customHeight="false" outlineLevel="0" collapsed="false">
      <c r="A242" s="11" t="n">
        <v>206</v>
      </c>
      <c r="B242" s="9" t="n">
        <f aca="false">IF(A242&gt;$B$6,"",SMALL(BTC_Data!$C$3:$C$1002,A242))</f>
        <v>-0.000883995614228583</v>
      </c>
      <c r="C242" s="21" t="n">
        <f aca="false">IF(B242="","",A242/$B$6)</f>
        <v>0.206</v>
      </c>
      <c r="D242" s="21" t="n">
        <f aca="false">IF(B242="","",NORMDIST(B242,$B$15,$B$16,TRUE()))</f>
        <v>0.246648243495459</v>
      </c>
      <c r="E242" s="21" t="n">
        <f aca="false">IF(B242="","",IF(B242&gt;=$B$15,1-TDIST((B242-$B$15)/$B$18,$B$17,1),TDIST(($B$15-B242)/$B$18,$B$17,1)))</f>
        <v>0.222140399547608</v>
      </c>
      <c r="F242" s="21" t="n">
        <f aca="false">IF(B242="","",IF(B242&lt;$B$19,0.5*EXP((B242-$B$19)/$B$20),1-0.5*EXP(-(B242-$B$19)/$B$20)))</f>
        <v>0.19146012599497</v>
      </c>
      <c r="G242" s="21" t="n">
        <f aca="false">IF(B242="","",1/(1+EXP(-(B242-$B$15)/$B$21)))</f>
        <v>0.223985669981932</v>
      </c>
      <c r="H242" s="21" t="n">
        <f aca="false">IF(B242="","",MAX(ABS($A242/$B$6-D242),ABS(($A242-1)/$B$6-D242)))</f>
        <v>0.0416482434954593</v>
      </c>
      <c r="I242" s="21" t="n">
        <f aca="false">IF(B242="","",MAX(ABS($A242/$B$6-E242),ABS(($A242-1)/$B$6-E242)))</f>
        <v>0.0171403995476084</v>
      </c>
      <c r="J242" s="21" t="n">
        <f aca="false">IF(B242="","",MAX(ABS($A242/$B$6-F242),ABS(($A242-1)/$B$6-F242)))</f>
        <v>0.0145398740050295</v>
      </c>
      <c r="K242" s="21" t="n">
        <f aca="false">IF(B242="","",MAX(ABS($A242/$B$6-G242),ABS(($A242-1)/$B$6-G242)))</f>
        <v>0.018985669981932</v>
      </c>
    </row>
    <row r="243" customFormat="false" ht="15" hidden="false" customHeight="false" outlineLevel="0" collapsed="false">
      <c r="A243" s="11" t="n">
        <v>207</v>
      </c>
      <c r="B243" s="9" t="n">
        <f aca="false">IF(A243&gt;$B$6,"",SMALL(BTC_Data!$C$3:$C$1002,A243))</f>
        <v>-0.00088230099176001</v>
      </c>
      <c r="C243" s="21" t="n">
        <f aca="false">IF(B243="","",A243/$B$6)</f>
        <v>0.207</v>
      </c>
      <c r="D243" s="21" t="n">
        <f aca="false">IF(B243="","",NORMDIST(B243,$B$15,$B$16,TRUE()))</f>
        <v>0.247068345646259</v>
      </c>
      <c r="E243" s="21" t="n">
        <f aca="false">IF(B243="","",IF(B243&gt;=$B$15,1-TDIST((B243-$B$15)/$B$18,$B$17,1),TDIST(($B$15-B243)/$B$18,$B$17,1)))</f>
        <v>0.222564148821578</v>
      </c>
      <c r="F243" s="21" t="n">
        <f aca="false">IF(B243="","",IF(B243&lt;$B$19,0.5*EXP((B243-$B$19)/$B$20),1-0.5*EXP(-(B243-$B$19)/$B$20)))</f>
        <v>0.191816551352391</v>
      </c>
      <c r="G243" s="21" t="n">
        <f aca="false">IF(B243="","",1/(1+EXP(-(B243-$B$15)/$B$21)))</f>
        <v>0.224405553396384</v>
      </c>
      <c r="H243" s="21" t="n">
        <f aca="false">IF(B243="","",MAX(ABS($A243/$B$6-D243),ABS(($A243-1)/$B$6-D243)))</f>
        <v>0.0410683456462589</v>
      </c>
      <c r="I243" s="21" t="n">
        <f aca="false">IF(B243="","",MAX(ABS($A243/$B$6-E243),ABS(($A243-1)/$B$6-E243)))</f>
        <v>0.0165641488215776</v>
      </c>
      <c r="J243" s="21" t="n">
        <f aca="false">IF(B243="","",MAX(ABS($A243/$B$6-F243),ABS(($A243-1)/$B$6-F243)))</f>
        <v>0.0151834486476093</v>
      </c>
      <c r="K243" s="21" t="n">
        <f aca="false">IF(B243="","",MAX(ABS($A243/$B$6-G243),ABS(($A243-1)/$B$6-G243)))</f>
        <v>0.0184055533963839</v>
      </c>
    </row>
    <row r="244" customFormat="false" ht="15" hidden="false" customHeight="false" outlineLevel="0" collapsed="false">
      <c r="A244" s="11" t="n">
        <v>208</v>
      </c>
      <c r="B244" s="9" t="n">
        <f aca="false">IF(A244&gt;$B$6,"",SMALL(BTC_Data!$C$3:$C$1002,A244))</f>
        <v>-0.000878806977899993</v>
      </c>
      <c r="C244" s="21" t="n">
        <f aca="false">IF(B244="","",A244/$B$6)</f>
        <v>0.208</v>
      </c>
      <c r="D244" s="21" t="n">
        <f aca="false">IF(B244="","",NORMDIST(B244,$B$15,$B$16,TRUE()))</f>
        <v>0.247935729324798</v>
      </c>
      <c r="E244" s="21" t="n">
        <f aca="false">IF(B244="","",IF(B244&gt;=$B$15,1-TDIST((B244-$B$15)/$B$18,$B$17,1),TDIST(($B$15-B244)/$B$18,$B$17,1)))</f>
        <v>0.223439627402715</v>
      </c>
      <c r="F244" s="21" t="n">
        <f aca="false">IF(B244="","",IF(B244&lt;$B$19,0.5*EXP((B244-$B$19)/$B$20),1-0.5*EXP(-(B244-$B$19)/$B$20)))</f>
        <v>0.192553533616859</v>
      </c>
      <c r="G244" s="21" t="n">
        <f aca="false">IF(B244="","",1/(1+EXP(-(B244-$B$15)/$B$21)))</f>
        <v>0.225273043812905</v>
      </c>
      <c r="H244" s="21" t="n">
        <f aca="false">IF(B244="","",MAX(ABS($A244/$B$6-D244),ABS(($A244-1)/$B$6-D244)))</f>
        <v>0.0409357293247981</v>
      </c>
      <c r="I244" s="21" t="n">
        <f aca="false">IF(B244="","",MAX(ABS($A244/$B$6-E244),ABS(($A244-1)/$B$6-E244)))</f>
        <v>0.0164396274027152</v>
      </c>
      <c r="J244" s="21" t="n">
        <f aca="false">IF(B244="","",MAX(ABS($A244/$B$6-F244),ABS(($A244-1)/$B$6-F244)))</f>
        <v>0.0154464663831415</v>
      </c>
      <c r="K244" s="21" t="n">
        <f aca="false">IF(B244="","",MAX(ABS($A244/$B$6-G244),ABS(($A244-1)/$B$6-G244)))</f>
        <v>0.0182730438129047</v>
      </c>
    </row>
    <row r="245" customFormat="false" ht="15" hidden="false" customHeight="false" outlineLevel="0" collapsed="false">
      <c r="A245" s="11" t="n">
        <v>209</v>
      </c>
      <c r="B245" s="9" t="n">
        <f aca="false">IF(A245&gt;$B$6,"",SMALL(BTC_Data!$C$3:$C$1002,A245))</f>
        <v>-0.000873326870473923</v>
      </c>
      <c r="C245" s="21" t="n">
        <f aca="false">IF(B245="","",A245/$B$6)</f>
        <v>0.209</v>
      </c>
      <c r="D245" s="21" t="n">
        <f aca="false">IF(B245="","",NORMDIST(B245,$B$15,$B$16,TRUE()))</f>
        <v>0.249299424364161</v>
      </c>
      <c r="E245" s="21" t="n">
        <f aca="false">IF(B245="","",IF(B245&gt;=$B$15,1-TDIST((B245-$B$15)/$B$18,$B$17,1),TDIST(($B$15-B245)/$B$18,$B$17,1)))</f>
        <v>0.224817583199917</v>
      </c>
      <c r="F245" s="21" t="n">
        <f aca="false">IF(B245="","",IF(B245&lt;$B$19,0.5*EXP((B245-$B$19)/$B$20),1-0.5*EXP(-(B245-$B$19)/$B$20)))</f>
        <v>0.193715144364793</v>
      </c>
      <c r="G245" s="21" t="n">
        <f aca="false">IF(B245="","",1/(1+EXP(-(B245-$B$15)/$B$21)))</f>
        <v>0.226638424355326</v>
      </c>
      <c r="H245" s="21" t="n">
        <f aca="false">IF(B245="","",MAX(ABS($A245/$B$6-D245),ABS(($A245-1)/$B$6-D245)))</f>
        <v>0.0412994243641613</v>
      </c>
      <c r="I245" s="21" t="n">
        <f aca="false">IF(B245="","",MAX(ABS($A245/$B$6-E245),ABS(($A245-1)/$B$6-E245)))</f>
        <v>0.016817583199917</v>
      </c>
      <c r="J245" s="21" t="n">
        <f aca="false">IF(B245="","",MAX(ABS($A245/$B$6-F245),ABS(($A245-1)/$B$6-F245)))</f>
        <v>0.0152848556352065</v>
      </c>
      <c r="K245" s="21" t="n">
        <f aca="false">IF(B245="","",MAX(ABS($A245/$B$6-G245),ABS(($A245-1)/$B$6-G245)))</f>
        <v>0.0186384243553258</v>
      </c>
    </row>
    <row r="246" customFormat="false" ht="15" hidden="false" customHeight="false" outlineLevel="0" collapsed="false">
      <c r="A246" s="11" t="n">
        <v>210</v>
      </c>
      <c r="B246" s="9" t="n">
        <f aca="false">IF(A246&gt;$B$6,"",SMALL(BTC_Data!$C$3:$C$1002,A246))</f>
        <v>-0.000863266454418477</v>
      </c>
      <c r="C246" s="21" t="n">
        <f aca="false">IF(B246="","",A246/$B$6)</f>
        <v>0.21</v>
      </c>
      <c r="D246" s="21" t="n">
        <f aca="false">IF(B246="","",NORMDIST(B246,$B$15,$B$16,TRUE()))</f>
        <v>0.251813248009031</v>
      </c>
      <c r="E246" s="21" t="n">
        <f aca="false">IF(B246="","",IF(B246&gt;=$B$15,1-TDIST((B246-$B$15)/$B$18,$B$17,1),TDIST(($B$15-B246)/$B$18,$B$17,1)))</f>
        <v>0.227362583726961</v>
      </c>
      <c r="F246" s="21" t="n">
        <f aca="false">IF(B246="","",IF(B246&lt;$B$19,0.5*EXP((B246-$B$19)/$B$20),1-0.5*EXP(-(B246-$B$19)/$B$20)))</f>
        <v>0.195865908182545</v>
      </c>
      <c r="G246" s="21" t="n">
        <f aca="false">IF(B246="","",1/(1+EXP(-(B246-$B$15)/$B$21)))</f>
        <v>0.229160196859474</v>
      </c>
      <c r="H246" s="21" t="n">
        <f aca="false">IF(B246="","",MAX(ABS($A246/$B$6-D246),ABS(($A246-1)/$B$6-D246)))</f>
        <v>0.0428132480090306</v>
      </c>
      <c r="I246" s="21" t="n">
        <f aca="false">IF(B246="","",MAX(ABS($A246/$B$6-E246),ABS(($A246-1)/$B$6-E246)))</f>
        <v>0.0183625837269605</v>
      </c>
      <c r="J246" s="21" t="n">
        <f aca="false">IF(B246="","",MAX(ABS($A246/$B$6-F246),ABS(($A246-1)/$B$6-F246)))</f>
        <v>0.0141340918174548</v>
      </c>
      <c r="K246" s="21" t="n">
        <f aca="false">IF(B246="","",MAX(ABS($A246/$B$6-G246),ABS(($A246-1)/$B$6-G246)))</f>
        <v>0.0201601968594736</v>
      </c>
    </row>
    <row r="247" customFormat="false" ht="15" hidden="false" customHeight="false" outlineLevel="0" collapsed="false">
      <c r="A247" s="11" t="n">
        <v>211</v>
      </c>
      <c r="B247" s="9" t="n">
        <f aca="false">IF(A247&gt;$B$6,"",SMALL(BTC_Data!$C$3:$C$1002,A247))</f>
        <v>-0.000856538219256686</v>
      </c>
      <c r="C247" s="21" t="n">
        <f aca="false">IF(B247="","",A247/$B$6)</f>
        <v>0.211</v>
      </c>
      <c r="D247" s="21" t="n">
        <f aca="false">IF(B247="","",NORMDIST(B247,$B$15,$B$16,TRUE()))</f>
        <v>0.253501888334364</v>
      </c>
      <c r="E247" s="21" t="n">
        <f aca="false">IF(B247="","",IF(B247&gt;=$B$15,1-TDIST((B247-$B$15)/$B$18,$B$17,1),TDIST(($B$15-B247)/$B$18,$B$17,1)))</f>
        <v>0.229075703881961</v>
      </c>
      <c r="F247" s="21" t="n">
        <f aca="false">IF(B247="","",IF(B247&lt;$B$19,0.5*EXP((B247-$B$19)/$B$20),1-0.5*EXP(-(B247-$B$19)/$B$20)))</f>
        <v>0.197317611470864</v>
      </c>
      <c r="G247" s="21" t="n">
        <f aca="false">IF(B247="","",1/(1+EXP(-(B247-$B$15)/$B$21)))</f>
        <v>0.23085768412644</v>
      </c>
      <c r="H247" s="21" t="n">
        <f aca="false">IF(B247="","",MAX(ABS($A247/$B$6-D247),ABS(($A247-1)/$B$6-D247)))</f>
        <v>0.0435018883343635</v>
      </c>
      <c r="I247" s="21" t="n">
        <f aca="false">IF(B247="","",MAX(ABS($A247/$B$6-E247),ABS(($A247-1)/$B$6-E247)))</f>
        <v>0.0190757038819613</v>
      </c>
      <c r="J247" s="21" t="n">
        <f aca="false">IF(B247="","",MAX(ABS($A247/$B$6-F247),ABS(($A247-1)/$B$6-F247)))</f>
        <v>0.0136823885291361</v>
      </c>
      <c r="K247" s="21" t="n">
        <f aca="false">IF(B247="","",MAX(ABS($A247/$B$6-G247),ABS(($A247-1)/$B$6-G247)))</f>
        <v>0.0208576841264405</v>
      </c>
    </row>
    <row r="248" customFormat="false" ht="15" hidden="false" customHeight="false" outlineLevel="0" collapsed="false">
      <c r="A248" s="11" t="n">
        <v>212</v>
      </c>
      <c r="B248" s="9" t="n">
        <f aca="false">IF(A248&gt;$B$6,"",SMALL(BTC_Data!$C$3:$C$1002,A248))</f>
        <v>-0.000849120147455973</v>
      </c>
      <c r="C248" s="21" t="n">
        <f aca="false">IF(B248="","",A248/$B$6)</f>
        <v>0.212</v>
      </c>
      <c r="D248" s="21" t="n">
        <f aca="false">IF(B248="","",NORMDIST(B248,$B$15,$B$16,TRUE()))</f>
        <v>0.255370535976294</v>
      </c>
      <c r="E248" s="21" t="n">
        <f aca="false">IF(B248="","",IF(B248&gt;=$B$15,1-TDIST((B248-$B$15)/$B$18,$B$17,1),TDIST(($B$15-B248)/$B$18,$B$17,1)))</f>
        <v>0.230974731293943</v>
      </c>
      <c r="F248" s="21" t="n">
        <f aca="false">IF(B248="","",IF(B248&lt;$B$19,0.5*EXP((B248-$B$19)/$B$20),1-0.5*EXP(-(B248-$B$19)/$B$20)))</f>
        <v>0.19893062996661</v>
      </c>
      <c r="G248" s="21" t="n">
        <f aca="false">IF(B248="","",1/(1+EXP(-(B248-$B$15)/$B$21)))</f>
        <v>0.232739388919977</v>
      </c>
      <c r="H248" s="21" t="n">
        <f aca="false">IF(B248="","",MAX(ABS($A248/$B$6-D248),ABS(($A248-1)/$B$6-D248)))</f>
        <v>0.0443705359762943</v>
      </c>
      <c r="I248" s="21" t="n">
        <f aca="false">IF(B248="","",MAX(ABS($A248/$B$6-E248),ABS(($A248-1)/$B$6-E248)))</f>
        <v>0.0199747312939431</v>
      </c>
      <c r="J248" s="21" t="n">
        <f aca="false">IF(B248="","",MAX(ABS($A248/$B$6-F248),ABS(($A248-1)/$B$6-F248)))</f>
        <v>0.01306937003339</v>
      </c>
      <c r="K248" s="21" t="n">
        <f aca="false">IF(B248="","",MAX(ABS($A248/$B$6-G248),ABS(($A248-1)/$B$6-G248)))</f>
        <v>0.0217393889199769</v>
      </c>
    </row>
    <row r="249" customFormat="false" ht="15" hidden="false" customHeight="false" outlineLevel="0" collapsed="false">
      <c r="A249" s="11" t="n">
        <v>213</v>
      </c>
      <c r="B249" s="9" t="n">
        <f aca="false">IF(A249&gt;$B$6,"",SMALL(BTC_Data!$C$3:$C$1002,A249))</f>
        <v>-0.000840853115053886</v>
      </c>
      <c r="C249" s="21" t="n">
        <f aca="false">IF(B249="","",A249/$B$6)</f>
        <v>0.213</v>
      </c>
      <c r="D249" s="21" t="n">
        <f aca="false">IF(B249="","",NORMDIST(B249,$B$15,$B$16,TRUE()))</f>
        <v>0.257461491595135</v>
      </c>
      <c r="E249" s="21" t="n">
        <f aca="false">IF(B249="","",IF(B249&gt;=$B$15,1-TDIST((B249-$B$15)/$B$18,$B$17,1),TDIST(($B$15-B249)/$B$18,$B$17,1)))</f>
        <v>0.233103752657059</v>
      </c>
      <c r="F249" s="21" t="n">
        <f aca="false">IF(B249="","",IF(B249&lt;$B$19,0.5*EXP((B249-$B$19)/$B$20),1-0.5*EXP(-(B249-$B$19)/$B$20)))</f>
        <v>0.200743791014805</v>
      </c>
      <c r="G249" s="21" t="n">
        <f aca="false">IF(B249="","",1/(1+EXP(-(B249-$B$15)/$B$21)))</f>
        <v>0.234849002934688</v>
      </c>
      <c r="H249" s="21" t="n">
        <f aca="false">IF(B249="","",MAX(ABS($A249/$B$6-D249),ABS(($A249-1)/$B$6-D249)))</f>
        <v>0.0454614915951347</v>
      </c>
      <c r="I249" s="21" t="n">
        <f aca="false">IF(B249="","",MAX(ABS($A249/$B$6-E249),ABS(($A249-1)/$B$6-E249)))</f>
        <v>0.0211037526570592</v>
      </c>
      <c r="J249" s="21" t="n">
        <f aca="false">IF(B249="","",MAX(ABS($A249/$B$6-F249),ABS(($A249-1)/$B$6-F249)))</f>
        <v>0.0122562089851954</v>
      </c>
      <c r="K249" s="21" t="n">
        <f aca="false">IF(B249="","",MAX(ABS($A249/$B$6-G249),ABS(($A249-1)/$B$6-G249)))</f>
        <v>0.0228490029346881</v>
      </c>
    </row>
    <row r="250" customFormat="false" ht="15" hidden="false" customHeight="false" outlineLevel="0" collapsed="false">
      <c r="A250" s="11" t="n">
        <v>214</v>
      </c>
      <c r="B250" s="9" t="n">
        <f aca="false">IF(A250&gt;$B$6,"",SMALL(BTC_Data!$C$3:$C$1002,A250))</f>
        <v>-0.000839439321090318</v>
      </c>
      <c r="C250" s="21" t="n">
        <f aca="false">IF(B250="","",A250/$B$6)</f>
        <v>0.214</v>
      </c>
      <c r="D250" s="21" t="n">
        <f aca="false">IF(B250="","",NORMDIST(B250,$B$15,$B$16,TRUE()))</f>
        <v>0.257819966763279</v>
      </c>
      <c r="E250" s="21" t="n">
        <f aca="false">IF(B250="","",IF(B250&gt;=$B$15,1-TDIST((B250-$B$15)/$B$18,$B$17,1),TDIST(($B$15-B250)/$B$18,$B$17,1)))</f>
        <v>0.233469183519917</v>
      </c>
      <c r="F250" s="21" t="n">
        <f aca="false">IF(B250="","",IF(B250&lt;$B$19,0.5*EXP((B250-$B$19)/$B$20),1-0.5*EXP(-(B250-$B$19)/$B$20)))</f>
        <v>0.201055521008258</v>
      </c>
      <c r="G250" s="21" t="n">
        <f aca="false">IF(B250="","",1/(1+EXP(-(B250-$B$15)/$B$21)))</f>
        <v>0.23521110445617</v>
      </c>
      <c r="H250" s="21" t="n">
        <f aca="false">IF(B250="","",MAX(ABS($A250/$B$6-D250),ABS(($A250-1)/$B$6-D250)))</f>
        <v>0.0448199667632789</v>
      </c>
      <c r="I250" s="21" t="n">
        <f aca="false">IF(B250="","",MAX(ABS($A250/$B$6-E250),ABS(($A250-1)/$B$6-E250)))</f>
        <v>0.0204691835199171</v>
      </c>
      <c r="J250" s="21" t="n">
        <f aca="false">IF(B250="","",MAX(ABS($A250/$B$6-F250),ABS(($A250-1)/$B$6-F250)))</f>
        <v>0.0129444789917418</v>
      </c>
      <c r="K250" s="21" t="n">
        <f aca="false">IF(B250="","",MAX(ABS($A250/$B$6-G250),ABS(($A250-1)/$B$6-G250)))</f>
        <v>0.0222111044561701</v>
      </c>
    </row>
    <row r="251" customFormat="false" ht="15" hidden="false" customHeight="false" outlineLevel="0" collapsed="false">
      <c r="A251" s="11" t="n">
        <v>215</v>
      </c>
      <c r="B251" s="9" t="n">
        <f aca="false">IF(A251&gt;$B$6,"",SMALL(BTC_Data!$C$3:$C$1002,A251))</f>
        <v>-0.000832781986267905</v>
      </c>
      <c r="C251" s="21" t="n">
        <f aca="false">IF(B251="","",A251/$B$6)</f>
        <v>0.215</v>
      </c>
      <c r="D251" s="21" t="n">
        <f aca="false">IF(B251="","",NORMDIST(B251,$B$15,$B$16,TRUE()))</f>
        <v>0.259511445325696</v>
      </c>
      <c r="E251" s="21" t="n">
        <f aca="false">IF(B251="","",IF(B251&gt;=$B$15,1-TDIST((B251-$B$15)/$B$18,$B$17,1),TDIST(($B$15-B251)/$B$18,$B$17,1)))</f>
        <v>0.235195171361257</v>
      </c>
      <c r="F251" s="21" t="n">
        <f aca="false">IF(B251="","",IF(B251&lt;$B$19,0.5*EXP((B251-$B$19)/$B$20),1-0.5*EXP(-(B251-$B$19)/$B$20)))</f>
        <v>0.202529927834483</v>
      </c>
      <c r="G251" s="21" t="n">
        <f aca="false">IF(B251="","",1/(1+EXP(-(B251-$B$15)/$B$21)))</f>
        <v>0.236921375775756</v>
      </c>
      <c r="H251" s="21" t="n">
        <f aca="false">IF(B251="","",MAX(ABS($A251/$B$6-D251),ABS(($A251-1)/$B$6-D251)))</f>
        <v>0.0455114453256955</v>
      </c>
      <c r="I251" s="21" t="n">
        <f aca="false">IF(B251="","",MAX(ABS($A251/$B$6-E251),ABS(($A251-1)/$B$6-E251)))</f>
        <v>0.021195171361257</v>
      </c>
      <c r="J251" s="21" t="n">
        <f aca="false">IF(B251="","",MAX(ABS($A251/$B$6-F251),ABS(($A251-1)/$B$6-F251)))</f>
        <v>0.0124700721655167</v>
      </c>
      <c r="K251" s="21" t="n">
        <f aca="false">IF(B251="","",MAX(ABS($A251/$B$6-G251),ABS(($A251-1)/$B$6-G251)))</f>
        <v>0.0229213757757565</v>
      </c>
    </row>
    <row r="252" customFormat="false" ht="15" hidden="false" customHeight="false" outlineLevel="0" collapsed="false">
      <c r="A252" s="11" t="n">
        <v>216</v>
      </c>
      <c r="B252" s="9" t="n">
        <f aca="false">IF(A252&gt;$B$6,"",SMALL(BTC_Data!$C$3:$C$1002,A252))</f>
        <v>-0.000826725941648565</v>
      </c>
      <c r="C252" s="21" t="n">
        <f aca="false">IF(B252="","",A252/$B$6)</f>
        <v>0.216</v>
      </c>
      <c r="D252" s="21" t="n">
        <f aca="false">IF(B252="","",NORMDIST(B252,$B$15,$B$16,TRUE()))</f>
        <v>0.261055112420203</v>
      </c>
      <c r="E252" s="21" t="n">
        <f aca="false">IF(B252="","",IF(B252&gt;=$B$15,1-TDIST((B252-$B$15)/$B$18,$B$17,1),TDIST(($B$15-B252)/$B$18,$B$17,1)))</f>
        <v>0.236772753783729</v>
      </c>
      <c r="F252" s="21" t="n">
        <f aca="false">IF(B252="","",IF(B252&lt;$B$19,0.5*EXP((B252-$B$19)/$B$20),1-0.5*EXP(-(B252-$B$19)/$B$20)))</f>
        <v>0.20388055579283</v>
      </c>
      <c r="G252" s="21" t="n">
        <f aca="false">IF(B252="","",1/(1+EXP(-(B252-$B$15)/$B$21)))</f>
        <v>0.238484606998994</v>
      </c>
      <c r="H252" s="21" t="n">
        <f aca="false">IF(B252="","",MAX(ABS($A252/$B$6-D252),ABS(($A252-1)/$B$6-D252)))</f>
        <v>0.0460551124202031</v>
      </c>
      <c r="I252" s="21" t="n">
        <f aca="false">IF(B252="","",MAX(ABS($A252/$B$6-E252),ABS(($A252-1)/$B$6-E252)))</f>
        <v>0.0217727537837291</v>
      </c>
      <c r="J252" s="21" t="n">
        <f aca="false">IF(B252="","",MAX(ABS($A252/$B$6-F252),ABS(($A252-1)/$B$6-F252)))</f>
        <v>0.0121194442071697</v>
      </c>
      <c r="K252" s="21" t="n">
        <f aca="false">IF(B252="","",MAX(ABS($A252/$B$6-G252),ABS(($A252-1)/$B$6-G252)))</f>
        <v>0.023484606998994</v>
      </c>
    </row>
    <row r="253" customFormat="false" ht="15" hidden="false" customHeight="false" outlineLevel="0" collapsed="false">
      <c r="A253" s="11" t="n">
        <v>217</v>
      </c>
      <c r="B253" s="9" t="n">
        <f aca="false">IF(A253&gt;$B$6,"",SMALL(BTC_Data!$C$3:$C$1002,A253))</f>
        <v>-0.000825675749459909</v>
      </c>
      <c r="C253" s="21" t="n">
        <f aca="false">IF(B253="","",A253/$B$6)</f>
        <v>0.217</v>
      </c>
      <c r="D253" s="21" t="n">
        <f aca="false">IF(B253="","",NORMDIST(B253,$B$15,$B$16,TRUE()))</f>
        <v>0.261323282639116</v>
      </c>
      <c r="E253" s="21" t="n">
        <f aca="false">IF(B253="","",IF(B253&gt;=$B$15,1-TDIST((B253-$B$15)/$B$18,$B$17,1),TDIST(($B$15-B253)/$B$18,$B$17,1)))</f>
        <v>0.237047050504024</v>
      </c>
      <c r="F253" s="21" t="n">
        <f aca="false">IF(B253="","",IF(B253&lt;$B$19,0.5*EXP((B253-$B$19)/$B$20),1-0.5*EXP(-(B253-$B$19)/$B$20)))</f>
        <v>0.204115685911956</v>
      </c>
      <c r="G253" s="21" t="n">
        <f aca="false">IF(B253="","",1/(1+EXP(-(B253-$B$15)/$B$21)))</f>
        <v>0.238756409976144</v>
      </c>
      <c r="H253" s="21" t="n">
        <f aca="false">IF(B253="","",MAX(ABS($A253/$B$6-D253),ABS(($A253-1)/$B$6-D253)))</f>
        <v>0.0453232826391161</v>
      </c>
      <c r="I253" s="21" t="n">
        <f aca="false">IF(B253="","",MAX(ABS($A253/$B$6-E253),ABS(($A253-1)/$B$6-E253)))</f>
        <v>0.0210470505040244</v>
      </c>
      <c r="J253" s="21" t="n">
        <f aca="false">IF(B253="","",MAX(ABS($A253/$B$6-F253),ABS(($A253-1)/$B$6-F253)))</f>
        <v>0.0128843140880441</v>
      </c>
      <c r="K253" s="21" t="n">
        <f aca="false">IF(B253="","",MAX(ABS($A253/$B$6-G253),ABS(($A253-1)/$B$6-G253)))</f>
        <v>0.022756409976144</v>
      </c>
    </row>
    <row r="254" customFormat="false" ht="15" hidden="false" customHeight="false" outlineLevel="0" collapsed="false">
      <c r="A254" s="11" t="n">
        <v>218</v>
      </c>
      <c r="B254" s="9" t="n">
        <f aca="false">IF(A254&gt;$B$6,"",SMALL(BTC_Data!$C$3:$C$1002,A254))</f>
        <v>-0.000825069820301394</v>
      </c>
      <c r="C254" s="21" t="n">
        <f aca="false">IF(B254="","",A254/$B$6)</f>
        <v>0.218</v>
      </c>
      <c r="D254" s="21" t="n">
        <f aca="false">IF(B254="","",NORMDIST(B254,$B$15,$B$16,TRUE()))</f>
        <v>0.261478073103556</v>
      </c>
      <c r="E254" s="21" t="n">
        <f aca="false">IF(B254="","",IF(B254&gt;=$B$15,1-TDIST((B254-$B$15)/$B$18,$B$17,1),TDIST(($B$15-B254)/$B$18,$B$17,1)))</f>
        <v>0.237205408786617</v>
      </c>
      <c r="F254" s="21" t="n">
        <f aca="false">IF(B254="","",IF(B254&lt;$B$19,0.5*EXP((B254-$B$19)/$B$20),1-0.5*EXP(-(B254-$B$19)/$B$20)))</f>
        <v>0.204251472229195</v>
      </c>
      <c r="G254" s="21" t="n">
        <f aca="false">IF(B254="","",1/(1+EXP(-(B254-$B$15)/$B$21)))</f>
        <v>0.238913328776416</v>
      </c>
      <c r="H254" s="21" t="n">
        <f aca="false">IF(B254="","",MAX(ABS($A254/$B$6-D254),ABS(($A254-1)/$B$6-D254)))</f>
        <v>0.0444780731035563</v>
      </c>
      <c r="I254" s="21" t="n">
        <f aca="false">IF(B254="","",MAX(ABS($A254/$B$6-E254),ABS(($A254-1)/$B$6-E254)))</f>
        <v>0.0202054087866165</v>
      </c>
      <c r="J254" s="21" t="n">
        <f aca="false">IF(B254="","",MAX(ABS($A254/$B$6-F254),ABS(($A254-1)/$B$6-F254)))</f>
        <v>0.0137485277708053</v>
      </c>
      <c r="K254" s="21" t="n">
        <f aca="false">IF(B254="","",MAX(ABS($A254/$B$6-G254),ABS(($A254-1)/$B$6-G254)))</f>
        <v>0.0219133287764163</v>
      </c>
    </row>
    <row r="255" customFormat="false" ht="15" hidden="false" customHeight="false" outlineLevel="0" collapsed="false">
      <c r="A255" s="11" t="n">
        <v>219</v>
      </c>
      <c r="B255" s="9" t="n">
        <f aca="false">IF(A255&gt;$B$6,"",SMALL(BTC_Data!$C$3:$C$1002,A255))</f>
        <v>-0.00081667587583556</v>
      </c>
      <c r="C255" s="21" t="n">
        <f aca="false">IF(B255="","",A255/$B$6)</f>
        <v>0.219</v>
      </c>
      <c r="D255" s="21" t="n">
        <f aca="false">IF(B255="","",NORMDIST(B255,$B$15,$B$16,TRUE()))</f>
        <v>0.263627220051492</v>
      </c>
      <c r="E255" s="21" t="n">
        <f aca="false">IF(B255="","",IF(B255&gt;=$B$15,1-TDIST((B255-$B$15)/$B$18,$B$17,1),TDIST(($B$15-B255)/$B$18,$B$17,1)))</f>
        <v>0.239406470304319</v>
      </c>
      <c r="F255" s="21" t="n">
        <f aca="false">IF(B255="","",IF(B255&lt;$B$19,0.5*EXP((B255-$B$19)/$B$20),1-0.5*EXP(-(B255-$B$19)/$B$20)))</f>
        <v>0.206141841558191</v>
      </c>
      <c r="G255" s="21" t="n">
        <f aca="false">IF(B255="","",1/(1+EXP(-(B255-$B$15)/$B$21)))</f>
        <v>0.2410944002037</v>
      </c>
      <c r="H255" s="21" t="n">
        <f aca="false">IF(B255="","",MAX(ABS($A255/$B$6-D255),ABS(($A255-1)/$B$6-D255)))</f>
        <v>0.0456272200514918</v>
      </c>
      <c r="I255" s="21" t="n">
        <f aca="false">IF(B255="","",MAX(ABS($A255/$B$6-E255),ABS(($A255-1)/$B$6-E255)))</f>
        <v>0.0214064703043193</v>
      </c>
      <c r="J255" s="21" t="n">
        <f aca="false">IF(B255="","",MAX(ABS($A255/$B$6-F255),ABS(($A255-1)/$B$6-F255)))</f>
        <v>0.0128581584418087</v>
      </c>
      <c r="K255" s="21" t="n">
        <f aca="false">IF(B255="","",MAX(ABS($A255/$B$6-G255),ABS(($A255-1)/$B$6-G255)))</f>
        <v>0.0230944002036995</v>
      </c>
    </row>
    <row r="256" customFormat="false" ht="15" hidden="false" customHeight="false" outlineLevel="0" collapsed="false">
      <c r="A256" s="11" t="n">
        <v>220</v>
      </c>
      <c r="B256" s="9" t="n">
        <f aca="false">IF(A256&gt;$B$6,"",SMALL(BTC_Data!$C$3:$C$1002,A256))</f>
        <v>-0.000815804692167577</v>
      </c>
      <c r="C256" s="21" t="n">
        <f aca="false">IF(B256="","",A256/$B$6)</f>
        <v>0.22</v>
      </c>
      <c r="D256" s="21" t="n">
        <f aca="false">IF(B256="","",NORMDIST(B256,$B$15,$B$16,TRUE()))</f>
        <v>0.26385078901098</v>
      </c>
      <c r="E256" s="21" t="n">
        <f aca="false">IF(B256="","",IF(B256&gt;=$B$15,1-TDIST((B256-$B$15)/$B$18,$B$17,1),TDIST(($B$15-B256)/$B$18,$B$17,1)))</f>
        <v>0.239635693773769</v>
      </c>
      <c r="F256" s="21" t="n">
        <f aca="false">IF(B256="","",IF(B256&lt;$B$19,0.5*EXP((B256-$B$19)/$B$20),1-0.5*EXP(-(B256-$B$19)/$B$20)))</f>
        <v>0.206339037002957</v>
      </c>
      <c r="G256" s="21" t="n">
        <f aca="false">IF(B256="","",1/(1+EXP(-(B256-$B$15)/$B$21)))</f>
        <v>0.241321543873472</v>
      </c>
      <c r="H256" s="21" t="n">
        <f aca="false">IF(B256="","",MAX(ABS($A256/$B$6-D256),ABS(($A256-1)/$B$6-D256)))</f>
        <v>0.0448507890109796</v>
      </c>
      <c r="I256" s="21" t="n">
        <f aca="false">IF(B256="","",MAX(ABS($A256/$B$6-E256),ABS(($A256-1)/$B$6-E256)))</f>
        <v>0.0206356937737694</v>
      </c>
      <c r="J256" s="21" t="n">
        <f aca="false">IF(B256="","",MAX(ABS($A256/$B$6-F256),ABS(($A256-1)/$B$6-F256)))</f>
        <v>0.0136609629970434</v>
      </c>
      <c r="K256" s="21" t="n">
        <f aca="false">IF(B256="","",MAX(ABS($A256/$B$6-G256),ABS(($A256-1)/$B$6-G256)))</f>
        <v>0.0223215438734718</v>
      </c>
    </row>
    <row r="257" customFormat="false" ht="15" hidden="false" customHeight="false" outlineLevel="0" collapsed="false">
      <c r="A257" s="11" t="n">
        <v>221</v>
      </c>
      <c r="B257" s="9" t="n">
        <f aca="false">IF(A257&gt;$B$6,"",SMALL(BTC_Data!$C$3:$C$1002,A257))</f>
        <v>-0.000815311799097662</v>
      </c>
      <c r="C257" s="21" t="n">
        <f aca="false">IF(B257="","",A257/$B$6)</f>
        <v>0.221</v>
      </c>
      <c r="D257" s="21" t="n">
        <f aca="false">IF(B257="","",NORMDIST(B257,$B$15,$B$16,TRUE()))</f>
        <v>0.263977321318533</v>
      </c>
      <c r="E257" s="21" t="n">
        <f aca="false">IF(B257="","",IF(B257&gt;=$B$15,1-TDIST((B257-$B$15)/$B$18,$B$17,1),TDIST(($B$15-B257)/$B$18,$B$17,1)))</f>
        <v>0.239765447486138</v>
      </c>
      <c r="F257" s="21" t="n">
        <f aca="false">IF(B257="","",IF(B257&lt;$B$19,0.5*EXP((B257-$B$19)/$B$20),1-0.5*EXP(-(B257-$B$19)/$B$20)))</f>
        <v>0.20645068860173</v>
      </c>
      <c r="G257" s="21" t="n">
        <f aca="false">IF(B257="","",1/(1+EXP(-(B257-$B$15)/$B$21)))</f>
        <v>0.241450120477414</v>
      </c>
      <c r="H257" s="21" t="n">
        <f aca="false">IF(B257="","",MAX(ABS($A257/$B$6-D257),ABS(($A257-1)/$B$6-D257)))</f>
        <v>0.0439773213185331</v>
      </c>
      <c r="I257" s="21" t="n">
        <f aca="false">IF(B257="","",MAX(ABS($A257/$B$6-E257),ABS(($A257-1)/$B$6-E257)))</f>
        <v>0.0197654474861378</v>
      </c>
      <c r="J257" s="21" t="n">
        <f aca="false">IF(B257="","",MAX(ABS($A257/$B$6-F257),ABS(($A257-1)/$B$6-F257)))</f>
        <v>0.0145493113982702</v>
      </c>
      <c r="K257" s="21" t="n">
        <f aca="false">IF(B257="","",MAX(ABS($A257/$B$6-G257),ABS(($A257-1)/$B$6-G257)))</f>
        <v>0.0214501204774135</v>
      </c>
    </row>
    <row r="258" customFormat="false" ht="15" hidden="false" customHeight="false" outlineLevel="0" collapsed="false">
      <c r="A258" s="11" t="n">
        <v>222</v>
      </c>
      <c r="B258" s="9" t="n">
        <f aca="false">IF(A258&gt;$B$6,"",SMALL(BTC_Data!$C$3:$C$1002,A258))</f>
        <v>-0.00081409068209326</v>
      </c>
      <c r="C258" s="21" t="n">
        <f aca="false">IF(B258="","",A258/$B$6)</f>
        <v>0.222</v>
      </c>
      <c r="D258" s="21" t="n">
        <f aca="false">IF(B258="","",NORMDIST(B258,$B$15,$B$16,TRUE()))</f>
        <v>0.264290931703692</v>
      </c>
      <c r="E258" s="21" t="n">
        <f aca="false">IF(B258="","",IF(B258&gt;=$B$15,1-TDIST((B258-$B$15)/$B$18,$B$17,1),TDIST(($B$15-B258)/$B$18,$B$17,1)))</f>
        <v>0.240087107965901</v>
      </c>
      <c r="F258" s="21" t="n">
        <f aca="false">IF(B258="","",IF(B258&lt;$B$19,0.5*EXP((B258-$B$19)/$B$20),1-0.5*EXP(-(B258-$B$19)/$B$20)))</f>
        <v>0.206727559959221</v>
      </c>
      <c r="G258" s="21" t="n">
        <f aca="false">IF(B258="","",1/(1+EXP(-(B258-$B$15)/$B$21)))</f>
        <v>0.241768863459739</v>
      </c>
      <c r="H258" s="21" t="n">
        <f aca="false">IF(B258="","",MAX(ABS($A258/$B$6-D258),ABS(($A258-1)/$B$6-D258)))</f>
        <v>0.0432909317036922</v>
      </c>
      <c r="I258" s="21" t="n">
        <f aca="false">IF(B258="","",MAX(ABS($A258/$B$6-E258),ABS(($A258-1)/$B$6-E258)))</f>
        <v>0.019087107965901</v>
      </c>
      <c r="J258" s="21" t="n">
        <f aca="false">IF(B258="","",MAX(ABS($A258/$B$6-F258),ABS(($A258-1)/$B$6-F258)))</f>
        <v>0.015272440040779</v>
      </c>
      <c r="K258" s="21" t="n">
        <f aca="false">IF(B258="","",MAX(ABS($A258/$B$6-G258),ABS(($A258-1)/$B$6-G258)))</f>
        <v>0.0207688634597387</v>
      </c>
    </row>
    <row r="259" customFormat="false" ht="15" hidden="false" customHeight="false" outlineLevel="0" collapsed="false">
      <c r="A259" s="11" t="n">
        <v>223</v>
      </c>
      <c r="B259" s="9" t="n">
        <f aca="false">IF(A259&gt;$B$6,"",SMALL(BTC_Data!$C$3:$C$1002,A259))</f>
        <v>-0.000813896343583642</v>
      </c>
      <c r="C259" s="21" t="n">
        <f aca="false">IF(B259="","",A259/$B$6)</f>
        <v>0.223</v>
      </c>
      <c r="D259" s="21" t="n">
        <f aca="false">IF(B259="","",NORMDIST(B259,$B$15,$B$16,TRUE()))</f>
        <v>0.264340859707985</v>
      </c>
      <c r="E259" s="21" t="n">
        <f aca="false">IF(B259="","",IF(B259&gt;=$B$15,1-TDIST((B259-$B$15)/$B$18,$B$17,1),TDIST(($B$15-B259)/$B$18,$B$17,1)))</f>
        <v>0.240138326229508</v>
      </c>
      <c r="F259" s="21" t="n">
        <f aca="false">IF(B259="","",IF(B259&lt;$B$19,0.5*EXP((B259-$B$19)/$B$20),1-0.5*EXP(-(B259-$B$19)/$B$20)))</f>
        <v>0.206771657759293</v>
      </c>
      <c r="G259" s="21" t="n">
        <f aca="false">IF(B259="","",1/(1+EXP(-(B259-$B$15)/$B$21)))</f>
        <v>0.241819617242744</v>
      </c>
      <c r="H259" s="21" t="n">
        <f aca="false">IF(B259="","",MAX(ABS($A259/$B$6-D259),ABS(($A259-1)/$B$6-D259)))</f>
        <v>0.0423408597079847</v>
      </c>
      <c r="I259" s="21" t="n">
        <f aca="false">IF(B259="","",MAX(ABS($A259/$B$6-E259),ABS(($A259-1)/$B$6-E259)))</f>
        <v>0.0181383262295084</v>
      </c>
      <c r="J259" s="21" t="n">
        <f aca="false">IF(B259="","",MAX(ABS($A259/$B$6-F259),ABS(($A259-1)/$B$6-F259)))</f>
        <v>0.0162283422407073</v>
      </c>
      <c r="K259" s="21" t="n">
        <f aca="false">IF(B259="","",MAX(ABS($A259/$B$6-G259),ABS(($A259-1)/$B$6-G259)))</f>
        <v>0.0198196172427436</v>
      </c>
    </row>
    <row r="260" customFormat="false" ht="15" hidden="false" customHeight="false" outlineLevel="0" collapsed="false">
      <c r="A260" s="11" t="n">
        <v>224</v>
      </c>
      <c r="B260" s="9" t="n">
        <f aca="false">IF(A260&gt;$B$6,"",SMALL(BTC_Data!$C$3:$C$1002,A260))</f>
        <v>-0.000805088434934431</v>
      </c>
      <c r="C260" s="21" t="n">
        <f aca="false">IF(B260="","",A260/$B$6)</f>
        <v>0.224</v>
      </c>
      <c r="D260" s="21" t="n">
        <f aca="false">IF(B260="","",NORMDIST(B260,$B$15,$B$16,TRUE()))</f>
        <v>0.266608751274739</v>
      </c>
      <c r="E260" s="21" t="n">
        <f aca="false">IF(B260="","",IF(B260&gt;=$B$15,1-TDIST((B260-$B$15)/$B$18,$B$17,1),TDIST(($B$15-B260)/$B$18,$B$17,1)))</f>
        <v>0.242467323371295</v>
      </c>
      <c r="F260" s="21" t="n">
        <f aca="false">IF(B260="","",IF(B260&lt;$B$19,0.5*EXP((B260-$B$19)/$B$20),1-0.5*EXP(-(B260-$B$19)/$B$20)))</f>
        <v>0.208780186262847</v>
      </c>
      <c r="G260" s="21" t="n">
        <f aca="false">IF(B260="","",1/(1+EXP(-(B260-$B$15)/$B$21)))</f>
        <v>0.244127516474357</v>
      </c>
      <c r="H260" s="21" t="n">
        <f aca="false">IF(B260="","",MAX(ABS($A260/$B$6-D260),ABS(($A260-1)/$B$6-D260)))</f>
        <v>0.0436087512747393</v>
      </c>
      <c r="I260" s="21" t="n">
        <f aca="false">IF(B260="","",MAX(ABS($A260/$B$6-E260),ABS(($A260-1)/$B$6-E260)))</f>
        <v>0.0194673233712952</v>
      </c>
      <c r="J260" s="21" t="n">
        <f aca="false">IF(B260="","",MAX(ABS($A260/$B$6-F260),ABS(($A260-1)/$B$6-F260)))</f>
        <v>0.0152198137371529</v>
      </c>
      <c r="K260" s="21" t="n">
        <f aca="false">IF(B260="","",MAX(ABS($A260/$B$6-G260),ABS(($A260-1)/$B$6-G260)))</f>
        <v>0.0211275164743568</v>
      </c>
    </row>
    <row r="261" customFormat="false" ht="15" hidden="false" customHeight="false" outlineLevel="0" collapsed="false">
      <c r="A261" s="11" t="n">
        <v>225</v>
      </c>
      <c r="B261" s="9" t="n">
        <f aca="false">IF(A261&gt;$B$6,"",SMALL(BTC_Data!$C$3:$C$1002,A261))</f>
        <v>-0.000794518408263611</v>
      </c>
      <c r="C261" s="21" t="n">
        <f aca="false">IF(B261="","",A261/$B$6)</f>
        <v>0.225</v>
      </c>
      <c r="D261" s="21" t="n">
        <f aca="false">IF(B261="","",NORMDIST(B261,$B$15,$B$16,TRUE()))</f>
        <v>0.269343285899049</v>
      </c>
      <c r="E261" s="21" t="n">
        <f aca="false">IF(B261="","",IF(B261&gt;=$B$15,1-TDIST((B261-$B$15)/$B$18,$B$17,1),TDIST(($B$15-B261)/$B$18,$B$17,1)))</f>
        <v>0.245281996554646</v>
      </c>
      <c r="F261" s="21" t="n">
        <f aca="false">IF(B261="","",IF(B261&lt;$B$19,0.5*EXP((B261-$B$19)/$B$20),1-0.5*EXP(-(B261-$B$19)/$B$20)))</f>
        <v>0.211216315090467</v>
      </c>
      <c r="G261" s="21" t="n">
        <f aca="false">IF(B261="","",1/(1+EXP(-(B261-$B$15)/$B$21)))</f>
        <v>0.246916757962035</v>
      </c>
      <c r="H261" s="21" t="n">
        <f aca="false">IF(B261="","",MAX(ABS($A261/$B$6-D261),ABS(($A261-1)/$B$6-D261)))</f>
        <v>0.0453432858990494</v>
      </c>
      <c r="I261" s="21" t="n">
        <f aca="false">IF(B261="","",MAX(ABS($A261/$B$6-E261),ABS(($A261-1)/$B$6-E261)))</f>
        <v>0.0212819965546463</v>
      </c>
      <c r="J261" s="21" t="n">
        <f aca="false">IF(B261="","",MAX(ABS($A261/$B$6-F261),ABS(($A261-1)/$B$6-F261)))</f>
        <v>0.0137836849095326</v>
      </c>
      <c r="K261" s="21" t="n">
        <f aca="false">IF(B261="","",MAX(ABS($A261/$B$6-G261),ABS(($A261-1)/$B$6-G261)))</f>
        <v>0.0229167579620349</v>
      </c>
    </row>
    <row r="262" customFormat="false" ht="15" hidden="false" customHeight="false" outlineLevel="0" collapsed="false">
      <c r="A262" s="11" t="n">
        <v>226</v>
      </c>
      <c r="B262" s="9" t="n">
        <f aca="false">IF(A262&gt;$B$6,"",SMALL(BTC_Data!$C$3:$C$1002,A262))</f>
        <v>-0.000793607564729904</v>
      </c>
      <c r="C262" s="21" t="n">
        <f aca="false">IF(B262="","",A262/$B$6)</f>
        <v>0.226</v>
      </c>
      <c r="D262" s="21" t="n">
        <f aca="false">IF(B262="","",NORMDIST(B262,$B$15,$B$16,TRUE()))</f>
        <v>0.269579583541978</v>
      </c>
      <c r="E262" s="21" t="n">
        <f aca="false">IF(B262="","",IF(B262&gt;=$B$15,1-TDIST((B262-$B$15)/$B$18,$B$17,1),TDIST(($B$15-B262)/$B$18,$B$17,1)))</f>
        <v>0.24552554852013</v>
      </c>
      <c r="F262" s="21" t="n">
        <f aca="false">IF(B262="","",IF(B262&lt;$B$19,0.5*EXP((B262-$B$19)/$B$20),1-0.5*EXP(-(B262-$B$19)/$B$20)))</f>
        <v>0.211427567512266</v>
      </c>
      <c r="G262" s="21" t="n">
        <f aca="false">IF(B262="","",1/(1+EXP(-(B262-$B$15)/$B$21)))</f>
        <v>0.247158113033443</v>
      </c>
      <c r="H262" s="21" t="n">
        <f aca="false">IF(B262="","",MAX(ABS($A262/$B$6-D262),ABS(($A262-1)/$B$6-D262)))</f>
        <v>0.0445795835419779</v>
      </c>
      <c r="I262" s="21" t="n">
        <f aca="false">IF(B262="","",MAX(ABS($A262/$B$6-E262),ABS(($A262-1)/$B$6-E262)))</f>
        <v>0.0205255485201299</v>
      </c>
      <c r="J262" s="21" t="n">
        <f aca="false">IF(B262="","",MAX(ABS($A262/$B$6-F262),ABS(($A262-1)/$B$6-F262)))</f>
        <v>0.0145724324877344</v>
      </c>
      <c r="K262" s="21" t="n">
        <f aca="false">IF(B262="","",MAX(ABS($A262/$B$6-G262),ABS(($A262-1)/$B$6-G262)))</f>
        <v>0.0221581130334426</v>
      </c>
    </row>
    <row r="263" customFormat="false" ht="15" hidden="false" customHeight="false" outlineLevel="0" collapsed="false">
      <c r="A263" s="11" t="n">
        <v>227</v>
      </c>
      <c r="B263" s="9" t="n">
        <f aca="false">IF(A263&gt;$B$6,"",SMALL(BTC_Data!$C$3:$C$1002,A263))</f>
        <v>-0.000790587637237827</v>
      </c>
      <c r="C263" s="21" t="n">
        <f aca="false">IF(B263="","",A263/$B$6)</f>
        <v>0.227</v>
      </c>
      <c r="D263" s="21" t="n">
        <f aca="false">IF(B263="","",NORMDIST(B263,$B$15,$B$16,TRUE()))</f>
        <v>0.270363777440758</v>
      </c>
      <c r="E263" s="21" t="n">
        <f aca="false">IF(B263="","",IF(B263&gt;=$B$15,1-TDIST((B263-$B$15)/$B$18,$B$17,1),TDIST(($B$15-B263)/$B$18,$B$17,1)))</f>
        <v>0.246334190819273</v>
      </c>
      <c r="F263" s="21" t="n">
        <f aca="false">IF(B263="","",IF(B263&lt;$B$19,0.5*EXP((B263-$B$19)/$B$20),1-0.5*EXP(-(B263-$B$19)/$B$20)))</f>
        <v>0.212129493642871</v>
      </c>
      <c r="G263" s="21" t="n">
        <f aca="false">IF(B263="","",1/(1+EXP(-(B263-$B$15)/$B$21)))</f>
        <v>0.247959465660822</v>
      </c>
      <c r="H263" s="21" t="n">
        <f aca="false">IF(B263="","",MAX(ABS($A263/$B$6-D263),ABS(($A263-1)/$B$6-D263)))</f>
        <v>0.0443637774407577</v>
      </c>
      <c r="I263" s="21" t="n">
        <f aca="false">IF(B263="","",MAX(ABS($A263/$B$6-E263),ABS(($A263-1)/$B$6-E263)))</f>
        <v>0.0203341908192726</v>
      </c>
      <c r="J263" s="21" t="n">
        <f aca="false">IF(B263="","",MAX(ABS($A263/$B$6-F263),ABS(($A263-1)/$B$6-F263)))</f>
        <v>0.0148705063571295</v>
      </c>
      <c r="K263" s="21" t="n">
        <f aca="false">IF(B263="","",MAX(ABS($A263/$B$6-G263),ABS(($A263-1)/$B$6-G263)))</f>
        <v>0.0219594656608217</v>
      </c>
    </row>
    <row r="264" customFormat="false" ht="15" hidden="false" customHeight="false" outlineLevel="0" collapsed="false">
      <c r="A264" s="11" t="n">
        <v>228</v>
      </c>
      <c r="B264" s="9" t="n">
        <f aca="false">IF(A264&gt;$B$6,"",SMALL(BTC_Data!$C$3:$C$1002,A264))</f>
        <v>-0.000784800258013196</v>
      </c>
      <c r="C264" s="21" t="n">
        <f aca="false">IF(B264="","",A264/$B$6)</f>
        <v>0.228</v>
      </c>
      <c r="D264" s="21" t="n">
        <f aca="false">IF(B264="","",NORMDIST(B264,$B$15,$B$16,TRUE()))</f>
        <v>0.271869783506389</v>
      </c>
      <c r="E264" s="21" t="n">
        <f aca="false">IF(B264="","",IF(B264&gt;=$B$15,1-TDIST((B264-$B$15)/$B$18,$B$17,1),TDIST(($B$15-B264)/$B$18,$B$17,1)))</f>
        <v>0.247888754314986</v>
      </c>
      <c r="F264" s="21" t="n">
        <f aca="false">IF(B264="","",IF(B264&lt;$B$19,0.5*EXP((B264-$B$19)/$B$20),1-0.5*EXP(-(B264-$B$19)/$B$20)))</f>
        <v>0.213481181333181</v>
      </c>
      <c r="G264" s="21" t="n">
        <f aca="false">IF(B264="","",1/(1+EXP(-(B264-$B$15)/$B$21)))</f>
        <v>0.249500035199559</v>
      </c>
      <c r="H264" s="21" t="n">
        <f aca="false">IF(B264="","",MAX(ABS($A264/$B$6-D264),ABS(($A264-1)/$B$6-D264)))</f>
        <v>0.044869783506389</v>
      </c>
      <c r="I264" s="21" t="n">
        <f aca="false">IF(B264="","",MAX(ABS($A264/$B$6-E264),ABS(($A264-1)/$B$6-E264)))</f>
        <v>0.0208887543149861</v>
      </c>
      <c r="J264" s="21" t="n">
        <f aca="false">IF(B264="","",MAX(ABS($A264/$B$6-F264),ABS(($A264-1)/$B$6-F264)))</f>
        <v>0.0145188186668193</v>
      </c>
      <c r="K264" s="21" t="n">
        <f aca="false">IF(B264="","",MAX(ABS($A264/$B$6-G264),ABS(($A264-1)/$B$6-G264)))</f>
        <v>0.0225000351995588</v>
      </c>
    </row>
    <row r="265" customFormat="false" ht="15" hidden="false" customHeight="false" outlineLevel="0" collapsed="false">
      <c r="A265" s="11" t="n">
        <v>229</v>
      </c>
      <c r="B265" s="9" t="n">
        <f aca="false">IF(A265&gt;$B$6,"",SMALL(BTC_Data!$C$3:$C$1002,A265))</f>
        <v>-0.000772420621988901</v>
      </c>
      <c r="C265" s="21" t="n">
        <f aca="false">IF(B265="","",A265/$B$6)</f>
        <v>0.229</v>
      </c>
      <c r="D265" s="21" t="n">
        <f aca="false">IF(B265="","",NORMDIST(B265,$B$15,$B$16,TRUE()))</f>
        <v>0.275105190992971</v>
      </c>
      <c r="E265" s="21" t="n">
        <f aca="false">IF(B265="","",IF(B265&gt;=$B$15,1-TDIST((B265-$B$15)/$B$18,$B$17,1),TDIST(($B$15-B265)/$B$18,$B$17,1)))</f>
        <v>0.251235570125593</v>
      </c>
      <c r="F265" s="21" t="n">
        <f aca="false">IF(B265="","",IF(B265&lt;$B$19,0.5*EXP((B265-$B$19)/$B$20),1-0.5*EXP(-(B265-$B$19)/$B$20)))</f>
        <v>0.216401528878184</v>
      </c>
      <c r="G265" s="21" t="n">
        <f aca="false">IF(B265="","",1/(1+EXP(-(B265-$B$15)/$B$21)))</f>
        <v>0.252816819232559</v>
      </c>
      <c r="H265" s="21" t="n">
        <f aca="false">IF(B265="","",MAX(ABS($A265/$B$6-D265),ABS(($A265-1)/$B$6-D265)))</f>
        <v>0.0471051909929707</v>
      </c>
      <c r="I265" s="21" t="n">
        <f aca="false">IF(B265="","",MAX(ABS($A265/$B$6-E265),ABS(($A265-1)/$B$6-E265)))</f>
        <v>0.0232355701255934</v>
      </c>
      <c r="J265" s="21" t="n">
        <f aca="false">IF(B265="","",MAX(ABS($A265/$B$6-F265),ABS(($A265-1)/$B$6-F265)))</f>
        <v>0.0125984711218161</v>
      </c>
      <c r="K265" s="21" t="n">
        <f aca="false">IF(B265="","",MAX(ABS($A265/$B$6-G265),ABS(($A265-1)/$B$6-G265)))</f>
        <v>0.0248168192325585</v>
      </c>
    </row>
    <row r="266" customFormat="false" ht="15" hidden="false" customHeight="false" outlineLevel="0" collapsed="false">
      <c r="A266" s="11" t="n">
        <v>230</v>
      </c>
      <c r="B266" s="9" t="n">
        <f aca="false">IF(A266&gt;$B$6,"",SMALL(BTC_Data!$C$3:$C$1002,A266))</f>
        <v>-0.000771590426861923</v>
      </c>
      <c r="C266" s="21" t="n">
        <f aca="false">IF(B266="","",A266/$B$6)</f>
        <v>0.23</v>
      </c>
      <c r="D266" s="21" t="n">
        <f aca="false">IF(B266="","",NORMDIST(B266,$B$15,$B$16,TRUE()))</f>
        <v>0.275322838380212</v>
      </c>
      <c r="E266" s="21" t="n">
        <f aca="false">IF(B266="","",IF(B266&gt;=$B$15,1-TDIST((B266-$B$15)/$B$18,$B$17,1),TDIST(($B$15-B266)/$B$18,$B$17,1)))</f>
        <v>0.251461057176587</v>
      </c>
      <c r="F266" s="21" t="n">
        <f aca="false">IF(B266="","",IF(B266&lt;$B$19,0.5*EXP((B266-$B$19)/$B$20),1-0.5*EXP(-(B266-$B$19)/$B$20)))</f>
        <v>0.216598794650161</v>
      </c>
      <c r="G266" s="21" t="n">
        <f aca="false">IF(B266="","",1/(1+EXP(-(B266-$B$15)/$B$21)))</f>
        <v>0.253040287919569</v>
      </c>
      <c r="H266" s="21" t="n">
        <f aca="false">IF(B266="","",MAX(ABS($A266/$B$6-D266),ABS(($A266-1)/$B$6-D266)))</f>
        <v>0.0463228383802124</v>
      </c>
      <c r="I266" s="21" t="n">
        <f aca="false">IF(B266="","",MAX(ABS($A266/$B$6-E266),ABS(($A266-1)/$B$6-E266)))</f>
        <v>0.0224610571765865</v>
      </c>
      <c r="J266" s="21" t="n">
        <f aca="false">IF(B266="","",MAX(ABS($A266/$B$6-F266),ABS(($A266-1)/$B$6-F266)))</f>
        <v>0.0134012053498391</v>
      </c>
      <c r="K266" s="21" t="n">
        <f aca="false">IF(B266="","",MAX(ABS($A266/$B$6-G266),ABS(($A266-1)/$B$6-G266)))</f>
        <v>0.0240402879195686</v>
      </c>
    </row>
    <row r="267" customFormat="false" ht="15" hidden="false" customHeight="false" outlineLevel="0" collapsed="false">
      <c r="A267" s="11" t="n">
        <v>231</v>
      </c>
      <c r="B267" s="9" t="n">
        <f aca="false">IF(A267&gt;$B$6,"",SMALL(BTC_Data!$C$3:$C$1002,A267))</f>
        <v>-0.000761308784245851</v>
      </c>
      <c r="C267" s="21" t="n">
        <f aca="false">IF(B267="","",A267/$B$6)</f>
        <v>0.231</v>
      </c>
      <c r="D267" s="21" t="n">
        <f aca="false">IF(B267="","",NORMDIST(B267,$B$15,$B$16,TRUE()))</f>
        <v>0.278025318295137</v>
      </c>
      <c r="E267" s="21" t="n">
        <f aca="false">IF(B267="","",IF(B267&gt;=$B$15,1-TDIST((B267-$B$15)/$B$18,$B$17,1),TDIST(($B$15-B267)/$B$18,$B$17,1)))</f>
        <v>0.254264476064521</v>
      </c>
      <c r="F267" s="21" t="n">
        <f aca="false">IF(B267="","",IF(B267&lt;$B$19,0.5*EXP((B267-$B$19)/$B$20),1-0.5*EXP(-(B267-$B$19)/$B$20)))</f>
        <v>0.219056809864426</v>
      </c>
      <c r="G267" s="21" t="n">
        <f aca="false">IF(B267="","",1/(1+EXP(-(B267-$B$15)/$B$21)))</f>
        <v>0.25581866914685</v>
      </c>
      <c r="H267" s="21" t="n">
        <f aca="false">IF(B267="","",MAX(ABS($A267/$B$6-D267),ABS(($A267-1)/$B$6-D267)))</f>
        <v>0.0480253182951372</v>
      </c>
      <c r="I267" s="21" t="n">
        <f aca="false">IF(B267="","",MAX(ABS($A267/$B$6-E267),ABS(($A267-1)/$B$6-E267)))</f>
        <v>0.0242644760645213</v>
      </c>
      <c r="J267" s="21" t="n">
        <f aca="false">IF(B267="","",MAX(ABS($A267/$B$6-F267),ABS(($A267-1)/$B$6-F267)))</f>
        <v>0.0119431901355745</v>
      </c>
      <c r="K267" s="21" t="n">
        <f aca="false">IF(B267="","",MAX(ABS($A267/$B$6-G267),ABS(($A267-1)/$B$6-G267)))</f>
        <v>0.0258186691468499</v>
      </c>
    </row>
    <row r="268" customFormat="false" ht="15" hidden="false" customHeight="false" outlineLevel="0" collapsed="false">
      <c r="A268" s="11" t="n">
        <v>232</v>
      </c>
      <c r="B268" s="9" t="n">
        <f aca="false">IF(A268&gt;$B$6,"",SMALL(BTC_Data!$C$3:$C$1002,A268))</f>
        <v>-0.000753919943169201</v>
      </c>
      <c r="C268" s="21" t="n">
        <f aca="false">IF(B268="","",A268/$B$6)</f>
        <v>0.232</v>
      </c>
      <c r="D268" s="21" t="n">
        <f aca="false">IF(B268="","",NORMDIST(B268,$B$15,$B$16,TRUE()))</f>
        <v>0.279975398847634</v>
      </c>
      <c r="E268" s="21" t="n">
        <f aca="false">IF(B268="","",IF(B268&gt;=$B$15,1-TDIST((B268-$B$15)/$B$18,$B$17,1),TDIST(($B$15-B268)/$B$18,$B$17,1)))</f>
        <v>0.256291500519862</v>
      </c>
      <c r="F268" s="21" t="n">
        <f aca="false">IF(B268="","",IF(B268&lt;$B$19,0.5*EXP((B268-$B$19)/$B$20),1-0.5*EXP(-(B268-$B$19)/$B$20)))</f>
        <v>0.220840455491781</v>
      </c>
      <c r="G268" s="21" t="n">
        <f aca="false">IF(B268="","",1/(1+EXP(-(B268-$B$15)/$B$21)))</f>
        <v>0.257827657825385</v>
      </c>
      <c r="H268" s="21" t="n">
        <f aca="false">IF(B268="","",MAX(ABS($A268/$B$6-D268),ABS(($A268-1)/$B$6-D268)))</f>
        <v>0.0489753988476336</v>
      </c>
      <c r="I268" s="21" t="n">
        <f aca="false">IF(B268="","",MAX(ABS($A268/$B$6-E268),ABS(($A268-1)/$B$6-E268)))</f>
        <v>0.0252915005198615</v>
      </c>
      <c r="J268" s="21" t="n">
        <f aca="false">IF(B268="","",MAX(ABS($A268/$B$6-F268),ABS(($A268-1)/$B$6-F268)))</f>
        <v>0.0111595445082195</v>
      </c>
      <c r="K268" s="21" t="n">
        <f aca="false">IF(B268="","",MAX(ABS($A268/$B$6-G268),ABS(($A268-1)/$B$6-G268)))</f>
        <v>0.026827657825385</v>
      </c>
    </row>
    <row r="269" customFormat="false" ht="15" hidden="false" customHeight="false" outlineLevel="0" collapsed="false">
      <c r="A269" s="11" t="n">
        <v>233</v>
      </c>
      <c r="B269" s="9" t="n">
        <f aca="false">IF(A269&gt;$B$6,"",SMALL(BTC_Data!$C$3:$C$1002,A269))</f>
        <v>-0.000748635810960519</v>
      </c>
      <c r="C269" s="21" t="n">
        <f aca="false">IF(B269="","",A269/$B$6)</f>
        <v>0.233</v>
      </c>
      <c r="D269" s="21" t="n">
        <f aca="false">IF(B269="","",NORMDIST(B269,$B$15,$B$16,TRUE()))</f>
        <v>0.281374054663804</v>
      </c>
      <c r="E269" s="21" t="n">
        <f aca="false">IF(B269="","",IF(B269&gt;=$B$15,1-TDIST((B269-$B$15)/$B$18,$B$17,1),TDIST(($B$15-B269)/$B$18,$B$17,1)))</f>
        <v>0.257747446209841</v>
      </c>
      <c r="F269" s="21" t="n">
        <f aca="false">IF(B269="","",IF(B269&lt;$B$19,0.5*EXP((B269-$B$19)/$B$20),1-0.5*EXP(-(B269-$B$19)/$B$20)))</f>
        <v>0.222124930369443</v>
      </c>
      <c r="G269" s="21" t="n">
        <f aca="false">IF(B269="","",1/(1+EXP(-(B269-$B$15)/$B$21)))</f>
        <v>0.259270686066877</v>
      </c>
      <c r="H269" s="21" t="n">
        <f aca="false">IF(B269="","",MAX(ABS($A269/$B$6-D269),ABS(($A269-1)/$B$6-D269)))</f>
        <v>0.0493740546638037</v>
      </c>
      <c r="I269" s="21" t="n">
        <f aca="false">IF(B269="","",MAX(ABS($A269/$B$6-E269),ABS(($A269-1)/$B$6-E269)))</f>
        <v>0.0257474462098409</v>
      </c>
      <c r="J269" s="21" t="n">
        <f aca="false">IF(B269="","",MAX(ABS($A269/$B$6-F269),ABS(($A269-1)/$B$6-F269)))</f>
        <v>0.0108750696305573</v>
      </c>
      <c r="K269" s="21" t="n">
        <f aca="false">IF(B269="","",MAX(ABS($A269/$B$6-G269),ABS(($A269-1)/$B$6-G269)))</f>
        <v>0.0272706860668768</v>
      </c>
    </row>
    <row r="270" customFormat="false" ht="15" hidden="false" customHeight="false" outlineLevel="0" collapsed="false">
      <c r="A270" s="11" t="n">
        <v>234</v>
      </c>
      <c r="B270" s="9" t="n">
        <f aca="false">IF(A270&gt;$B$6,"",SMALL(BTC_Data!$C$3:$C$1002,A270))</f>
        <v>-0.000716290207650072</v>
      </c>
      <c r="C270" s="21" t="n">
        <f aca="false">IF(B270="","",A270/$B$6)</f>
        <v>0.234</v>
      </c>
      <c r="D270" s="21" t="n">
        <f aca="false">IF(B270="","",NORMDIST(B270,$B$15,$B$16,TRUE()))</f>
        <v>0.290008309985337</v>
      </c>
      <c r="E270" s="21" t="n">
        <f aca="false">IF(B270="","",IF(B270&gt;=$B$15,1-TDIST((B270-$B$15)/$B$18,$B$17,1),TDIST(($B$15-B270)/$B$18,$B$17,1)))</f>
        <v>0.266773643252195</v>
      </c>
      <c r="F270" s="21" t="n">
        <f aca="false">IF(B270="","",IF(B270&lt;$B$19,0.5*EXP((B270-$B$19)/$B$20),1-0.5*EXP(-(B270-$B$19)/$B$20)))</f>
        <v>0.230152007916863</v>
      </c>
      <c r="G270" s="21" t="n">
        <f aca="false">IF(B270="","",1/(1+EXP(-(B270-$B$15)/$B$21)))</f>
        <v>0.268217558930607</v>
      </c>
      <c r="H270" s="21" t="n">
        <f aca="false">IF(B270="","",MAX(ABS($A270/$B$6-D270),ABS(($A270-1)/$B$6-D270)))</f>
        <v>0.0570083099853367</v>
      </c>
      <c r="I270" s="21" t="n">
        <f aca="false">IF(B270="","",MAX(ABS($A270/$B$6-E270),ABS(($A270-1)/$B$6-E270)))</f>
        <v>0.0337736432521946</v>
      </c>
      <c r="J270" s="21" t="n">
        <f aca="false">IF(B270="","",MAX(ABS($A270/$B$6-F270),ABS(($A270-1)/$B$6-F270)))</f>
        <v>0.00384799208313735</v>
      </c>
      <c r="K270" s="21" t="n">
        <f aca="false">IF(B270="","",MAX(ABS($A270/$B$6-G270),ABS(($A270-1)/$B$6-G270)))</f>
        <v>0.0352175589306073</v>
      </c>
    </row>
    <row r="271" customFormat="false" ht="15" hidden="false" customHeight="false" outlineLevel="0" collapsed="false">
      <c r="A271" s="11" t="n">
        <v>235</v>
      </c>
      <c r="B271" s="9" t="n">
        <f aca="false">IF(A271&gt;$B$6,"",SMALL(BTC_Data!$C$3:$C$1002,A271))</f>
        <v>-0.000711055383938675</v>
      </c>
      <c r="C271" s="21" t="n">
        <f aca="false">IF(B271="","",A271/$B$6)</f>
        <v>0.235</v>
      </c>
      <c r="D271" s="21" t="n">
        <f aca="false">IF(B271="","",NORMDIST(B271,$B$15,$B$16,TRUE()))</f>
        <v>0.291417274728275</v>
      </c>
      <c r="E271" s="21" t="n">
        <f aca="false">IF(B271="","",IF(B271&gt;=$B$15,1-TDIST((B271-$B$15)/$B$18,$B$17,1),TDIST(($B$15-B271)/$B$18,$B$17,1)))</f>
        <v>0.268252720507419</v>
      </c>
      <c r="F271" s="21" t="n">
        <f aca="false">IF(B271="","",IF(B271&lt;$B$19,0.5*EXP((B271-$B$19)/$B$20),1-0.5*EXP(-(B271-$B$19)/$B$20)))</f>
        <v>0.231478114318605</v>
      </c>
      <c r="G271" s="21" t="n">
        <f aca="false">IF(B271="","",1/(1+EXP(-(B271-$B$15)/$B$21)))</f>
        <v>0.269683771931093</v>
      </c>
      <c r="H271" s="21" t="n">
        <f aca="false">IF(B271="","",MAX(ABS($A271/$B$6-D271),ABS(($A271-1)/$B$6-D271)))</f>
        <v>0.057417274728275</v>
      </c>
      <c r="I271" s="21" t="n">
        <f aca="false">IF(B271="","",MAX(ABS($A271/$B$6-E271),ABS(($A271-1)/$B$6-E271)))</f>
        <v>0.0342527205074187</v>
      </c>
      <c r="J271" s="21" t="n">
        <f aca="false">IF(B271="","",MAX(ABS($A271/$B$6-F271),ABS(($A271-1)/$B$6-F271)))</f>
        <v>0.00352188568139455</v>
      </c>
      <c r="K271" s="21" t="n">
        <f aca="false">IF(B271="","",MAX(ABS($A271/$B$6-G271),ABS(($A271-1)/$B$6-G271)))</f>
        <v>0.0356837719310932</v>
      </c>
    </row>
    <row r="272" customFormat="false" ht="15" hidden="false" customHeight="false" outlineLevel="0" collapsed="false">
      <c r="A272" s="11" t="n">
        <v>236</v>
      </c>
      <c r="B272" s="9" t="n">
        <f aca="false">IF(A272&gt;$B$6,"",SMALL(BTC_Data!$C$3:$C$1002,A272))</f>
        <v>-0.000709752447283774</v>
      </c>
      <c r="C272" s="21" t="n">
        <f aca="false">IF(B272="","",A272/$B$6)</f>
        <v>0.236</v>
      </c>
      <c r="D272" s="21" t="n">
        <f aca="false">IF(B272="","",NORMDIST(B272,$B$15,$B$16,TRUE()))</f>
        <v>0.291768458819521</v>
      </c>
      <c r="E272" s="21" t="n">
        <f aca="false">IF(B272="","",IF(B272&gt;=$B$15,1-TDIST((B272-$B$15)/$B$18,$B$17,1),TDIST(($B$15-B272)/$B$18,$B$17,1)))</f>
        <v>0.26862164503551</v>
      </c>
      <c r="F272" s="21" t="n">
        <f aca="false">IF(B272="","",IF(B272&lt;$B$19,0.5*EXP((B272-$B$19)/$B$20),1-0.5*EXP(-(B272-$B$19)/$B$20)))</f>
        <v>0.231809365287532</v>
      </c>
      <c r="G272" s="21" t="n">
        <f aca="false">IF(B272="","",1/(1+EXP(-(B272-$B$15)/$B$21)))</f>
        <v>0.270049493992463</v>
      </c>
      <c r="H272" s="21" t="n">
        <f aca="false">IF(B272="","",MAX(ABS($A272/$B$6-D272),ABS(($A272-1)/$B$6-D272)))</f>
        <v>0.0567684588195206</v>
      </c>
      <c r="I272" s="21" t="n">
        <f aca="false">IF(B272="","",MAX(ABS($A272/$B$6-E272),ABS(($A272-1)/$B$6-E272)))</f>
        <v>0.0336216450355097</v>
      </c>
      <c r="J272" s="21" t="n">
        <f aca="false">IF(B272="","",MAX(ABS($A272/$B$6-F272),ABS(($A272-1)/$B$6-F272)))</f>
        <v>0.00419063471246803</v>
      </c>
      <c r="K272" s="21" t="n">
        <f aca="false">IF(B272="","",MAX(ABS($A272/$B$6-G272),ABS(($A272-1)/$B$6-G272)))</f>
        <v>0.0350494939924628</v>
      </c>
    </row>
    <row r="273" customFormat="false" ht="15" hidden="false" customHeight="false" outlineLevel="0" collapsed="false">
      <c r="A273" s="11" t="n">
        <v>237</v>
      </c>
      <c r="B273" s="9" t="n">
        <f aca="false">IF(A273&gt;$B$6,"",SMALL(BTC_Data!$C$3:$C$1002,A273))</f>
        <v>-0.000705738152316227</v>
      </c>
      <c r="C273" s="21" t="n">
        <f aca="false">IF(B273="","",A273/$B$6)</f>
        <v>0.237</v>
      </c>
      <c r="D273" s="21" t="n">
        <f aca="false">IF(B273="","",NORMDIST(B273,$B$15,$B$16,TRUE()))</f>
        <v>0.292851680556198</v>
      </c>
      <c r="E273" s="21" t="n">
        <f aca="false">IF(B273="","",IF(B273&gt;=$B$15,1-TDIST((B273-$B$15)/$B$18,$B$17,1),TDIST(($B$15-B273)/$B$18,$B$17,1)))</f>
        <v>0.269760250051098</v>
      </c>
      <c r="F273" s="21" t="n">
        <f aca="false">IF(B273="","",IF(B273&lt;$B$19,0.5*EXP((B273-$B$19)/$B$20),1-0.5*EXP(-(B273-$B$19)/$B$20)))</f>
        <v>0.232832919085383</v>
      </c>
      <c r="G273" s="21" t="n">
        <f aca="false">IF(B273="","",1/(1+EXP(-(B273-$B$15)/$B$21)))</f>
        <v>0.27117823126077</v>
      </c>
      <c r="H273" s="21" t="n">
        <f aca="false">IF(B273="","",MAX(ABS($A273/$B$6-D273),ABS(($A273-1)/$B$6-D273)))</f>
        <v>0.0568516805561982</v>
      </c>
      <c r="I273" s="21" t="n">
        <f aca="false">IF(B273="","",MAX(ABS($A273/$B$6-E273),ABS(($A273-1)/$B$6-E273)))</f>
        <v>0.0337602500510976</v>
      </c>
      <c r="J273" s="21" t="n">
        <f aca="false">IF(B273="","",MAX(ABS($A273/$B$6-F273),ABS(($A273-1)/$B$6-F273)))</f>
        <v>0.0041670809146169</v>
      </c>
      <c r="K273" s="21" t="n">
        <f aca="false">IF(B273="","",MAX(ABS($A273/$B$6-G273),ABS(($A273-1)/$B$6-G273)))</f>
        <v>0.0351782312607702</v>
      </c>
    </row>
    <row r="274" customFormat="false" ht="15" hidden="false" customHeight="false" outlineLevel="0" collapsed="false">
      <c r="A274" s="11" t="n">
        <v>238</v>
      </c>
      <c r="B274" s="9" t="n">
        <f aca="false">IF(A274&gt;$B$6,"",SMALL(BTC_Data!$C$3:$C$1002,A274))</f>
        <v>-0.000700223037921055</v>
      </c>
      <c r="C274" s="21" t="n">
        <f aca="false">IF(B274="","",A274/$B$6)</f>
        <v>0.238</v>
      </c>
      <c r="D274" s="21" t="n">
        <f aca="false">IF(B274="","",NORMDIST(B274,$B$15,$B$16,TRUE()))</f>
        <v>0.294342921681831</v>
      </c>
      <c r="E274" s="21" t="n">
        <f aca="false">IF(B274="","",IF(B274&gt;=$B$15,1-TDIST((B274-$B$15)/$B$18,$B$17,1),TDIST(($B$15-B274)/$B$18,$B$17,1)))</f>
        <v>0.27132936750676</v>
      </c>
      <c r="F274" s="21" t="n">
        <f aca="false">IF(B274="","",IF(B274&lt;$B$19,0.5*EXP((B274-$B$19)/$B$20),1-0.5*EXP(-(B274-$B$19)/$B$20)))</f>
        <v>0.234246521623604</v>
      </c>
      <c r="G274" s="21" t="n">
        <f aca="false">IF(B274="","",1/(1+EXP(-(B274-$B$15)/$B$21)))</f>
        <v>0.272733790024335</v>
      </c>
      <c r="H274" s="21" t="n">
        <f aca="false">IF(B274="","",MAX(ABS($A274/$B$6-D274),ABS(($A274-1)/$B$6-D274)))</f>
        <v>0.0573429216818308</v>
      </c>
      <c r="I274" s="21" t="n">
        <f aca="false">IF(B274="","",MAX(ABS($A274/$B$6-E274),ABS(($A274-1)/$B$6-E274)))</f>
        <v>0.0343293675067601</v>
      </c>
      <c r="J274" s="21" t="n">
        <f aca="false">IF(B274="","",MAX(ABS($A274/$B$6-F274),ABS(($A274-1)/$B$6-F274)))</f>
        <v>0.00375347837639611</v>
      </c>
      <c r="K274" s="21" t="n">
        <f aca="false">IF(B274="","",MAX(ABS($A274/$B$6-G274),ABS(($A274-1)/$B$6-G274)))</f>
        <v>0.0357337900243354</v>
      </c>
    </row>
    <row r="275" customFormat="false" ht="15" hidden="false" customHeight="false" outlineLevel="0" collapsed="false">
      <c r="A275" s="11" t="n">
        <v>239</v>
      </c>
      <c r="B275" s="9" t="n">
        <f aca="false">IF(A275&gt;$B$6,"",SMALL(BTC_Data!$C$3:$C$1002,A275))</f>
        <v>-0.000698032613252519</v>
      </c>
      <c r="C275" s="21" t="n">
        <f aca="false">IF(B275="","",A275/$B$6)</f>
        <v>0.239</v>
      </c>
      <c r="D275" s="21" t="n">
        <f aca="false">IF(B275="","",NORMDIST(B275,$B$15,$B$16,TRUE()))</f>
        <v>0.294936165666283</v>
      </c>
      <c r="E275" s="21" t="n">
        <f aca="false">IF(B275="","",IF(B275&gt;=$B$15,1-TDIST((B275-$B$15)/$B$18,$B$17,1),TDIST(($B$15-B275)/$B$18,$B$17,1)))</f>
        <v>0.271954115342778</v>
      </c>
      <c r="F275" s="21" t="n">
        <f aca="false">IF(B275="","",IF(B275&lt;$B$19,0.5*EXP((B275-$B$19)/$B$20),1-0.5*EXP(-(B275-$B$19)/$B$20)))</f>
        <v>0.234810337069244</v>
      </c>
      <c r="G275" s="21" t="n">
        <f aca="false">IF(B275="","",1/(1+EXP(-(B275-$B$15)/$B$21)))</f>
        <v>0.273353152569197</v>
      </c>
      <c r="H275" s="21" t="n">
        <f aca="false">IF(B275="","",MAX(ABS($A275/$B$6-D275),ABS(($A275-1)/$B$6-D275)))</f>
        <v>0.0569361656662826</v>
      </c>
      <c r="I275" s="21" t="n">
        <f aca="false">IF(B275="","",MAX(ABS($A275/$B$6-E275),ABS(($A275-1)/$B$6-E275)))</f>
        <v>0.0339541153427783</v>
      </c>
      <c r="J275" s="21" t="n">
        <f aca="false">IF(B275="","",MAX(ABS($A275/$B$6-F275),ABS(($A275-1)/$B$6-F275)))</f>
        <v>0.00418966293075582</v>
      </c>
      <c r="K275" s="21" t="n">
        <f aca="false">IF(B275="","",MAX(ABS($A275/$B$6-G275),ABS(($A275-1)/$B$6-G275)))</f>
        <v>0.0353531525691974</v>
      </c>
    </row>
    <row r="276" customFormat="false" ht="15" hidden="false" customHeight="false" outlineLevel="0" collapsed="false">
      <c r="A276" s="11" t="n">
        <v>240</v>
      </c>
      <c r="B276" s="9" t="n">
        <f aca="false">IF(A276&gt;$B$6,"",SMALL(BTC_Data!$C$3:$C$1002,A276))</f>
        <v>-0.000693879851533241</v>
      </c>
      <c r="C276" s="21" t="n">
        <f aca="false">IF(B276="","",A276/$B$6)</f>
        <v>0.24</v>
      </c>
      <c r="D276" s="21" t="n">
        <f aca="false">IF(B276="","",NORMDIST(B276,$B$15,$B$16,TRUE()))</f>
        <v>0.296062389292342</v>
      </c>
      <c r="E276" s="21" t="n">
        <f aca="false">IF(B276="","",IF(B276&gt;=$B$15,1-TDIST((B276-$B$15)/$B$18,$B$17,1),TDIST(($B$15-B276)/$B$18,$B$17,1)))</f>
        <v>0.273140961811525</v>
      </c>
      <c r="F276" s="21" t="n">
        <f aca="false">IF(B276="","",IF(B276&lt;$B$19,0.5*EXP((B276-$B$19)/$B$20),1-0.5*EXP(-(B276-$B$19)/$B$20)))</f>
        <v>0.235882986148521</v>
      </c>
      <c r="G276" s="21" t="n">
        <f aca="false">IF(B276="","",1/(1+EXP(-(B276-$B$15)/$B$21)))</f>
        <v>0.274529789398377</v>
      </c>
      <c r="H276" s="21" t="n">
        <f aca="false">IF(B276="","",MAX(ABS($A276/$B$6-D276),ABS(($A276-1)/$B$6-D276)))</f>
        <v>0.0570623892923421</v>
      </c>
      <c r="I276" s="21" t="n">
        <f aca="false">IF(B276="","",MAX(ABS($A276/$B$6-E276),ABS(($A276-1)/$B$6-E276)))</f>
        <v>0.0341409618115252</v>
      </c>
      <c r="J276" s="21" t="n">
        <f aca="false">IF(B276="","",MAX(ABS($A276/$B$6-F276),ABS(($A276-1)/$B$6-F276)))</f>
        <v>0.00411701385147878</v>
      </c>
      <c r="K276" s="21" t="n">
        <f aca="false">IF(B276="","",MAX(ABS($A276/$B$6-G276),ABS(($A276-1)/$B$6-G276)))</f>
        <v>0.0355297893983768</v>
      </c>
    </row>
    <row r="277" customFormat="false" ht="15" hidden="false" customHeight="false" outlineLevel="0" collapsed="false">
      <c r="A277" s="11" t="n">
        <v>241</v>
      </c>
      <c r="B277" s="9" t="n">
        <f aca="false">IF(A277&gt;$B$6,"",SMALL(BTC_Data!$C$3:$C$1002,A277))</f>
        <v>-0.000688873357348463</v>
      </c>
      <c r="C277" s="21" t="n">
        <f aca="false">IF(B277="","",A277/$B$6)</f>
        <v>0.241</v>
      </c>
      <c r="D277" s="21" t="n">
        <f aca="false">IF(B277="","",NORMDIST(B277,$B$15,$B$16,TRUE()))</f>
        <v>0.297422761994674</v>
      </c>
      <c r="E277" s="21" t="n">
        <f aca="false">IF(B277="","",IF(B277&gt;=$B$15,1-TDIST((B277-$B$15)/$B$18,$B$17,1),TDIST(($B$15-B277)/$B$18,$B$17,1)))</f>
        <v>0.274575979205758</v>
      </c>
      <c r="F277" s="21" t="n">
        <f aca="false">IF(B277="","",IF(B277&lt;$B$19,0.5*EXP((B277-$B$19)/$B$20),1-0.5*EXP(-(B277-$B$19)/$B$20)))</f>
        <v>0.237182669058572</v>
      </c>
      <c r="G277" s="21" t="n">
        <f aca="false">IF(B277="","",1/(1+EXP(-(B277-$B$15)/$B$21)))</f>
        <v>0.27595249939657</v>
      </c>
      <c r="H277" s="21" t="n">
        <f aca="false">IF(B277="","",MAX(ABS($A277/$B$6-D277),ABS(($A277-1)/$B$6-D277)))</f>
        <v>0.0574227619946738</v>
      </c>
      <c r="I277" s="21" t="n">
        <f aca="false">IF(B277="","",MAX(ABS($A277/$B$6-E277),ABS(($A277-1)/$B$6-E277)))</f>
        <v>0.0345759792057584</v>
      </c>
      <c r="J277" s="21" t="n">
        <f aca="false">IF(B277="","",MAX(ABS($A277/$B$6-F277),ABS(($A277-1)/$B$6-F277)))</f>
        <v>0.00381733094142811</v>
      </c>
      <c r="K277" s="21" t="n">
        <f aca="false">IF(B277="","",MAX(ABS($A277/$B$6-G277),ABS(($A277-1)/$B$6-G277)))</f>
        <v>0.0359524993965704</v>
      </c>
    </row>
    <row r="278" customFormat="false" ht="15" hidden="false" customHeight="false" outlineLevel="0" collapsed="false">
      <c r="A278" s="11" t="n">
        <v>242</v>
      </c>
      <c r="B278" s="9" t="n">
        <f aca="false">IF(A278&gt;$B$6,"",SMALL(BTC_Data!$C$3:$C$1002,A278))</f>
        <v>-0.000688604592878117</v>
      </c>
      <c r="C278" s="21" t="n">
        <f aca="false">IF(B278="","",A278/$B$6)</f>
        <v>0.242</v>
      </c>
      <c r="D278" s="21" t="n">
        <f aca="false">IF(B278="","",NORMDIST(B278,$B$15,$B$16,TRUE()))</f>
        <v>0.297495871788065</v>
      </c>
      <c r="E278" s="21" t="n">
        <f aca="false">IF(B278="","",IF(B278&gt;=$B$15,1-TDIST((B278-$B$15)/$B$18,$B$17,1),TDIST(($B$15-B278)/$B$18,$B$17,1)))</f>
        <v>0.274653144354593</v>
      </c>
      <c r="F278" s="21" t="n">
        <f aca="false">IF(B278="","",IF(B278&lt;$B$19,0.5*EXP((B278-$B$19)/$B$20),1-0.5*EXP(-(B278-$B$19)/$B$20)))</f>
        <v>0.237252642337289</v>
      </c>
      <c r="G278" s="21" t="n">
        <f aca="false">IF(B278="","",1/(1+EXP(-(B278-$B$15)/$B$21)))</f>
        <v>0.276029003903114</v>
      </c>
      <c r="H278" s="21" t="n">
        <f aca="false">IF(B278="","",MAX(ABS($A278/$B$6-D278),ABS(($A278-1)/$B$6-D278)))</f>
        <v>0.0564958717880653</v>
      </c>
      <c r="I278" s="21" t="n">
        <f aca="false">IF(B278="","",MAX(ABS($A278/$B$6-E278),ABS(($A278-1)/$B$6-E278)))</f>
        <v>0.0336531443545925</v>
      </c>
      <c r="J278" s="21" t="n">
        <f aca="false">IF(B278="","",MAX(ABS($A278/$B$6-F278),ABS(($A278-1)/$B$6-F278)))</f>
        <v>0.00474735766271095</v>
      </c>
      <c r="K278" s="21" t="n">
        <f aca="false">IF(B278="","",MAX(ABS($A278/$B$6-G278),ABS(($A278-1)/$B$6-G278)))</f>
        <v>0.0350290039031138</v>
      </c>
    </row>
    <row r="279" customFormat="false" ht="15" hidden="false" customHeight="false" outlineLevel="0" collapsed="false">
      <c r="A279" s="11" t="n">
        <v>243</v>
      </c>
      <c r="B279" s="9" t="n">
        <f aca="false">IF(A279&gt;$B$6,"",SMALL(BTC_Data!$C$3:$C$1002,A279))</f>
        <v>-0.000687780205535504</v>
      </c>
      <c r="C279" s="21" t="n">
        <f aca="false">IF(B279="","",A279/$B$6)</f>
        <v>0.243</v>
      </c>
      <c r="D279" s="21" t="n">
        <f aca="false">IF(B279="","",NORMDIST(B279,$B$15,$B$16,TRUE()))</f>
        <v>0.297720174281351</v>
      </c>
      <c r="E279" s="21" t="n">
        <f aca="false">IF(B279="","",IF(B279&gt;=$B$15,1-TDIST((B279-$B$15)/$B$18,$B$17,1),TDIST(($B$15-B279)/$B$18,$B$17,1)))</f>
        <v>0.274889916559384</v>
      </c>
      <c r="F279" s="21" t="n">
        <f aca="false">IF(B279="","",IF(B279&lt;$B$19,0.5*EXP((B279-$B$19)/$B$20),1-0.5*EXP(-(B279-$B$19)/$B$20)))</f>
        <v>0.237467401756375</v>
      </c>
      <c r="G279" s="21" t="n">
        <f aca="false">IF(B279="","",1/(1+EXP(-(B279-$B$15)/$B$21)))</f>
        <v>0.276263749750496</v>
      </c>
      <c r="H279" s="21" t="n">
        <f aca="false">IF(B279="","",MAX(ABS($A279/$B$6-D279),ABS(($A279-1)/$B$6-D279)))</f>
        <v>0.055720174281351</v>
      </c>
      <c r="I279" s="21" t="n">
        <f aca="false">IF(B279="","",MAX(ABS($A279/$B$6-E279),ABS(($A279-1)/$B$6-E279)))</f>
        <v>0.0328899165593844</v>
      </c>
      <c r="J279" s="21" t="n">
        <f aca="false">IF(B279="","",MAX(ABS($A279/$B$6-F279),ABS(($A279-1)/$B$6-F279)))</f>
        <v>0.00553259824362509</v>
      </c>
      <c r="K279" s="21" t="n">
        <f aca="false">IF(B279="","",MAX(ABS($A279/$B$6-G279),ABS(($A279-1)/$B$6-G279)))</f>
        <v>0.034263749750496</v>
      </c>
    </row>
    <row r="280" customFormat="false" ht="15" hidden="false" customHeight="false" outlineLevel="0" collapsed="false">
      <c r="A280" s="11" t="n">
        <v>244</v>
      </c>
      <c r="B280" s="9" t="n">
        <f aca="false">IF(A280&gt;$B$6,"",SMALL(BTC_Data!$C$3:$C$1002,A280))</f>
        <v>-0.000683595040359419</v>
      </c>
      <c r="C280" s="21" t="n">
        <f aca="false">IF(B280="","",A280/$B$6)</f>
        <v>0.244</v>
      </c>
      <c r="D280" s="21" t="n">
        <f aca="false">IF(B280="","",NORMDIST(B280,$B$15,$B$16,TRUE()))</f>
        <v>0.298860078413725</v>
      </c>
      <c r="E280" s="21" t="n">
        <f aca="false">IF(B280="","",IF(B280&gt;=$B$15,1-TDIST((B280-$B$15)/$B$18,$B$17,1),TDIST(($B$15-B280)/$B$18,$B$17,1)))</f>
        <v>0.276093838111504</v>
      </c>
      <c r="F280" s="21" t="n">
        <f aca="false">IF(B280="","",IF(B280&lt;$B$19,0.5*EXP((B280-$B$19)/$B$20),1-0.5*EXP(-(B280-$B$19)/$B$20)))</f>
        <v>0.238560672614099</v>
      </c>
      <c r="G280" s="21" t="n">
        <f aca="false">IF(B280="","",1/(1+EXP(-(B280-$B$15)/$B$21)))</f>
        <v>0.277457385340258</v>
      </c>
      <c r="H280" s="21" t="n">
        <f aca="false">IF(B280="","",MAX(ABS($A280/$B$6-D280),ABS(($A280-1)/$B$6-D280)))</f>
        <v>0.055860078413725</v>
      </c>
      <c r="I280" s="21" t="n">
        <f aca="false">IF(B280="","",MAX(ABS($A280/$B$6-E280),ABS(($A280-1)/$B$6-E280)))</f>
        <v>0.0330938381115039</v>
      </c>
      <c r="J280" s="21" t="n">
        <f aca="false">IF(B280="","",MAX(ABS($A280/$B$6-F280),ABS(($A280-1)/$B$6-F280)))</f>
        <v>0.00543932738590133</v>
      </c>
      <c r="K280" s="21" t="n">
        <f aca="false">IF(B280="","",MAX(ABS($A280/$B$6-G280),ABS(($A280-1)/$B$6-G280)))</f>
        <v>0.0344573853402578</v>
      </c>
    </row>
    <row r="281" customFormat="false" ht="15" hidden="false" customHeight="false" outlineLevel="0" collapsed="false">
      <c r="A281" s="11" t="n">
        <v>245</v>
      </c>
      <c r="B281" s="9" t="n">
        <f aca="false">IF(A281&gt;$B$6,"",SMALL(BTC_Data!$C$3:$C$1002,A281))</f>
        <v>-0.00068130350637452</v>
      </c>
      <c r="C281" s="21" t="n">
        <f aca="false">IF(B281="","",A281/$B$6)</f>
        <v>0.245</v>
      </c>
      <c r="D281" s="21" t="n">
        <f aca="false">IF(B281="","",NORMDIST(B281,$B$15,$B$16,TRUE()))</f>
        <v>0.29948505737946</v>
      </c>
      <c r="E281" s="21" t="n">
        <f aca="false">IF(B281="","",IF(B281&gt;=$B$15,1-TDIST((B281-$B$15)/$B$18,$B$17,1),TDIST(($B$15-B281)/$B$18,$B$17,1)))</f>
        <v>0.276754373255563</v>
      </c>
      <c r="F281" s="21" t="n">
        <f aca="false">IF(B281="","",IF(B281&lt;$B$19,0.5*EXP((B281-$B$19)/$B$20),1-0.5*EXP(-(B281-$B$19)/$B$20)))</f>
        <v>0.239161410132733</v>
      </c>
      <c r="G281" s="21" t="n">
        <f aca="false">IF(B281="","",1/(1+EXP(-(B281-$B$15)/$B$21)))</f>
        <v>0.278112289590269</v>
      </c>
      <c r="H281" s="21" t="n">
        <f aca="false">IF(B281="","",MAX(ABS($A281/$B$6-D281),ABS(($A281-1)/$B$6-D281)))</f>
        <v>0.0554850573794595</v>
      </c>
      <c r="I281" s="21" t="n">
        <f aca="false">IF(B281="","",MAX(ABS($A281/$B$6-E281),ABS(($A281-1)/$B$6-E281)))</f>
        <v>0.032754373255563</v>
      </c>
      <c r="J281" s="21" t="n">
        <f aca="false">IF(B281="","",MAX(ABS($A281/$B$6-F281),ABS(($A281-1)/$B$6-F281)))</f>
        <v>0.00583858986726674</v>
      </c>
      <c r="K281" s="21" t="n">
        <f aca="false">IF(B281="","",MAX(ABS($A281/$B$6-G281),ABS(($A281-1)/$B$6-G281)))</f>
        <v>0.0341122895902691</v>
      </c>
    </row>
    <row r="282" customFormat="false" ht="15" hidden="false" customHeight="false" outlineLevel="0" collapsed="false">
      <c r="A282" s="11" t="n">
        <v>246</v>
      </c>
      <c r="B282" s="9" t="n">
        <f aca="false">IF(A282&gt;$B$6,"",SMALL(BTC_Data!$C$3:$C$1002,A282))</f>
        <v>-0.00067915214799219</v>
      </c>
      <c r="C282" s="21" t="n">
        <f aca="false">IF(B282="","",A282/$B$6)</f>
        <v>0.246</v>
      </c>
      <c r="D282" s="21" t="n">
        <f aca="false">IF(B282="","",NORMDIST(B282,$B$15,$B$16,TRUE()))</f>
        <v>0.300072344338758</v>
      </c>
      <c r="E282" s="21" t="n">
        <f aca="false">IF(B282="","",IF(B282&gt;=$B$15,1-TDIST((B282-$B$15)/$B$18,$B$17,1),TDIST(($B$15-B282)/$B$18,$B$17,1)))</f>
        <v>0.277375366048669</v>
      </c>
      <c r="F282" s="21" t="n">
        <f aca="false">IF(B282="","",IF(B282&lt;$B$19,0.5*EXP((B282-$B$19)/$B$20),1-0.5*EXP(-(B282-$B$19)/$B$20)))</f>
        <v>0.239726776606077</v>
      </c>
      <c r="G282" s="21" t="n">
        <f aca="false">IF(B282="","",1/(1+EXP(-(B282-$B$15)/$B$21)))</f>
        <v>0.278727996748701</v>
      </c>
      <c r="H282" s="21" t="n">
        <f aca="false">IF(B282="","",MAX(ABS($A282/$B$6-D282),ABS(($A282-1)/$B$6-D282)))</f>
        <v>0.0550723443387576</v>
      </c>
      <c r="I282" s="21" t="n">
        <f aca="false">IF(B282="","",MAX(ABS($A282/$B$6-E282),ABS(($A282-1)/$B$6-E282)))</f>
        <v>0.0323753660486687</v>
      </c>
      <c r="J282" s="21" t="n">
        <f aca="false">IF(B282="","",MAX(ABS($A282/$B$6-F282),ABS(($A282-1)/$B$6-F282)))</f>
        <v>0.00627322339392261</v>
      </c>
      <c r="K282" s="21" t="n">
        <f aca="false">IF(B282="","",MAX(ABS($A282/$B$6-G282),ABS(($A282-1)/$B$6-G282)))</f>
        <v>0.0337279967487005</v>
      </c>
    </row>
    <row r="283" customFormat="false" ht="15" hidden="false" customHeight="false" outlineLevel="0" collapsed="false">
      <c r="A283" s="11" t="n">
        <v>247</v>
      </c>
      <c r="B283" s="9" t="n">
        <f aca="false">IF(A283&gt;$B$6,"",SMALL(BTC_Data!$C$3:$C$1002,A283))</f>
        <v>-0.000673171495660929</v>
      </c>
      <c r="C283" s="21" t="n">
        <f aca="false">IF(B283="","",A283/$B$6)</f>
        <v>0.247</v>
      </c>
      <c r="D283" s="21" t="n">
        <f aca="false">IF(B283="","",NORMDIST(B283,$B$15,$B$16,TRUE()))</f>
        <v>0.30170769860521</v>
      </c>
      <c r="E283" s="21" t="n">
        <f aca="false">IF(B283="","",IF(B283&gt;=$B$15,1-TDIST((B283-$B$15)/$B$18,$B$17,1),TDIST(($B$15-B283)/$B$18,$B$17,1)))</f>
        <v>0.279106071955257</v>
      </c>
      <c r="F283" s="21" t="n">
        <f aca="false">IF(B283="","",IF(B283&lt;$B$19,0.5*EXP((B283-$B$19)/$B$20),1-0.5*EXP(-(B283-$B$19)/$B$20)))</f>
        <v>0.241305494662415</v>
      </c>
      <c r="G283" s="21" t="n">
        <f aca="false">IF(B283="","",1/(1+EXP(-(B283-$B$15)/$B$21)))</f>
        <v>0.280444013835985</v>
      </c>
      <c r="H283" s="21" t="n">
        <f aca="false">IF(B283="","",MAX(ABS($A283/$B$6-D283),ABS(($A283-1)/$B$6-D283)))</f>
        <v>0.0557076986052103</v>
      </c>
      <c r="I283" s="21" t="n">
        <f aca="false">IF(B283="","",MAX(ABS($A283/$B$6-E283),ABS(($A283-1)/$B$6-E283)))</f>
        <v>0.0331060719552566</v>
      </c>
      <c r="J283" s="21" t="n">
        <f aca="false">IF(B283="","",MAX(ABS($A283/$B$6-F283),ABS(($A283-1)/$B$6-F283)))</f>
        <v>0.00569450533758478</v>
      </c>
      <c r="K283" s="21" t="n">
        <f aca="false">IF(B283="","",MAX(ABS($A283/$B$6-G283),ABS(($A283-1)/$B$6-G283)))</f>
        <v>0.0344440138359852</v>
      </c>
    </row>
    <row r="284" customFormat="false" ht="15" hidden="false" customHeight="false" outlineLevel="0" collapsed="false">
      <c r="A284" s="11" t="n">
        <v>248</v>
      </c>
      <c r="B284" s="9" t="n">
        <f aca="false">IF(A284&gt;$B$6,"",SMALL(BTC_Data!$C$3:$C$1002,A284))</f>
        <v>-0.000672861555582105</v>
      </c>
      <c r="C284" s="21" t="n">
        <f aca="false">IF(B284="","",A284/$B$6)</f>
        <v>0.248</v>
      </c>
      <c r="D284" s="21" t="n">
        <f aca="false">IF(B284="","",NORMDIST(B284,$B$15,$B$16,TRUE()))</f>
        <v>0.301792557983979</v>
      </c>
      <c r="E284" s="21" t="n">
        <f aca="false">IF(B284="","",IF(B284&gt;=$B$15,1-TDIST((B284-$B$15)/$B$18,$B$17,1),TDIST(($B$15-B284)/$B$18,$B$17,1)))</f>
        <v>0.279195938996561</v>
      </c>
      <c r="F284" s="21" t="n">
        <f aca="false">IF(B284="","",IF(B284&lt;$B$19,0.5*EXP((B284-$B$19)/$B$20),1-0.5*EXP(-(B284-$B$19)/$B$20)))</f>
        <v>0.241387592587289</v>
      </c>
      <c r="G284" s="21" t="n">
        <f aca="false">IF(B284="","",1/(1+EXP(-(B284-$B$15)/$B$21)))</f>
        <v>0.280533119871258</v>
      </c>
      <c r="H284" s="21" t="n">
        <f aca="false">IF(B284="","",MAX(ABS($A284/$B$6-D284),ABS(($A284-1)/$B$6-D284)))</f>
        <v>0.054792557983979</v>
      </c>
      <c r="I284" s="21" t="n">
        <f aca="false">IF(B284="","",MAX(ABS($A284/$B$6-E284),ABS(($A284-1)/$B$6-E284)))</f>
        <v>0.0321959389965607</v>
      </c>
      <c r="J284" s="21" t="n">
        <f aca="false">IF(B284="","",MAX(ABS($A284/$B$6-F284),ABS(($A284-1)/$B$6-F284)))</f>
        <v>0.00661240741271085</v>
      </c>
      <c r="K284" s="21" t="n">
        <f aca="false">IF(B284="","",MAX(ABS($A284/$B$6-G284),ABS(($A284-1)/$B$6-G284)))</f>
        <v>0.0335331198712584</v>
      </c>
    </row>
    <row r="285" customFormat="false" ht="15" hidden="false" customHeight="false" outlineLevel="0" collapsed="false">
      <c r="A285" s="11" t="n">
        <v>249</v>
      </c>
      <c r="B285" s="9" t="n">
        <f aca="false">IF(A285&gt;$B$6,"",SMALL(BTC_Data!$C$3:$C$1002,A285))</f>
        <v>-0.000669404296004483</v>
      </c>
      <c r="C285" s="21" t="n">
        <f aca="false">IF(B285="","",A285/$B$6)</f>
        <v>0.249</v>
      </c>
      <c r="D285" s="21" t="n">
        <f aca="false">IF(B285="","",NORMDIST(B285,$B$15,$B$16,TRUE()))</f>
        <v>0.302739857276359</v>
      </c>
      <c r="E285" s="21" t="n">
        <f aca="false">IF(B285="","",IF(B285&gt;=$B$15,1-TDIST((B285-$B$15)/$B$18,$B$17,1),TDIST(($B$15-B285)/$B$18,$B$17,1)))</f>
        <v>0.280199538683682</v>
      </c>
      <c r="F285" s="21" t="n">
        <f aca="false">IF(B285="","",IF(B285&lt;$B$19,0.5*EXP((B285-$B$19)/$B$20),1-0.5*EXP(-(B285-$B$19)/$B$20)))</f>
        <v>0.242305258292213</v>
      </c>
      <c r="G285" s="21" t="n">
        <f aca="false">IF(B285="","",1/(1+EXP(-(B285-$B$15)/$B$21)))</f>
        <v>0.281528232534998</v>
      </c>
      <c r="H285" s="21" t="n">
        <f aca="false">IF(B285="","",MAX(ABS($A285/$B$6-D285),ABS(($A285-1)/$B$6-D285)))</f>
        <v>0.0547398572763589</v>
      </c>
      <c r="I285" s="21" t="n">
        <f aca="false">IF(B285="","",MAX(ABS($A285/$B$6-E285),ABS(($A285-1)/$B$6-E285)))</f>
        <v>0.0321995386836817</v>
      </c>
      <c r="J285" s="21" t="n">
        <f aca="false">IF(B285="","",MAX(ABS($A285/$B$6-F285),ABS(($A285-1)/$B$6-F285)))</f>
        <v>0.00669474170778722</v>
      </c>
      <c r="K285" s="21" t="n">
        <f aca="false">IF(B285="","",MAX(ABS($A285/$B$6-G285),ABS(($A285-1)/$B$6-G285)))</f>
        <v>0.0335282325349978</v>
      </c>
    </row>
    <row r="286" customFormat="false" ht="15" hidden="false" customHeight="false" outlineLevel="0" collapsed="false">
      <c r="A286" s="11" t="n">
        <v>250</v>
      </c>
      <c r="B286" s="9" t="n">
        <f aca="false">IF(A286&gt;$B$6,"",SMALL(BTC_Data!$C$3:$C$1002,A286))</f>
        <v>-0.000666020643527943</v>
      </c>
      <c r="C286" s="21" t="n">
        <f aca="false">IF(B286="","",A286/$B$6)</f>
        <v>0.25</v>
      </c>
      <c r="D286" s="21" t="n">
        <f aca="false">IF(B286="","",NORMDIST(B286,$B$15,$B$16,TRUE()))</f>
        <v>0.30366827545412</v>
      </c>
      <c r="E286" s="21" t="n">
        <f aca="false">IF(B286="","",IF(B286&gt;=$B$15,1-TDIST((B286-$B$15)/$B$18,$B$17,1),TDIST(($B$15-B286)/$B$18,$B$17,1)))</f>
        <v>0.28118384366135</v>
      </c>
      <c r="F286" s="21" t="n">
        <f aca="false">IF(B286="","",IF(B286&lt;$B$19,0.5*EXP((B286-$B$19)/$B$20),1-0.5*EXP(-(B286-$B$19)/$B$20)))</f>
        <v>0.243206764262071</v>
      </c>
      <c r="G286" s="21" t="n">
        <f aca="false">IF(B286="","",1/(1+EXP(-(B286-$B$15)/$B$21)))</f>
        <v>0.282504234463855</v>
      </c>
      <c r="H286" s="21" t="n">
        <f aca="false">IF(B286="","",MAX(ABS($A286/$B$6-D286),ABS(($A286-1)/$B$6-D286)))</f>
        <v>0.0546682754541205</v>
      </c>
      <c r="I286" s="21" t="n">
        <f aca="false">IF(B286="","",MAX(ABS($A286/$B$6-E286),ABS(($A286-1)/$B$6-E286)))</f>
        <v>0.0321838436613495</v>
      </c>
      <c r="J286" s="21" t="n">
        <f aca="false">IF(B286="","",MAX(ABS($A286/$B$6-F286),ABS(($A286-1)/$B$6-F286)))</f>
        <v>0.00679323573792898</v>
      </c>
      <c r="K286" s="21" t="n">
        <f aca="false">IF(B286="","",MAX(ABS($A286/$B$6-G286),ABS(($A286-1)/$B$6-G286)))</f>
        <v>0.033504234463855</v>
      </c>
    </row>
    <row r="287" customFormat="false" ht="15" hidden="false" customHeight="false" outlineLevel="0" collapsed="false">
      <c r="A287" s="11" t="n">
        <v>251</v>
      </c>
      <c r="B287" s="9" t="n">
        <f aca="false">IF(A287&gt;$B$6,"",SMALL(BTC_Data!$C$3:$C$1002,A287))</f>
        <v>-0.000657467341875107</v>
      </c>
      <c r="C287" s="21" t="n">
        <f aca="false">IF(B287="","",A287/$B$6)</f>
        <v>0.251</v>
      </c>
      <c r="D287" s="21" t="n">
        <f aca="false">IF(B287="","",NORMDIST(B287,$B$15,$B$16,TRUE()))</f>
        <v>0.306020805889289</v>
      </c>
      <c r="E287" s="21" t="n">
        <f aca="false">IF(B287="","",IF(B287&gt;=$B$15,1-TDIST((B287-$B$15)/$B$18,$B$17,1),TDIST(($B$15-B287)/$B$18,$B$17,1)))</f>
        <v>0.283681106415312</v>
      </c>
      <c r="F287" s="21" t="n">
        <f aca="false">IF(B287="","",IF(B287&lt;$B$19,0.5*EXP((B287-$B$19)/$B$20),1-0.5*EXP(-(B287-$B$19)/$B$20)))</f>
        <v>0.245500602832768</v>
      </c>
      <c r="G287" s="21" t="n">
        <f aca="false">IF(B287="","",1/(1+EXP(-(B287-$B$15)/$B$21)))</f>
        <v>0.284980525441746</v>
      </c>
      <c r="H287" s="21" t="n">
        <f aca="false">IF(B287="","",MAX(ABS($A287/$B$6-D287),ABS(($A287-1)/$B$6-D287)))</f>
        <v>0.0560208058892887</v>
      </c>
      <c r="I287" s="21" t="n">
        <f aca="false">IF(B287="","",MAX(ABS($A287/$B$6-E287),ABS(($A287-1)/$B$6-E287)))</f>
        <v>0.0336811064153117</v>
      </c>
      <c r="J287" s="21" t="n">
        <f aca="false">IF(B287="","",MAX(ABS($A287/$B$6-F287),ABS(($A287-1)/$B$6-F287)))</f>
        <v>0.00549939716723238</v>
      </c>
      <c r="K287" s="21" t="n">
        <f aca="false">IF(B287="","",MAX(ABS($A287/$B$6-G287),ABS(($A287-1)/$B$6-G287)))</f>
        <v>0.034980525441746</v>
      </c>
    </row>
    <row r="288" customFormat="false" ht="15" hidden="false" customHeight="false" outlineLevel="0" collapsed="false">
      <c r="A288" s="11" t="n">
        <v>252</v>
      </c>
      <c r="B288" s="9" t="n">
        <f aca="false">IF(A288&gt;$B$6,"",SMALL(BTC_Data!$C$3:$C$1002,A288))</f>
        <v>-0.00065693876407924</v>
      </c>
      <c r="C288" s="21" t="n">
        <f aca="false">IF(B288="","",A288/$B$6)</f>
        <v>0.252</v>
      </c>
      <c r="D288" s="21" t="n">
        <f aca="false">IF(B288="","",NORMDIST(B288,$B$15,$B$16,TRUE()))</f>
        <v>0.306166452019762</v>
      </c>
      <c r="E288" s="21" t="n">
        <f aca="false">IF(B288="","",IF(B288&gt;=$B$15,1-TDIST((B288-$B$15)/$B$18,$B$17,1),TDIST(($B$15-B288)/$B$18,$B$17,1)))</f>
        <v>0.283835859279853</v>
      </c>
      <c r="F288" s="21" t="n">
        <f aca="false">IF(B288="","",IF(B288&lt;$B$19,0.5*EXP((B288-$B$19)/$B$20),1-0.5*EXP(-(B288-$B$19)/$B$20)))</f>
        <v>0.245643065417222</v>
      </c>
      <c r="G288" s="21" t="n">
        <f aca="false">IF(B288="","",1/(1+EXP(-(B288-$B$15)/$B$21)))</f>
        <v>0.285133983179083</v>
      </c>
      <c r="H288" s="21" t="n">
        <f aca="false">IF(B288="","",MAX(ABS($A288/$B$6-D288),ABS(($A288-1)/$B$6-D288)))</f>
        <v>0.0551664520197624</v>
      </c>
      <c r="I288" s="21" t="n">
        <f aca="false">IF(B288="","",MAX(ABS($A288/$B$6-E288),ABS(($A288-1)/$B$6-E288)))</f>
        <v>0.0328358592798526</v>
      </c>
      <c r="J288" s="21" t="n">
        <f aca="false">IF(B288="","",MAX(ABS($A288/$B$6-F288),ABS(($A288-1)/$B$6-F288)))</f>
        <v>0.00635693458277783</v>
      </c>
      <c r="K288" s="21" t="n">
        <f aca="false">IF(B288="","",MAX(ABS($A288/$B$6-G288),ABS(($A288-1)/$B$6-G288)))</f>
        <v>0.0341339831790827</v>
      </c>
    </row>
    <row r="289" customFormat="false" ht="15" hidden="false" customHeight="false" outlineLevel="0" collapsed="false">
      <c r="A289" s="11" t="n">
        <v>253</v>
      </c>
      <c r="B289" s="9" t="n">
        <f aca="false">IF(A289&gt;$B$6,"",SMALL(BTC_Data!$C$3:$C$1002,A289))</f>
        <v>-0.000655449549465614</v>
      </c>
      <c r="C289" s="21" t="n">
        <f aca="false">IF(B289="","",A289/$B$6)</f>
        <v>0.253</v>
      </c>
      <c r="D289" s="21" t="n">
        <f aca="false">IF(B289="","",NORMDIST(B289,$B$15,$B$16,TRUE()))</f>
        <v>0.306576960022715</v>
      </c>
      <c r="E289" s="21" t="n">
        <f aca="false">IF(B289="","",IF(B289&gt;=$B$15,1-TDIST((B289-$B$15)/$B$18,$B$17,1),TDIST(($B$15-B289)/$B$18,$B$17,1)))</f>
        <v>0.284272126266596</v>
      </c>
      <c r="F289" s="21" t="n">
        <f aca="false">IF(B289="","",IF(B289&lt;$B$19,0.5*EXP((B289-$B$19)/$B$20),1-0.5*EXP(-(B289-$B$19)/$B$20)))</f>
        <v>0.246044884097457</v>
      </c>
      <c r="G289" s="21" t="n">
        <f aca="false">IF(B289="","",1/(1+EXP(-(B289-$B$15)/$B$21)))</f>
        <v>0.285566601880816</v>
      </c>
      <c r="H289" s="21" t="n">
        <f aca="false">IF(B289="","",MAX(ABS($A289/$B$6-D289),ABS(($A289-1)/$B$6-D289)))</f>
        <v>0.0545769600227145</v>
      </c>
      <c r="I289" s="21" t="n">
        <f aca="false">IF(B289="","",MAX(ABS($A289/$B$6-E289),ABS(($A289-1)/$B$6-E289)))</f>
        <v>0.0322721262665959</v>
      </c>
      <c r="J289" s="21" t="n">
        <f aca="false">IF(B289="","",MAX(ABS($A289/$B$6-F289),ABS(($A289-1)/$B$6-F289)))</f>
        <v>0.00695511590254336</v>
      </c>
      <c r="K289" s="21" t="n">
        <f aca="false">IF(B289="","",MAX(ABS($A289/$B$6-G289),ABS(($A289-1)/$B$6-G289)))</f>
        <v>0.0335666018808158</v>
      </c>
    </row>
    <row r="290" customFormat="false" ht="15" hidden="false" customHeight="false" outlineLevel="0" collapsed="false">
      <c r="A290" s="11" t="n">
        <v>254</v>
      </c>
      <c r="B290" s="9" t="n">
        <f aca="false">IF(A290&gt;$B$6,"",SMALL(BTC_Data!$C$3:$C$1002,A290))</f>
        <v>-0.000654444197574988</v>
      </c>
      <c r="C290" s="21" t="n">
        <f aca="false">IF(B290="","",A290/$B$6)</f>
        <v>0.254</v>
      </c>
      <c r="D290" s="21" t="n">
        <f aca="false">IF(B290="","",NORMDIST(B290,$B$15,$B$16,TRUE()))</f>
        <v>0.306854226637486</v>
      </c>
      <c r="E290" s="21" t="n">
        <f aca="false">IF(B290="","",IF(B290&gt;=$B$15,1-TDIST((B290-$B$15)/$B$18,$B$17,1),TDIST(($B$15-B290)/$B$18,$B$17,1)))</f>
        <v>0.284566867322462</v>
      </c>
      <c r="F290" s="21" t="n">
        <f aca="false">IF(B290="","",IF(B290&lt;$B$19,0.5*EXP((B290-$B$19)/$B$20),1-0.5*EXP(-(B290-$B$19)/$B$20)))</f>
        <v>0.246316518905698</v>
      </c>
      <c r="G290" s="21" t="n">
        <f aca="false">IF(B290="","",1/(1+EXP(-(B290-$B$15)/$B$21)))</f>
        <v>0.28585888053759</v>
      </c>
      <c r="H290" s="21" t="n">
        <f aca="false">IF(B290="","",MAX(ABS($A290/$B$6-D290),ABS(($A290-1)/$B$6-D290)))</f>
        <v>0.0538542266374861</v>
      </c>
      <c r="I290" s="21" t="n">
        <f aca="false">IF(B290="","",MAX(ABS($A290/$B$6-E290),ABS(($A290-1)/$B$6-E290)))</f>
        <v>0.0315668673224623</v>
      </c>
      <c r="J290" s="21" t="n">
        <f aca="false">IF(B290="","",MAX(ABS($A290/$B$6-F290),ABS(($A290-1)/$B$6-F290)))</f>
        <v>0.00768348109430242</v>
      </c>
      <c r="K290" s="21" t="n">
        <f aca="false">IF(B290="","",MAX(ABS($A290/$B$6-G290),ABS(($A290-1)/$B$6-G290)))</f>
        <v>0.0328588805375905</v>
      </c>
    </row>
    <row r="291" customFormat="false" ht="15" hidden="false" customHeight="false" outlineLevel="0" collapsed="false">
      <c r="A291" s="11" t="n">
        <v>255</v>
      </c>
      <c r="B291" s="9" t="n">
        <f aca="false">IF(A291&gt;$B$6,"",SMALL(BTC_Data!$C$3:$C$1002,A291))</f>
        <v>-0.000651308471843692</v>
      </c>
      <c r="C291" s="21" t="n">
        <f aca="false">IF(B291="","",A291/$B$6)</f>
        <v>0.255</v>
      </c>
      <c r="D291" s="21" t="n">
        <f aca="false">IF(B291="","",NORMDIST(B291,$B$15,$B$16,TRUE()))</f>
        <v>0.307719739815756</v>
      </c>
      <c r="E291" s="21" t="n">
        <f aca="false">IF(B291="","",IF(B291&gt;=$B$15,1-TDIST((B291-$B$15)/$B$18,$B$17,1),TDIST(($B$15-B291)/$B$18,$B$17,1)))</f>
        <v>0.285487322971065</v>
      </c>
      <c r="F291" s="21" t="n">
        <f aca="false">IF(B291="","",IF(B291&lt;$B$19,0.5*EXP((B291-$B$19)/$B$20),1-0.5*EXP(-(B291-$B$19)/$B$20)))</f>
        <v>0.247165684720399</v>
      </c>
      <c r="G291" s="21" t="n">
        <f aca="false">IF(B291="","",1/(1+EXP(-(B291-$B$15)/$B$21)))</f>
        <v>0.286771658669173</v>
      </c>
      <c r="H291" s="21" t="n">
        <f aca="false">IF(B291="","",MAX(ABS($A291/$B$6-D291),ABS(($A291-1)/$B$6-D291)))</f>
        <v>0.0537197398157559</v>
      </c>
      <c r="I291" s="21" t="n">
        <f aca="false">IF(B291="","",MAX(ABS($A291/$B$6-E291),ABS(($A291-1)/$B$6-E291)))</f>
        <v>0.0314873229710653</v>
      </c>
      <c r="J291" s="21" t="n">
        <f aca="false">IF(B291="","",MAX(ABS($A291/$B$6-F291),ABS(($A291-1)/$B$6-F291)))</f>
        <v>0.00783431527960099</v>
      </c>
      <c r="K291" s="21" t="n">
        <f aca="false">IF(B291="","",MAX(ABS($A291/$B$6-G291),ABS(($A291-1)/$B$6-G291)))</f>
        <v>0.0327716586691728</v>
      </c>
    </row>
    <row r="292" customFormat="false" ht="15" hidden="false" customHeight="false" outlineLevel="0" collapsed="false">
      <c r="A292" s="11" t="n">
        <v>256</v>
      </c>
      <c r="B292" s="9" t="n">
        <f aca="false">IF(A292&gt;$B$6,"",SMALL(BTC_Data!$C$3:$C$1002,A292))</f>
        <v>-0.000647180498764444</v>
      </c>
      <c r="C292" s="21" t="n">
        <f aca="false">IF(B292="","",A292/$B$6)</f>
        <v>0.256</v>
      </c>
      <c r="D292" s="21" t="n">
        <f aca="false">IF(B292="","",NORMDIST(B292,$B$15,$B$16,TRUE()))</f>
        <v>0.308860762940332</v>
      </c>
      <c r="E292" s="21" t="n">
        <f aca="false">IF(B292="","",IF(B292&gt;=$B$15,1-TDIST((B292-$B$15)/$B$18,$B$17,1),TDIST(($B$15-B292)/$B$18,$B$17,1)))</f>
        <v>0.286701687482064</v>
      </c>
      <c r="F292" s="21" t="n">
        <f aca="false">IF(B292="","",IF(B292&lt;$B$19,0.5*EXP((B292-$B$19)/$B$20),1-0.5*EXP(-(B292-$B$19)/$B$20)))</f>
        <v>0.248288019856529</v>
      </c>
      <c r="G292" s="21" t="n">
        <f aca="false">IF(B292="","",1/(1+EXP(-(B292-$B$15)/$B$21)))</f>
        <v>0.28797592305464</v>
      </c>
      <c r="H292" s="21" t="n">
        <f aca="false">IF(B292="","",MAX(ABS($A292/$B$6-D292),ABS(($A292-1)/$B$6-D292)))</f>
        <v>0.0538607629403319</v>
      </c>
      <c r="I292" s="21" t="n">
        <f aca="false">IF(B292="","",MAX(ABS($A292/$B$6-E292),ABS(($A292-1)/$B$6-E292)))</f>
        <v>0.0317016874820635</v>
      </c>
      <c r="J292" s="21" t="n">
        <f aca="false">IF(B292="","",MAX(ABS($A292/$B$6-F292),ABS(($A292-1)/$B$6-F292)))</f>
        <v>0.00771198014347141</v>
      </c>
      <c r="K292" s="21" t="n">
        <f aca="false">IF(B292="","",MAX(ABS($A292/$B$6-G292),ABS(($A292-1)/$B$6-G292)))</f>
        <v>0.0329759230546396</v>
      </c>
    </row>
    <row r="293" customFormat="false" ht="15" hidden="false" customHeight="false" outlineLevel="0" collapsed="false">
      <c r="A293" s="11" t="n">
        <v>257</v>
      </c>
      <c r="B293" s="9" t="n">
        <f aca="false">IF(A293&gt;$B$6,"",SMALL(BTC_Data!$C$3:$C$1002,A293))</f>
        <v>-0.000646921306491355</v>
      </c>
      <c r="C293" s="21" t="n">
        <f aca="false">IF(B293="","",A293/$B$6)</f>
        <v>0.257</v>
      </c>
      <c r="D293" s="21" t="n">
        <f aca="false">IF(B293="","",NORMDIST(B293,$B$15,$B$16,TRUE()))</f>
        <v>0.308932468655318</v>
      </c>
      <c r="E293" s="21" t="n">
        <f aca="false">IF(B293="","",IF(B293&gt;=$B$15,1-TDIST((B293-$B$15)/$B$18,$B$17,1),TDIST(($B$15-B293)/$B$18,$B$17,1)))</f>
        <v>0.286778036651305</v>
      </c>
      <c r="F293" s="21" t="n">
        <f aca="false">IF(B293="","",IF(B293&lt;$B$19,0.5*EXP((B293-$B$19)/$B$20),1-0.5*EXP(-(B293-$B$19)/$B$20)))</f>
        <v>0.248358660224023</v>
      </c>
      <c r="G293" s="21" t="n">
        <f aca="false">IF(B293="","",1/(1+EXP(-(B293-$B$15)/$B$21)))</f>
        <v>0.288051638315975</v>
      </c>
      <c r="H293" s="21" t="n">
        <f aca="false">IF(B293="","",MAX(ABS($A293/$B$6-D293),ABS(($A293-1)/$B$6-D293)))</f>
        <v>0.0529324686553184</v>
      </c>
      <c r="I293" s="21" t="n">
        <f aca="false">IF(B293="","",MAX(ABS($A293/$B$6-E293),ABS(($A293-1)/$B$6-E293)))</f>
        <v>0.0307780366513047</v>
      </c>
      <c r="J293" s="21" t="n">
        <f aca="false">IF(B293="","",MAX(ABS($A293/$B$6-F293),ABS(($A293-1)/$B$6-F293)))</f>
        <v>0.00864133977597664</v>
      </c>
      <c r="K293" s="21" t="n">
        <f aca="false">IF(B293="","",MAX(ABS($A293/$B$6-G293),ABS(($A293-1)/$B$6-G293)))</f>
        <v>0.0320516383159754</v>
      </c>
    </row>
    <row r="294" customFormat="false" ht="15" hidden="false" customHeight="false" outlineLevel="0" collapsed="false">
      <c r="A294" s="11" t="n">
        <v>258</v>
      </c>
      <c r="B294" s="9" t="n">
        <f aca="false">IF(A294&gt;$B$6,"",SMALL(BTC_Data!$C$3:$C$1002,A294))</f>
        <v>-0.000642768213629963</v>
      </c>
      <c r="C294" s="21" t="n">
        <f aca="false">IF(B294="","",A294/$B$6)</f>
        <v>0.258</v>
      </c>
      <c r="D294" s="21" t="n">
        <f aca="false">IF(B294="","",NORMDIST(B294,$B$15,$B$16,TRUE()))</f>
        <v>0.310082416244967</v>
      </c>
      <c r="E294" s="21" t="n">
        <f aca="false">IF(B294="","",IF(B294&gt;=$B$15,1-TDIST((B294-$B$15)/$B$18,$B$17,1),TDIST(($B$15-B294)/$B$18,$B$17,1)))</f>
        <v>0.288003005730744</v>
      </c>
      <c r="F294" s="21" t="n">
        <f aca="false">IF(B294="","",IF(B294&lt;$B$19,0.5*EXP((B294-$B$19)/$B$20),1-0.5*EXP(-(B294-$B$19)/$B$20)))</f>
        <v>0.249493290764244</v>
      </c>
      <c r="G294" s="21" t="n">
        <f aca="false">IF(B294="","",1/(1+EXP(-(B294-$B$15)/$B$21)))</f>
        <v>0.289266454760467</v>
      </c>
      <c r="H294" s="21" t="n">
        <f aca="false">IF(B294="","",MAX(ABS($A294/$B$6-D294),ABS(($A294-1)/$B$6-D294)))</f>
        <v>0.0530824162449673</v>
      </c>
      <c r="I294" s="21" t="n">
        <f aca="false">IF(B294="","",MAX(ABS($A294/$B$6-E294),ABS(($A294-1)/$B$6-E294)))</f>
        <v>0.0310030057307439</v>
      </c>
      <c r="J294" s="21" t="n">
        <f aca="false">IF(B294="","",MAX(ABS($A294/$B$6-F294),ABS(($A294-1)/$B$6-F294)))</f>
        <v>0.00850670923575558</v>
      </c>
      <c r="K294" s="21" t="n">
        <f aca="false">IF(B294="","",MAX(ABS($A294/$B$6-G294),ABS(($A294-1)/$B$6-G294)))</f>
        <v>0.0322664547604671</v>
      </c>
    </row>
    <row r="295" customFormat="false" ht="15" hidden="false" customHeight="false" outlineLevel="0" collapsed="false">
      <c r="A295" s="11" t="n">
        <v>259</v>
      </c>
      <c r="B295" s="9" t="n">
        <f aca="false">IF(A295&gt;$B$6,"",SMALL(BTC_Data!$C$3:$C$1002,A295))</f>
        <v>-0.000641068583375093</v>
      </c>
      <c r="C295" s="21" t="n">
        <f aca="false">IF(B295="","",A295/$B$6)</f>
        <v>0.259</v>
      </c>
      <c r="D295" s="21" t="n">
        <f aca="false">IF(B295="","",NORMDIST(B295,$B$15,$B$16,TRUE()))</f>
        <v>0.310553562956567</v>
      </c>
      <c r="E295" s="21" t="n">
        <f aca="false">IF(B295="","",IF(B295&gt;=$B$15,1-TDIST((B295-$B$15)/$B$18,$B$17,1),TDIST(($B$15-B295)/$B$18,$B$17,1)))</f>
        <v>0.288505190102674</v>
      </c>
      <c r="F295" s="21" t="n">
        <f aca="false">IF(B295="","",IF(B295&lt;$B$19,0.5*EXP((B295-$B$19)/$B$20),1-0.5*EXP(-(B295-$B$19)/$B$20)))</f>
        <v>0.249959125438047</v>
      </c>
      <c r="G295" s="21" t="n">
        <f aca="false">IF(B295="","",1/(1+EXP(-(B295-$B$15)/$B$21)))</f>
        <v>0.28976448681389</v>
      </c>
      <c r="H295" s="21" t="n">
        <f aca="false">IF(B295="","",MAX(ABS($A295/$B$6-D295),ABS(($A295-1)/$B$6-D295)))</f>
        <v>0.0525535629565673</v>
      </c>
      <c r="I295" s="21" t="n">
        <f aca="false">IF(B295="","",MAX(ABS($A295/$B$6-E295),ABS(($A295-1)/$B$6-E295)))</f>
        <v>0.0305051901026739</v>
      </c>
      <c r="J295" s="21" t="n">
        <f aca="false">IF(B295="","",MAX(ABS($A295/$B$6-F295),ABS(($A295-1)/$B$6-F295)))</f>
        <v>0.00904087456195349</v>
      </c>
      <c r="K295" s="21" t="n">
        <f aca="false">IF(B295="","",MAX(ABS($A295/$B$6-G295),ABS(($A295-1)/$B$6-G295)))</f>
        <v>0.0317644868138902</v>
      </c>
    </row>
    <row r="296" customFormat="false" ht="15" hidden="false" customHeight="false" outlineLevel="0" collapsed="false">
      <c r="A296" s="11" t="n">
        <v>260</v>
      </c>
      <c r="B296" s="9" t="n">
        <f aca="false">IF(A296&gt;$B$6,"",SMALL(BTC_Data!$C$3:$C$1002,A296))</f>
        <v>-0.000638101025577265</v>
      </c>
      <c r="C296" s="21" t="n">
        <f aca="false">IF(B296="","",A296/$B$6)</f>
        <v>0.26</v>
      </c>
      <c r="D296" s="21" t="n">
        <f aca="false">IF(B296="","",NORMDIST(B296,$B$15,$B$16,TRUE()))</f>
        <v>0.311376931143344</v>
      </c>
      <c r="E296" s="21" t="n">
        <f aca="false">IF(B296="","",IF(B296&gt;=$B$15,1-TDIST((B296-$B$15)/$B$18,$B$17,1),TDIST(($B$15-B296)/$B$18,$B$17,1)))</f>
        <v>0.289383216889948</v>
      </c>
      <c r="F296" s="21" t="n">
        <f aca="false">IF(B296="","",IF(B296&lt;$B$19,0.5*EXP((B296-$B$19)/$B$20),1-0.5*EXP(-(B296-$B$19)/$B$20)))</f>
        <v>0.250774559739437</v>
      </c>
      <c r="G296" s="21" t="n">
        <f aca="false">IF(B296="","",1/(1+EXP(-(B296-$B$15)/$B$21)))</f>
        <v>0.290635267433817</v>
      </c>
      <c r="H296" s="21" t="n">
        <f aca="false">IF(B296="","",MAX(ABS($A296/$B$6-D296),ABS(($A296-1)/$B$6-D296)))</f>
        <v>0.0523769311433435</v>
      </c>
      <c r="I296" s="21" t="n">
        <f aca="false">IF(B296="","",MAX(ABS($A296/$B$6-E296),ABS(($A296-1)/$B$6-E296)))</f>
        <v>0.0303832168899483</v>
      </c>
      <c r="J296" s="21" t="n">
        <f aca="false">IF(B296="","",MAX(ABS($A296/$B$6-F296),ABS(($A296-1)/$B$6-F296)))</f>
        <v>0.00922544026056282</v>
      </c>
      <c r="K296" s="21" t="n">
        <f aca="false">IF(B296="","",MAX(ABS($A296/$B$6-G296),ABS(($A296-1)/$B$6-G296)))</f>
        <v>0.0316352674338165</v>
      </c>
    </row>
    <row r="297" customFormat="false" ht="15" hidden="false" customHeight="false" outlineLevel="0" collapsed="false">
      <c r="A297" s="11" t="n">
        <v>261</v>
      </c>
      <c r="B297" s="9" t="n">
        <f aca="false">IF(A297&gt;$B$6,"",SMALL(BTC_Data!$C$3:$C$1002,A297))</f>
        <v>-0.000631647423424364</v>
      </c>
      <c r="C297" s="21" t="n">
        <f aca="false">IF(B297="","",A297/$B$6)</f>
        <v>0.261</v>
      </c>
      <c r="D297" s="21" t="n">
        <f aca="false">IF(B297="","",NORMDIST(B297,$B$15,$B$16,TRUE()))</f>
        <v>0.313170781224792</v>
      </c>
      <c r="E297" s="21" t="n">
        <f aca="false">IF(B297="","",IF(B297&gt;=$B$15,1-TDIST((B297-$B$15)/$B$18,$B$17,1),TDIST(($B$15-B297)/$B$18,$B$17,1)))</f>
        <v>0.291297980877892</v>
      </c>
      <c r="F297" s="21" t="n">
        <f aca="false">IF(B297="","",IF(B297&lt;$B$19,0.5*EXP((B297-$B$19)/$B$20),1-0.5*EXP(-(B297-$B$19)/$B$20)))</f>
        <v>0.252557094397228</v>
      </c>
      <c r="G297" s="21" t="n">
        <f aca="false">IF(B297="","",1/(1+EXP(-(B297-$B$15)/$B$21)))</f>
        <v>0.292534290676893</v>
      </c>
      <c r="H297" s="21" t="n">
        <f aca="false">IF(B297="","",MAX(ABS($A297/$B$6-D297),ABS(($A297-1)/$B$6-D297)))</f>
        <v>0.0531707812247915</v>
      </c>
      <c r="I297" s="21" t="n">
        <f aca="false">IF(B297="","",MAX(ABS($A297/$B$6-E297),ABS(($A297-1)/$B$6-E297)))</f>
        <v>0.031297980877892</v>
      </c>
      <c r="J297" s="21" t="n">
        <f aca="false">IF(B297="","",MAX(ABS($A297/$B$6-F297),ABS(($A297-1)/$B$6-F297)))</f>
        <v>0.00844290560277206</v>
      </c>
      <c r="K297" s="21" t="n">
        <f aca="false">IF(B297="","",MAX(ABS($A297/$B$6-G297),ABS(($A297-1)/$B$6-G297)))</f>
        <v>0.0325342906768926</v>
      </c>
    </row>
    <row r="298" customFormat="false" ht="15" hidden="false" customHeight="false" outlineLevel="0" collapsed="false">
      <c r="A298" s="11" t="n">
        <v>262</v>
      </c>
      <c r="B298" s="9" t="n">
        <f aca="false">IF(A298&gt;$B$6,"",SMALL(BTC_Data!$C$3:$C$1002,A298))</f>
        <v>-0.000629583667891343</v>
      </c>
      <c r="C298" s="21" t="n">
        <f aca="false">IF(B298="","",A298/$B$6)</f>
        <v>0.262</v>
      </c>
      <c r="D298" s="21" t="n">
        <f aca="false">IF(B298="","",NORMDIST(B298,$B$15,$B$16,TRUE()))</f>
        <v>0.313745361908918</v>
      </c>
      <c r="E298" s="21" t="n">
        <f aca="false">IF(B298="","",IF(B298&gt;=$B$15,1-TDIST((B298-$B$15)/$B$18,$B$17,1),TDIST(($B$15-B298)/$B$18,$B$17,1)))</f>
        <v>0.291911818876596</v>
      </c>
      <c r="F298" s="21" t="n">
        <f aca="false">IF(B298="","",IF(B298&lt;$B$19,0.5*EXP((B298-$B$19)/$B$20),1-0.5*EXP(-(B298-$B$19)/$B$20)))</f>
        <v>0.253129789038854</v>
      </c>
      <c r="G298" s="21" t="n">
        <f aca="false">IF(B298="","",1/(1+EXP(-(B298-$B$15)/$B$21)))</f>
        <v>0.293143100435739</v>
      </c>
      <c r="H298" s="21" t="n">
        <f aca="false">IF(B298="","",MAX(ABS($A298/$B$6-D298),ABS(($A298-1)/$B$6-D298)))</f>
        <v>0.0527453619089177</v>
      </c>
      <c r="I298" s="21" t="n">
        <f aca="false">IF(B298="","",MAX(ABS($A298/$B$6-E298),ABS(($A298-1)/$B$6-E298)))</f>
        <v>0.030911818876596</v>
      </c>
      <c r="J298" s="21" t="n">
        <f aca="false">IF(B298="","",MAX(ABS($A298/$B$6-F298),ABS(($A298-1)/$B$6-F298)))</f>
        <v>0.00887021096114565</v>
      </c>
      <c r="K298" s="21" t="n">
        <f aca="false">IF(B298="","",MAX(ABS($A298/$B$6-G298),ABS(($A298-1)/$B$6-G298)))</f>
        <v>0.0321431004357387</v>
      </c>
    </row>
    <row r="299" customFormat="false" ht="15" hidden="false" customHeight="false" outlineLevel="0" collapsed="false">
      <c r="A299" s="11" t="n">
        <v>263</v>
      </c>
      <c r="B299" s="9" t="n">
        <f aca="false">IF(A299&gt;$B$6,"",SMALL(BTC_Data!$C$3:$C$1002,A299))</f>
        <v>-0.000626043301186874</v>
      </c>
      <c r="C299" s="21" t="n">
        <f aca="false">IF(B299="","",A299/$B$6)</f>
        <v>0.263</v>
      </c>
      <c r="D299" s="21" t="n">
        <f aca="false">IF(B299="","",NORMDIST(B299,$B$15,$B$16,TRUE()))</f>
        <v>0.314732105843088</v>
      </c>
      <c r="E299" s="21" t="n">
        <f aca="false">IF(B299="","",IF(B299&gt;=$B$15,1-TDIST((B299-$B$15)/$B$18,$B$17,1),TDIST(($B$15-B299)/$B$18,$B$17,1)))</f>
        <v>0.292966574857196</v>
      </c>
      <c r="F299" s="21" t="n">
        <f aca="false">IF(B299="","",IF(B299&lt;$B$19,0.5*EXP((B299-$B$19)/$B$20),1-0.5*EXP(-(B299-$B$19)/$B$20)))</f>
        <v>0.254115271486948</v>
      </c>
      <c r="G299" s="21" t="n">
        <f aca="false">IF(B299="","",1/(1+EXP(-(B299-$B$15)/$B$21)))</f>
        <v>0.294189236915703</v>
      </c>
      <c r="H299" s="21" t="n">
        <f aca="false">IF(B299="","",MAX(ABS($A299/$B$6-D299),ABS(($A299-1)/$B$6-D299)))</f>
        <v>0.0527321058430875</v>
      </c>
      <c r="I299" s="21" t="n">
        <f aca="false">IF(B299="","",MAX(ABS($A299/$B$6-E299),ABS(($A299-1)/$B$6-E299)))</f>
        <v>0.0309665748571958</v>
      </c>
      <c r="J299" s="21" t="n">
        <f aca="false">IF(B299="","",MAX(ABS($A299/$B$6-F299),ABS(($A299-1)/$B$6-F299)))</f>
        <v>0.00888472851305205</v>
      </c>
      <c r="K299" s="21" t="n">
        <f aca="false">IF(B299="","",MAX(ABS($A299/$B$6-G299),ABS(($A299-1)/$B$6-G299)))</f>
        <v>0.0321892369157034</v>
      </c>
    </row>
    <row r="300" customFormat="false" ht="15" hidden="false" customHeight="false" outlineLevel="0" collapsed="false">
      <c r="A300" s="11" t="n">
        <v>264</v>
      </c>
      <c r="B300" s="9" t="n">
        <f aca="false">IF(A300&gt;$B$6,"",SMALL(BTC_Data!$C$3:$C$1002,A300))</f>
        <v>-0.000615105577846054</v>
      </c>
      <c r="C300" s="21" t="n">
        <f aca="false">IF(B300="","",A300/$B$6)</f>
        <v>0.264</v>
      </c>
      <c r="D300" s="21" t="n">
        <f aca="false">IF(B300="","",NORMDIST(B300,$B$15,$B$16,TRUE()))</f>
        <v>0.317788926612406</v>
      </c>
      <c r="E300" s="21" t="n">
        <f aca="false">IF(B300="","",IF(B300&gt;=$B$15,1-TDIST((B300-$B$15)/$B$18,$B$17,1),TDIST(($B$15-B300)/$B$18,$B$17,1)))</f>
        <v>0.296238821173486</v>
      </c>
      <c r="F300" s="21" t="n">
        <f aca="false">IF(B300="","",IF(B300&lt;$B$19,0.5*EXP((B300-$B$19)/$B$20),1-0.5*EXP(-(B300-$B$19)/$B$20)))</f>
        <v>0.257184154901067</v>
      </c>
      <c r="G300" s="21" t="n">
        <f aca="false">IF(B300="","",1/(1+EXP(-(B300-$B$15)/$B$21)))</f>
        <v>0.297434908921068</v>
      </c>
      <c r="H300" s="21" t="n">
        <f aca="false">IF(B300="","",MAX(ABS($A300/$B$6-D300),ABS(($A300-1)/$B$6-D300)))</f>
        <v>0.0547889266124063</v>
      </c>
      <c r="I300" s="21" t="n">
        <f aca="false">IF(B300="","",MAX(ABS($A300/$B$6-E300),ABS(($A300-1)/$B$6-E300)))</f>
        <v>0.0332388211734863</v>
      </c>
      <c r="J300" s="21" t="n">
        <f aca="false">IF(B300="","",MAX(ABS($A300/$B$6-F300),ABS(($A300-1)/$B$6-F300)))</f>
        <v>0.00681584509893274</v>
      </c>
      <c r="K300" s="21" t="n">
        <f aca="false">IF(B300="","",MAX(ABS($A300/$B$6-G300),ABS(($A300-1)/$B$6-G300)))</f>
        <v>0.0344349089210676</v>
      </c>
    </row>
    <row r="301" customFormat="false" ht="15" hidden="false" customHeight="false" outlineLevel="0" collapsed="false">
      <c r="A301" s="11" t="n">
        <v>265</v>
      </c>
      <c r="B301" s="9" t="n">
        <f aca="false">IF(A301&gt;$B$6,"",SMALL(BTC_Data!$C$3:$C$1002,A301))</f>
        <v>-0.00061243935554911</v>
      </c>
      <c r="C301" s="21" t="n">
        <f aca="false">IF(B301="","",A301/$B$6)</f>
        <v>0.265</v>
      </c>
      <c r="D301" s="21" t="n">
        <f aca="false">IF(B301="","",NORMDIST(B301,$B$15,$B$16,TRUE()))</f>
        <v>0.318535966183194</v>
      </c>
      <c r="E301" s="21" t="n">
        <f aca="false">IF(B301="","",IF(B301&gt;=$B$15,1-TDIST((B301-$B$15)/$B$18,$B$17,1),TDIST(($B$15-B301)/$B$18,$B$17,1)))</f>
        <v>0.297039586575017</v>
      </c>
      <c r="F301" s="21" t="n">
        <f aca="false">IF(B301="","",IF(B301&lt;$B$19,0.5*EXP((B301-$B$19)/$B$20),1-0.5*EXP(-(B301-$B$19)/$B$20)))</f>
        <v>0.257937839264578</v>
      </c>
      <c r="G301" s="21" t="n">
        <f aca="false">IF(B301="","",1/(1+EXP(-(B301-$B$15)/$B$21)))</f>
        <v>0.298229209947759</v>
      </c>
      <c r="H301" s="21" t="n">
        <f aca="false">IF(B301="","",MAX(ABS($A301/$B$6-D301),ABS(($A301-1)/$B$6-D301)))</f>
        <v>0.0545359661831944</v>
      </c>
      <c r="I301" s="21" t="n">
        <f aca="false">IF(B301="","",MAX(ABS($A301/$B$6-E301),ABS(($A301-1)/$B$6-E301)))</f>
        <v>0.0330395865750165</v>
      </c>
      <c r="J301" s="21" t="n">
        <f aca="false">IF(B301="","",MAX(ABS($A301/$B$6-F301),ABS(($A301-1)/$B$6-F301)))</f>
        <v>0.00706216073542221</v>
      </c>
      <c r="K301" s="21" t="n">
        <f aca="false">IF(B301="","",MAX(ABS($A301/$B$6-G301),ABS(($A301-1)/$B$6-G301)))</f>
        <v>0.0342292099477587</v>
      </c>
    </row>
    <row r="302" customFormat="false" ht="15" hidden="false" customHeight="false" outlineLevel="0" collapsed="false">
      <c r="A302" s="11" t="n">
        <v>266</v>
      </c>
      <c r="B302" s="9" t="n">
        <f aca="false">IF(A302&gt;$B$6,"",SMALL(BTC_Data!$C$3:$C$1002,A302))</f>
        <v>-0.000612189233640148</v>
      </c>
      <c r="C302" s="21" t="n">
        <f aca="false">IF(B302="","",A302/$B$6)</f>
        <v>0.266</v>
      </c>
      <c r="D302" s="21" t="n">
        <f aca="false">IF(B302="","",NORMDIST(B302,$B$15,$B$16,TRUE()))</f>
        <v>0.318606084896909</v>
      </c>
      <c r="E302" s="21" t="n">
        <f aca="false">IF(B302="","",IF(B302&gt;=$B$15,1-TDIST((B302-$B$15)/$B$18,$B$17,1),TDIST(($B$15-B302)/$B$18,$B$17,1)))</f>
        <v>0.297114769726977</v>
      </c>
      <c r="F302" s="21" t="n">
        <f aca="false">IF(B302="","",IF(B302&lt;$B$19,0.5*EXP((B302-$B$19)/$B$20),1-0.5*EXP(-(B302-$B$19)/$B$20)))</f>
        <v>0.258008656629827</v>
      </c>
      <c r="G302" s="21" t="n">
        <f aca="false">IF(B302="","",1/(1+EXP(-(B302-$B$15)/$B$21)))</f>
        <v>0.298303786953183</v>
      </c>
      <c r="H302" s="21" t="n">
        <f aca="false">IF(B302="","",MAX(ABS($A302/$B$6-D302),ABS(($A302-1)/$B$6-D302)))</f>
        <v>0.053606084896909</v>
      </c>
      <c r="I302" s="21" t="n">
        <f aca="false">IF(B302="","",MAX(ABS($A302/$B$6-E302),ABS(($A302-1)/$B$6-E302)))</f>
        <v>0.0321147697269767</v>
      </c>
      <c r="J302" s="21" t="n">
        <f aca="false">IF(B302="","",MAX(ABS($A302/$B$6-F302),ABS(($A302-1)/$B$6-F302)))</f>
        <v>0.00799134337017293</v>
      </c>
      <c r="K302" s="21" t="n">
        <f aca="false">IF(B302="","",MAX(ABS($A302/$B$6-G302),ABS(($A302-1)/$B$6-G302)))</f>
        <v>0.0333037869531834</v>
      </c>
    </row>
    <row r="303" customFormat="false" ht="15" hidden="false" customHeight="false" outlineLevel="0" collapsed="false">
      <c r="A303" s="11" t="n">
        <v>267</v>
      </c>
      <c r="B303" s="9" t="n">
        <f aca="false">IF(A303&gt;$B$6,"",SMALL(BTC_Data!$C$3:$C$1002,A303))</f>
        <v>-0.000611724865569374</v>
      </c>
      <c r="C303" s="21" t="n">
        <f aca="false">IF(B303="","",A303/$B$6)</f>
        <v>0.267</v>
      </c>
      <c r="D303" s="21" t="n">
        <f aca="false">IF(B303="","",NORMDIST(B303,$B$15,$B$16,TRUE()))</f>
        <v>0.318736282208393</v>
      </c>
      <c r="E303" s="21" t="n">
        <f aca="false">IF(B303="","",IF(B303&gt;=$B$15,1-TDIST((B303-$B$15)/$B$18,$B$17,1),TDIST(($B$15-B303)/$B$18,$B$17,1)))</f>
        <v>0.29725438057544</v>
      </c>
      <c r="F303" s="21" t="n">
        <f aca="false">IF(B303="","",IF(B303&lt;$B$19,0.5*EXP((B303-$B$19)/$B$20),1-0.5*EXP(-(B303-$B$19)/$B$20)))</f>
        <v>0.258140185371216</v>
      </c>
      <c r="G303" s="21" t="n">
        <f aca="false">IF(B303="","",1/(1+EXP(-(B303-$B$15)/$B$21)))</f>
        <v>0.298442272581278</v>
      </c>
      <c r="H303" s="21" t="n">
        <f aca="false">IF(B303="","",MAX(ABS($A303/$B$6-D303),ABS(($A303-1)/$B$6-D303)))</f>
        <v>0.0527362822083933</v>
      </c>
      <c r="I303" s="21" t="n">
        <f aca="false">IF(B303="","",MAX(ABS($A303/$B$6-E303),ABS(($A303-1)/$B$6-E303)))</f>
        <v>0.0312543805754399</v>
      </c>
      <c r="J303" s="21" t="n">
        <f aca="false">IF(B303="","",MAX(ABS($A303/$B$6-F303),ABS(($A303-1)/$B$6-F303)))</f>
        <v>0.00885981462878432</v>
      </c>
      <c r="K303" s="21" t="n">
        <f aca="false">IF(B303="","",MAX(ABS($A303/$B$6-G303),ABS(($A303-1)/$B$6-G303)))</f>
        <v>0.0324422725812775</v>
      </c>
    </row>
    <row r="304" customFormat="false" ht="15" hidden="false" customHeight="false" outlineLevel="0" collapsed="false">
      <c r="A304" s="11" t="n">
        <v>268</v>
      </c>
      <c r="B304" s="9" t="n">
        <f aca="false">IF(A304&gt;$B$6,"",SMALL(BTC_Data!$C$3:$C$1002,A304))</f>
        <v>-0.000610736543212753</v>
      </c>
      <c r="C304" s="21" t="n">
        <f aca="false">IF(B304="","",A304/$B$6)</f>
        <v>0.268</v>
      </c>
      <c r="D304" s="21" t="n">
        <f aca="false">IF(B304="","",NORMDIST(B304,$B$15,$B$16,TRUE()))</f>
        <v>0.319013457812008</v>
      </c>
      <c r="E304" s="21" t="n">
        <f aca="false">IF(B304="","",IF(B304&gt;=$B$15,1-TDIST((B304-$B$15)/$B$18,$B$17,1),TDIST(($B$15-B304)/$B$18,$B$17,1)))</f>
        <v>0.297551639051437</v>
      </c>
      <c r="F304" s="21" t="n">
        <f aca="false">IF(B304="","",IF(B304&lt;$B$19,0.5*EXP((B304-$B$19)/$B$20),1-0.5*EXP(-(B304-$B$19)/$B$20)))</f>
        <v>0.258420343456567</v>
      </c>
      <c r="G304" s="21" t="n">
        <f aca="false">IF(B304="","",1/(1+EXP(-(B304-$B$15)/$B$21)))</f>
        <v>0.298737136803214</v>
      </c>
      <c r="H304" s="21" t="n">
        <f aca="false">IF(B304="","",MAX(ABS($A304/$B$6-D304),ABS(($A304-1)/$B$6-D304)))</f>
        <v>0.0520134578120082</v>
      </c>
      <c r="I304" s="21" t="n">
        <f aca="false">IF(B304="","",MAX(ABS($A304/$B$6-E304),ABS(($A304-1)/$B$6-E304)))</f>
        <v>0.0305516390514369</v>
      </c>
      <c r="J304" s="21" t="n">
        <f aca="false">IF(B304="","",MAX(ABS($A304/$B$6-F304),ABS(($A304-1)/$B$6-F304)))</f>
        <v>0.00957965654343318</v>
      </c>
      <c r="K304" s="21" t="n">
        <f aca="false">IF(B304="","",MAX(ABS($A304/$B$6-G304),ABS(($A304-1)/$B$6-G304)))</f>
        <v>0.0317371368032144</v>
      </c>
    </row>
    <row r="305" customFormat="false" ht="15" hidden="false" customHeight="false" outlineLevel="0" collapsed="false">
      <c r="A305" s="11" t="n">
        <v>269</v>
      </c>
      <c r="B305" s="9" t="n">
        <f aca="false">IF(A305&gt;$B$6,"",SMALL(BTC_Data!$C$3:$C$1002,A305))</f>
        <v>-0.000608607737226152</v>
      </c>
      <c r="C305" s="21" t="n">
        <f aca="false">IF(B305="","",A305/$B$6)</f>
        <v>0.269</v>
      </c>
      <c r="D305" s="21" t="n">
        <f aca="false">IF(B305="","",NORMDIST(B305,$B$15,$B$16,TRUE()))</f>
        <v>0.319610826449547</v>
      </c>
      <c r="E305" s="21" t="n">
        <f aca="false">IF(B305="","",IF(B305&gt;=$B$15,1-TDIST((B305-$B$15)/$B$18,$B$17,1),TDIST(($B$15-B305)/$B$18,$B$17,1)))</f>
        <v>0.298192486573519</v>
      </c>
      <c r="F305" s="21" t="n">
        <f aca="false">IF(B305="","",IF(B305&lt;$B$19,0.5*EXP((B305-$B$19)/$B$20),1-0.5*EXP(-(B305-$B$19)/$B$20)))</f>
        <v>0.259024825755352</v>
      </c>
      <c r="G305" s="21" t="n">
        <f aca="false">IF(B305="","",1/(1+EXP(-(B305-$B$15)/$B$21)))</f>
        <v>0.299372829872925</v>
      </c>
      <c r="H305" s="21" t="n">
        <f aca="false">IF(B305="","",MAX(ABS($A305/$B$6-D305),ABS(($A305-1)/$B$6-D305)))</f>
        <v>0.0516108264495473</v>
      </c>
      <c r="I305" s="21" t="n">
        <f aca="false">IF(B305="","",MAX(ABS($A305/$B$6-E305),ABS(($A305-1)/$B$6-E305)))</f>
        <v>0.0301924865735189</v>
      </c>
      <c r="J305" s="21" t="n">
        <f aca="false">IF(B305="","",MAX(ABS($A305/$B$6-F305),ABS(($A305-1)/$B$6-F305)))</f>
        <v>0.00997517424464817</v>
      </c>
      <c r="K305" s="21" t="n">
        <f aca="false">IF(B305="","",MAX(ABS($A305/$B$6-G305),ABS(($A305-1)/$B$6-G305)))</f>
        <v>0.031372829872925</v>
      </c>
    </row>
    <row r="306" customFormat="false" ht="15" hidden="false" customHeight="false" outlineLevel="0" collapsed="false">
      <c r="A306" s="11" t="n">
        <v>270</v>
      </c>
      <c r="B306" s="9" t="n">
        <f aca="false">IF(A306&gt;$B$6,"",SMALL(BTC_Data!$C$3:$C$1002,A306))</f>
        <v>-0.000602612683877735</v>
      </c>
      <c r="C306" s="21" t="n">
        <f aca="false">IF(B306="","",A306/$B$6)</f>
        <v>0.27</v>
      </c>
      <c r="D306" s="21" t="n">
        <f aca="false">IF(B306="","",NORMDIST(B306,$B$15,$B$16,TRUE()))</f>
        <v>0.321295623377842</v>
      </c>
      <c r="E306" s="21" t="n">
        <f aca="false">IF(B306="","",IF(B306&gt;=$B$15,1-TDIST((B306-$B$15)/$B$18,$B$17,1),TDIST(($B$15-B306)/$B$18,$B$17,1)))</f>
        <v>0.300001348164636</v>
      </c>
      <c r="F306" s="21" t="n">
        <f aca="false">IF(B306="","",IF(B306&lt;$B$19,0.5*EXP((B306-$B$19)/$B$20),1-0.5*EXP(-(B306-$B$19)/$B$20)))</f>
        <v>0.260734751896895</v>
      </c>
      <c r="G306" s="21" t="n">
        <f aca="false">IF(B306="","",1/(1+EXP(-(B306-$B$15)/$B$21)))</f>
        <v>0.301167195933866</v>
      </c>
      <c r="H306" s="21" t="n">
        <f aca="false">IF(B306="","",MAX(ABS($A306/$B$6-D306),ABS(($A306-1)/$B$6-D306)))</f>
        <v>0.0522956233778423</v>
      </c>
      <c r="I306" s="21" t="n">
        <f aca="false">IF(B306="","",MAX(ABS($A306/$B$6-E306),ABS(($A306-1)/$B$6-E306)))</f>
        <v>0.0310013481646358</v>
      </c>
      <c r="J306" s="21" t="n">
        <f aca="false">IF(B306="","",MAX(ABS($A306/$B$6-F306),ABS(($A306-1)/$B$6-F306)))</f>
        <v>0.00926524810310553</v>
      </c>
      <c r="K306" s="21" t="n">
        <f aca="false">IF(B306="","",MAX(ABS($A306/$B$6-G306),ABS(($A306-1)/$B$6-G306)))</f>
        <v>0.0321671959338663</v>
      </c>
    </row>
    <row r="307" customFormat="false" ht="15" hidden="false" customHeight="false" outlineLevel="0" collapsed="false">
      <c r="A307" s="11" t="n">
        <v>271</v>
      </c>
      <c r="B307" s="9" t="n">
        <f aca="false">IF(A307&gt;$B$6,"",SMALL(BTC_Data!$C$3:$C$1002,A307))</f>
        <v>-0.000590480774909863</v>
      </c>
      <c r="C307" s="21" t="n">
        <f aca="false">IF(B307="","",A307/$B$6)</f>
        <v>0.271</v>
      </c>
      <c r="D307" s="21" t="n">
        <f aca="false">IF(B307="","",NORMDIST(B307,$B$15,$B$16,TRUE()))</f>
        <v>0.324716312735172</v>
      </c>
      <c r="E307" s="21" t="n">
        <f aca="false">IF(B307="","",IF(B307&gt;=$B$15,1-TDIST((B307-$B$15)/$B$18,$B$17,1),TDIST(($B$15-B307)/$B$18,$B$17,1)))</f>
        <v>0.303680398665444</v>
      </c>
      <c r="F307" s="21" t="n">
        <f aca="false">IF(B307="","",IF(B307&lt;$B$19,0.5*EXP((B307-$B$19)/$B$20),1-0.5*EXP(-(B307-$B$19)/$B$20)))</f>
        <v>0.264229661576735</v>
      </c>
      <c r="G307" s="21" t="n">
        <f aca="false">IF(B307="","",1/(1+EXP(-(B307-$B$15)/$B$21)))</f>
        <v>0.304817009751753</v>
      </c>
      <c r="H307" s="21" t="n">
        <f aca="false">IF(B307="","",MAX(ABS($A307/$B$6-D307),ABS(($A307-1)/$B$6-D307)))</f>
        <v>0.0547163127351722</v>
      </c>
      <c r="I307" s="21" t="n">
        <f aca="false">IF(B307="","",MAX(ABS($A307/$B$6-E307),ABS(($A307-1)/$B$6-E307)))</f>
        <v>0.0336803986654437</v>
      </c>
      <c r="J307" s="21" t="n">
        <f aca="false">IF(B307="","",MAX(ABS($A307/$B$6-F307),ABS(($A307-1)/$B$6-F307)))</f>
        <v>0.00677033842326497</v>
      </c>
      <c r="K307" s="21" t="n">
        <f aca="false">IF(B307="","",MAX(ABS($A307/$B$6-G307),ABS(($A307-1)/$B$6-G307)))</f>
        <v>0.0348170097517531</v>
      </c>
    </row>
    <row r="308" customFormat="false" ht="15" hidden="false" customHeight="false" outlineLevel="0" collapsed="false">
      <c r="A308" s="11" t="n">
        <v>272</v>
      </c>
      <c r="B308" s="9" t="n">
        <f aca="false">IF(A308&gt;$B$6,"",SMALL(BTC_Data!$C$3:$C$1002,A308))</f>
        <v>-0.000587332600639923</v>
      </c>
      <c r="C308" s="21" t="n">
        <f aca="false">IF(B308="","",A308/$B$6)</f>
        <v>0.272</v>
      </c>
      <c r="D308" s="21" t="n">
        <f aca="false">IF(B308="","",NORMDIST(B308,$B$15,$B$16,TRUE()))</f>
        <v>0.325606402081936</v>
      </c>
      <c r="E308" s="21" t="n">
        <f aca="false">IF(B308="","",IF(B308&gt;=$B$15,1-TDIST((B308-$B$15)/$B$18,$B$17,1),TDIST(($B$15-B308)/$B$18,$B$17,1)))</f>
        <v>0.304639122045275</v>
      </c>
      <c r="F308" s="21" t="n">
        <f aca="false">IF(B308="","",IF(B308&lt;$B$19,0.5*EXP((B308-$B$19)/$B$20),1-0.5*EXP(-(B308-$B$19)/$B$20)))</f>
        <v>0.26514420471656</v>
      </c>
      <c r="G308" s="21" t="n">
        <f aca="false">IF(B308="","",1/(1+EXP(-(B308-$B$15)/$B$21)))</f>
        <v>0.305768168957661</v>
      </c>
      <c r="H308" s="21" t="n">
        <f aca="false">IF(B308="","",MAX(ABS($A308/$B$6-D308),ABS(($A308-1)/$B$6-D308)))</f>
        <v>0.0546064020819355</v>
      </c>
      <c r="I308" s="21" t="n">
        <f aca="false">IF(B308="","",MAX(ABS($A308/$B$6-E308),ABS(($A308-1)/$B$6-E308)))</f>
        <v>0.0336391220452754</v>
      </c>
      <c r="J308" s="21" t="n">
        <f aca="false">IF(B308="","",MAX(ABS($A308/$B$6-F308),ABS(($A308-1)/$B$6-F308)))</f>
        <v>0.00685579528344016</v>
      </c>
      <c r="K308" s="21" t="n">
        <f aca="false">IF(B308="","",MAX(ABS($A308/$B$6-G308),ABS(($A308-1)/$B$6-G308)))</f>
        <v>0.0347681689576614</v>
      </c>
    </row>
    <row r="309" customFormat="false" ht="15" hidden="false" customHeight="false" outlineLevel="0" collapsed="false">
      <c r="A309" s="11" t="n">
        <v>273</v>
      </c>
      <c r="B309" s="9" t="n">
        <f aca="false">IF(A309&gt;$B$6,"",SMALL(BTC_Data!$C$3:$C$1002,A309))</f>
        <v>-0.000580059065289795</v>
      </c>
      <c r="C309" s="21" t="n">
        <f aca="false">IF(B309="","",A309/$B$6)</f>
        <v>0.273</v>
      </c>
      <c r="D309" s="21" t="n">
        <f aca="false">IF(B309="","",NORMDIST(B309,$B$15,$B$16,TRUE()))</f>
        <v>0.327666662332597</v>
      </c>
      <c r="E309" s="21" t="n">
        <f aca="false">IF(B309="","",IF(B309&gt;=$B$15,1-TDIST((B309-$B$15)/$B$18,$B$17,1),TDIST(($B$15-B309)/$B$18,$B$17,1)))</f>
        <v>0.306860450353688</v>
      </c>
      <c r="F309" s="21" t="n">
        <f aca="false">IF(B309="","",IF(B309&lt;$B$19,0.5*EXP((B309-$B$19)/$B$20),1-0.5*EXP(-(B309-$B$19)/$B$20)))</f>
        <v>0.267269286581975</v>
      </c>
      <c r="G309" s="21" t="n">
        <f aca="false">IF(B309="","",1/(1+EXP(-(B309-$B$15)/$B$21)))</f>
        <v>0.307972058826581</v>
      </c>
      <c r="H309" s="21" t="n">
        <f aca="false">IF(B309="","",MAX(ABS($A309/$B$6-D309),ABS(($A309-1)/$B$6-D309)))</f>
        <v>0.0556666623325965</v>
      </c>
      <c r="I309" s="21" t="n">
        <f aca="false">IF(B309="","",MAX(ABS($A309/$B$6-E309),ABS(($A309-1)/$B$6-E309)))</f>
        <v>0.034860450353688</v>
      </c>
      <c r="J309" s="21" t="n">
        <f aca="false">IF(B309="","",MAX(ABS($A309/$B$6-F309),ABS(($A309-1)/$B$6-F309)))</f>
        <v>0.00573071341802517</v>
      </c>
      <c r="K309" s="21" t="n">
        <f aca="false">IF(B309="","",MAX(ABS($A309/$B$6-G309),ABS(($A309-1)/$B$6-G309)))</f>
        <v>0.0359720588265811</v>
      </c>
    </row>
    <row r="310" customFormat="false" ht="15" hidden="false" customHeight="false" outlineLevel="0" collapsed="false">
      <c r="A310" s="11" t="n">
        <v>274</v>
      </c>
      <c r="B310" s="9" t="n">
        <f aca="false">IF(A310&gt;$B$6,"",SMALL(BTC_Data!$C$3:$C$1002,A310))</f>
        <v>-0.000572955595458558</v>
      </c>
      <c r="C310" s="21" t="n">
        <f aca="false">IF(B310="","",A310/$B$6)</f>
        <v>0.274</v>
      </c>
      <c r="D310" s="21" t="n">
        <f aca="false">IF(B310="","",NORMDIST(B310,$B$15,$B$16,TRUE()))</f>
        <v>0.329683828300701</v>
      </c>
      <c r="E310" s="21" t="n">
        <f aca="false">IF(B310="","",IF(B310&gt;=$B$15,1-TDIST((B310-$B$15)/$B$18,$B$17,1),TDIST(($B$15-B310)/$B$18,$B$17,1)))</f>
        <v>0.309038269949547</v>
      </c>
      <c r="F310" s="21" t="n">
        <f aca="false">IF(B310="","",IF(B310&lt;$B$19,0.5*EXP((B310-$B$19)/$B$20),1-0.5*EXP(-(B310-$B$19)/$B$20)))</f>
        <v>0.26936111945168</v>
      </c>
      <c r="G310" s="21" t="n">
        <f aca="false">IF(B310="","",1/(1+EXP(-(B310-$B$15)/$B$21)))</f>
        <v>0.310132900888049</v>
      </c>
      <c r="H310" s="21" t="n">
        <f aca="false">IF(B310="","",MAX(ABS($A310/$B$6-D310),ABS(($A310-1)/$B$6-D310)))</f>
        <v>0.0566838283007012</v>
      </c>
      <c r="I310" s="21" t="n">
        <f aca="false">IF(B310="","",MAX(ABS($A310/$B$6-E310),ABS(($A310-1)/$B$6-E310)))</f>
        <v>0.0360382699495468</v>
      </c>
      <c r="J310" s="21" t="n">
        <f aca="false">IF(B310="","",MAX(ABS($A310/$B$6-F310),ABS(($A310-1)/$B$6-F310)))</f>
        <v>0.00463888054832051</v>
      </c>
      <c r="K310" s="21" t="n">
        <f aca="false">IF(B310="","",MAX(ABS($A310/$B$6-G310),ABS(($A310-1)/$B$6-G310)))</f>
        <v>0.0371329008880494</v>
      </c>
    </row>
    <row r="311" customFormat="false" ht="15" hidden="false" customHeight="false" outlineLevel="0" collapsed="false">
      <c r="A311" s="11" t="n">
        <v>275</v>
      </c>
      <c r="B311" s="9" t="n">
        <f aca="false">IF(A311&gt;$B$6,"",SMALL(BTC_Data!$C$3:$C$1002,A311))</f>
        <v>-0.00056843958936581</v>
      </c>
      <c r="C311" s="21" t="n">
        <f aca="false">IF(B311="","",A311/$B$6)</f>
        <v>0.275</v>
      </c>
      <c r="D311" s="21" t="n">
        <f aca="false">IF(B311="","",NORMDIST(B311,$B$15,$B$16,TRUE()))</f>
        <v>0.330968820151522</v>
      </c>
      <c r="E311" s="21" t="n">
        <f aca="false">IF(B311="","",IF(B311&gt;=$B$15,1-TDIST((B311-$B$15)/$B$18,$B$17,1),TDIST(($B$15-B311)/$B$18,$B$17,1)))</f>
        <v>0.310427112244183</v>
      </c>
      <c r="F311" s="21" t="n">
        <f aca="false">IF(B311="","",IF(B311&lt;$B$19,0.5*EXP((B311-$B$19)/$B$20),1-0.5*EXP(-(B311-$B$19)/$B$20)))</f>
        <v>0.270699499660101</v>
      </c>
      <c r="G311" s="21" t="n">
        <f aca="false">IF(B311="","",1/(1+EXP(-(B311-$B$15)/$B$21)))</f>
        <v>0.311510978301819</v>
      </c>
      <c r="H311" s="21" t="n">
        <f aca="false">IF(B311="","",MAX(ABS($A311/$B$6-D311),ABS(($A311-1)/$B$6-D311)))</f>
        <v>0.0569688201515218</v>
      </c>
      <c r="I311" s="21" t="n">
        <f aca="false">IF(B311="","",MAX(ABS($A311/$B$6-E311),ABS(($A311-1)/$B$6-E311)))</f>
        <v>0.0364271122441834</v>
      </c>
      <c r="J311" s="21" t="n">
        <f aca="false">IF(B311="","",MAX(ABS($A311/$B$6-F311),ABS(($A311-1)/$B$6-F311)))</f>
        <v>0.00430050033989921</v>
      </c>
      <c r="K311" s="21" t="n">
        <f aca="false">IF(B311="","",MAX(ABS($A311/$B$6-G311),ABS(($A311-1)/$B$6-G311)))</f>
        <v>0.0375109783018187</v>
      </c>
    </row>
    <row r="312" customFormat="false" ht="15" hidden="false" customHeight="false" outlineLevel="0" collapsed="false">
      <c r="A312" s="11" t="n">
        <v>276</v>
      </c>
      <c r="B312" s="9" t="n">
        <f aca="false">IF(A312&gt;$B$6,"",SMALL(BTC_Data!$C$3:$C$1002,A312))</f>
        <v>-0.000566437565942879</v>
      </c>
      <c r="C312" s="21" t="n">
        <f aca="false">IF(B312="","",A312/$B$6)</f>
        <v>0.276</v>
      </c>
      <c r="D312" s="21" t="n">
        <f aca="false">IF(B312="","",NORMDIST(B312,$B$15,$B$16,TRUE()))</f>
        <v>0.331539118023128</v>
      </c>
      <c r="E312" s="21" t="n">
        <f aca="false">IF(B312="","",IF(B312&gt;=$B$15,1-TDIST((B312-$B$15)/$B$18,$B$17,1),TDIST(($B$15-B312)/$B$18,$B$17,1)))</f>
        <v>0.311043874179279</v>
      </c>
      <c r="F312" s="21" t="n">
        <f aca="false">IF(B312="","",IF(B312&lt;$B$19,0.5*EXP((B312-$B$19)/$B$20),1-0.5*EXP(-(B312-$B$19)/$B$20)))</f>
        <v>0.271294952246762</v>
      </c>
      <c r="G312" s="21" t="n">
        <f aca="false">IF(B312="","",1/(1+EXP(-(B312-$B$15)/$B$21)))</f>
        <v>0.312122975285954</v>
      </c>
      <c r="H312" s="21" t="n">
        <f aca="false">IF(B312="","",MAX(ABS($A312/$B$6-D312),ABS(($A312-1)/$B$6-D312)))</f>
        <v>0.0565391180231282</v>
      </c>
      <c r="I312" s="21" t="n">
        <f aca="false">IF(B312="","",MAX(ABS($A312/$B$6-E312),ABS(($A312-1)/$B$6-E312)))</f>
        <v>0.0360438741792791</v>
      </c>
      <c r="J312" s="21" t="n">
        <f aca="false">IF(B312="","",MAX(ABS($A312/$B$6-F312),ABS(($A312-1)/$B$6-F312)))</f>
        <v>0.00470504775323838</v>
      </c>
      <c r="K312" s="21" t="n">
        <f aca="false">IF(B312="","",MAX(ABS($A312/$B$6-G312),ABS(($A312-1)/$B$6-G312)))</f>
        <v>0.037122975285954</v>
      </c>
    </row>
    <row r="313" customFormat="false" ht="15" hidden="false" customHeight="false" outlineLevel="0" collapsed="false">
      <c r="A313" s="11" t="n">
        <v>277</v>
      </c>
      <c r="B313" s="9" t="n">
        <f aca="false">IF(A313&gt;$B$6,"",SMALL(BTC_Data!$C$3:$C$1002,A313))</f>
        <v>-0.000564705158343837</v>
      </c>
      <c r="C313" s="21" t="n">
        <f aca="false">IF(B313="","",A313/$B$6)</f>
        <v>0.277</v>
      </c>
      <c r="D313" s="21" t="n">
        <f aca="false">IF(B313="","",NORMDIST(B313,$B$15,$B$16,TRUE()))</f>
        <v>0.332032928377845</v>
      </c>
      <c r="E313" s="21" t="n">
        <f aca="false">IF(B313="","",IF(B313&gt;=$B$15,1-TDIST((B313-$B$15)/$B$18,$B$17,1),TDIST(($B$15-B313)/$B$18,$B$17,1)))</f>
        <v>0.311578101712753</v>
      </c>
      <c r="F313" s="21" t="n">
        <f aca="false">IF(B313="","",IF(B313&lt;$B$19,0.5*EXP((B313-$B$19)/$B$20),1-0.5*EXP(-(B313-$B$19)/$B$20)))</f>
        <v>0.271811271231829</v>
      </c>
      <c r="G313" s="21" t="n">
        <f aca="false">IF(B313="","",1/(1+EXP(-(B313-$B$15)/$B$21)))</f>
        <v>0.312653083257509</v>
      </c>
      <c r="H313" s="21" t="n">
        <f aca="false">IF(B313="","",MAX(ABS($A313/$B$6-D313),ABS(($A313-1)/$B$6-D313)))</f>
        <v>0.0560329283778446</v>
      </c>
      <c r="I313" s="21" t="n">
        <f aca="false">IF(B313="","",MAX(ABS($A313/$B$6-E313),ABS(($A313-1)/$B$6-E313)))</f>
        <v>0.0355781017127527</v>
      </c>
      <c r="J313" s="21" t="n">
        <f aca="false">IF(B313="","",MAX(ABS($A313/$B$6-F313),ABS(($A313-1)/$B$6-F313)))</f>
        <v>0.00518872876817061</v>
      </c>
      <c r="K313" s="21" t="n">
        <f aca="false">IF(B313="","",MAX(ABS($A313/$B$6-G313),ABS(($A313-1)/$B$6-G313)))</f>
        <v>0.0366530832575092</v>
      </c>
    </row>
    <row r="314" customFormat="false" ht="15" hidden="false" customHeight="false" outlineLevel="0" collapsed="false">
      <c r="A314" s="11" t="n">
        <v>278</v>
      </c>
      <c r="B314" s="9" t="n">
        <f aca="false">IF(A314&gt;$B$6,"",SMALL(BTC_Data!$C$3:$C$1002,A314))</f>
        <v>-0.00055278834704886</v>
      </c>
      <c r="C314" s="21" t="n">
        <f aca="false">IF(B314="","",A314/$B$6)</f>
        <v>0.278</v>
      </c>
      <c r="D314" s="21" t="n">
        <f aca="false">IF(B314="","",NORMDIST(B314,$B$15,$B$16,TRUE()))</f>
        <v>0.335437600084916</v>
      </c>
      <c r="E314" s="21" t="n">
        <f aca="false">IF(B314="","",IF(B314&gt;=$B$15,1-TDIST((B314-$B$15)/$B$18,$B$17,1),TDIST(($B$15-B314)/$B$18,$B$17,1)))</f>
        <v>0.31526606698077</v>
      </c>
      <c r="F314" s="21" t="n">
        <f aca="false">IF(B314="","",IF(B314&lt;$B$19,0.5*EXP((B314-$B$19)/$B$20),1-0.5*EXP(-(B314-$B$19)/$B$20)))</f>
        <v>0.275389631328509</v>
      </c>
      <c r="G314" s="21" t="n">
        <f aca="false">IF(B314="","",1/(1+EXP(-(B314-$B$15)/$B$21)))</f>
        <v>0.316312806642117</v>
      </c>
      <c r="H314" s="21" t="n">
        <f aca="false">IF(B314="","",MAX(ABS($A314/$B$6-D314),ABS(($A314-1)/$B$6-D314)))</f>
        <v>0.0584376000849163</v>
      </c>
      <c r="I314" s="21" t="n">
        <f aca="false">IF(B314="","",MAX(ABS($A314/$B$6-E314),ABS(($A314-1)/$B$6-E314)))</f>
        <v>0.0382660669807697</v>
      </c>
      <c r="J314" s="21" t="n">
        <f aca="false">IF(B314="","",MAX(ABS($A314/$B$6-F314),ABS(($A314-1)/$B$6-F314)))</f>
        <v>0.00261036867149117</v>
      </c>
      <c r="K314" s="21" t="n">
        <f aca="false">IF(B314="","",MAX(ABS($A314/$B$6-G314),ABS(($A314-1)/$B$6-G314)))</f>
        <v>0.0393128066421174</v>
      </c>
    </row>
    <row r="315" customFormat="false" ht="15" hidden="false" customHeight="false" outlineLevel="0" collapsed="false">
      <c r="A315" s="11" t="n">
        <v>279</v>
      </c>
      <c r="B315" s="9" t="n">
        <f aca="false">IF(A315&gt;$B$6,"",SMALL(BTC_Data!$C$3:$C$1002,A315))</f>
        <v>-0.000552041537528636</v>
      </c>
      <c r="C315" s="21" t="n">
        <f aca="false">IF(B315="","",A315/$B$6)</f>
        <v>0.279</v>
      </c>
      <c r="D315" s="21" t="n">
        <f aca="false">IF(B315="","",NORMDIST(B315,$B$15,$B$16,TRUE()))</f>
        <v>0.335651420328764</v>
      </c>
      <c r="E315" s="21" t="n">
        <f aca="false">IF(B315="","",IF(B315&gt;=$B$15,1-TDIST((B315-$B$15)/$B$18,$B$17,1),TDIST(($B$15-B315)/$B$18,$B$17,1)))</f>
        <v>0.315497946409857</v>
      </c>
      <c r="F315" s="21" t="n">
        <f aca="false">IF(B315="","",IF(B315&lt;$B$19,0.5*EXP((B315-$B$19)/$B$20),1-0.5*EXP(-(B315-$B$19)/$B$20)))</f>
        <v>0.275615444248375</v>
      </c>
      <c r="G315" s="21" t="n">
        <f aca="false">IF(B315="","",1/(1+EXP(-(B315-$B$15)/$B$21)))</f>
        <v>0.316542921904331</v>
      </c>
      <c r="H315" s="21" t="n">
        <f aca="false">IF(B315="","",MAX(ABS($A315/$B$6-D315),ABS(($A315-1)/$B$6-D315)))</f>
        <v>0.0576514203287639</v>
      </c>
      <c r="I315" s="21" t="n">
        <f aca="false">IF(B315="","",MAX(ABS($A315/$B$6-E315),ABS(($A315-1)/$B$6-E315)))</f>
        <v>0.0374979464098574</v>
      </c>
      <c r="J315" s="21" t="n">
        <f aca="false">IF(B315="","",MAX(ABS($A315/$B$6-F315),ABS(($A315-1)/$B$6-F315)))</f>
        <v>0.00338455575162494</v>
      </c>
      <c r="K315" s="21" t="n">
        <f aca="false">IF(B315="","",MAX(ABS($A315/$B$6-G315),ABS(($A315-1)/$B$6-G315)))</f>
        <v>0.0385429219043307</v>
      </c>
    </row>
    <row r="316" customFormat="false" ht="15" hidden="false" customHeight="false" outlineLevel="0" collapsed="false">
      <c r="A316" s="11" t="n">
        <v>280</v>
      </c>
      <c r="B316" s="9" t="n">
        <f aca="false">IF(A316&gt;$B$6,"",SMALL(BTC_Data!$C$3:$C$1002,A316))</f>
        <v>-0.000547122353045548</v>
      </c>
      <c r="C316" s="21" t="n">
        <f aca="false">IF(B316="","",A316/$B$6)</f>
        <v>0.28</v>
      </c>
      <c r="D316" s="21" t="n">
        <f aca="false">IF(B316="","",NORMDIST(B316,$B$15,$B$16,TRUE()))</f>
        <v>0.337061167207118</v>
      </c>
      <c r="E316" s="21" t="n">
        <f aca="false">IF(B316="","",IF(B316&gt;=$B$15,1-TDIST((B316-$B$15)/$B$18,$B$17,1),TDIST(($B$15-B316)/$B$18,$B$17,1)))</f>
        <v>0.317027544655464</v>
      </c>
      <c r="F316" s="21" t="n">
        <f aca="false">IF(B316="","",IF(B316&lt;$B$19,0.5*EXP((B316-$B$19)/$B$20),1-0.5*EXP(-(B316-$B$19)/$B$20)))</f>
        <v>0.277107492637898</v>
      </c>
      <c r="G316" s="21" t="n">
        <f aca="false">IF(B316="","",1/(1+EXP(-(B316-$B$15)/$B$21)))</f>
        <v>0.31806091707607</v>
      </c>
      <c r="H316" s="21" t="n">
        <f aca="false">IF(B316="","",MAX(ABS($A316/$B$6-D316),ABS(($A316-1)/$B$6-D316)))</f>
        <v>0.0580611672071176</v>
      </c>
      <c r="I316" s="21" t="n">
        <f aca="false">IF(B316="","",MAX(ABS($A316/$B$6-E316),ABS(($A316-1)/$B$6-E316)))</f>
        <v>0.0380275446554638</v>
      </c>
      <c r="J316" s="21" t="n">
        <f aca="false">IF(B316="","",MAX(ABS($A316/$B$6-F316),ABS(($A316-1)/$B$6-F316)))</f>
        <v>0.00289250736210211</v>
      </c>
      <c r="K316" s="21" t="n">
        <f aca="false">IF(B316="","",MAX(ABS($A316/$B$6-G316),ABS(($A316-1)/$B$6-G316)))</f>
        <v>0.0390609170760696</v>
      </c>
    </row>
    <row r="317" customFormat="false" ht="15" hidden="false" customHeight="false" outlineLevel="0" collapsed="false">
      <c r="A317" s="11" t="n">
        <v>281</v>
      </c>
      <c r="B317" s="9" t="n">
        <f aca="false">IF(A317&gt;$B$6,"",SMALL(BTC_Data!$C$3:$C$1002,A317))</f>
        <v>-0.00054400194985238</v>
      </c>
      <c r="C317" s="21" t="n">
        <f aca="false">IF(B317="","",A317/$B$6)</f>
        <v>0.281</v>
      </c>
      <c r="D317" s="21" t="n">
        <f aca="false">IF(B317="","",NORMDIST(B317,$B$15,$B$16,TRUE()))</f>
        <v>0.337956606017117</v>
      </c>
      <c r="E317" s="21" t="n">
        <f aca="false">IF(B317="","",IF(B317&gt;=$B$15,1-TDIST((B317-$B$15)/$B$18,$B$17,1),TDIST(($B$15-B317)/$B$18,$B$17,1)))</f>
        <v>0.317999814496709</v>
      </c>
      <c r="F317" s="21" t="n">
        <f aca="false">IF(B317="","",IF(B317&lt;$B$19,0.5*EXP((B317-$B$19)/$B$20),1-0.5*EXP(-(B317-$B$19)/$B$20)))</f>
        <v>0.27805813294145</v>
      </c>
      <c r="G317" s="21" t="n">
        <f aca="false">IF(B317="","",1/(1+EXP(-(B317-$B$15)/$B$21)))</f>
        <v>0.319025842577267</v>
      </c>
      <c r="H317" s="21" t="n">
        <f aca="false">IF(B317="","",MAX(ABS($A317/$B$6-D317),ABS(($A317-1)/$B$6-D317)))</f>
        <v>0.0579566060171174</v>
      </c>
      <c r="I317" s="21" t="n">
        <f aca="false">IF(B317="","",MAX(ABS($A317/$B$6-E317),ABS(($A317-1)/$B$6-E317)))</f>
        <v>0.0379998144967089</v>
      </c>
      <c r="J317" s="21" t="n">
        <f aca="false">IF(B317="","",MAX(ABS($A317/$B$6-F317),ABS(($A317-1)/$B$6-F317)))</f>
        <v>0.00294186705855054</v>
      </c>
      <c r="K317" s="21" t="n">
        <f aca="false">IF(B317="","",MAX(ABS($A317/$B$6-G317),ABS(($A317-1)/$B$6-G317)))</f>
        <v>0.0390258425772671</v>
      </c>
    </row>
    <row r="318" customFormat="false" ht="15" hidden="false" customHeight="false" outlineLevel="0" collapsed="false">
      <c r="A318" s="11" t="n">
        <v>282</v>
      </c>
      <c r="B318" s="9" t="n">
        <f aca="false">IF(A318&gt;$B$6,"",SMALL(BTC_Data!$C$3:$C$1002,A318))</f>
        <v>-0.000538623222938517</v>
      </c>
      <c r="C318" s="21" t="n">
        <f aca="false">IF(B318="","",A318/$B$6)</f>
        <v>0.282</v>
      </c>
      <c r="D318" s="21" t="n">
        <f aca="false">IF(B318="","",NORMDIST(B318,$B$15,$B$16,TRUE()))</f>
        <v>0.339502251289973</v>
      </c>
      <c r="E318" s="21" t="n">
        <f aca="false">IF(B318="","",IF(B318&gt;=$B$15,1-TDIST((B318-$B$15)/$B$18,$B$17,1),TDIST(($B$15-B318)/$B$18,$B$17,1)))</f>
        <v>0.319679357904893</v>
      </c>
      <c r="F318" s="21" t="n">
        <f aca="false">IF(B318="","",IF(B318&lt;$B$19,0.5*EXP((B318-$B$19)/$B$20),1-0.5*EXP(-(B318-$B$19)/$B$20)))</f>
        <v>0.279704440487251</v>
      </c>
      <c r="G318" s="21" t="n">
        <f aca="false">IF(B318="","",1/(1+EXP(-(B318-$B$15)/$B$21)))</f>
        <v>0.320692755925146</v>
      </c>
      <c r="H318" s="21" t="n">
        <f aca="false">IF(B318="","",MAX(ABS($A318/$B$6-D318),ABS(($A318-1)/$B$6-D318)))</f>
        <v>0.0585022512899734</v>
      </c>
      <c r="I318" s="21" t="n">
        <f aca="false">IF(B318="","",MAX(ABS($A318/$B$6-E318),ABS(($A318-1)/$B$6-E318)))</f>
        <v>0.0386793579048929</v>
      </c>
      <c r="J318" s="21" t="n">
        <f aca="false">IF(B318="","",MAX(ABS($A318/$B$6-F318),ABS(($A318-1)/$B$6-F318)))</f>
        <v>0.00229555951274868</v>
      </c>
      <c r="K318" s="21" t="n">
        <f aca="false">IF(B318="","",MAX(ABS($A318/$B$6-G318),ABS(($A318-1)/$B$6-G318)))</f>
        <v>0.0396927559251462</v>
      </c>
    </row>
    <row r="319" customFormat="false" ht="15" hidden="false" customHeight="false" outlineLevel="0" collapsed="false">
      <c r="A319" s="11" t="n">
        <v>283</v>
      </c>
      <c r="B319" s="9" t="n">
        <f aca="false">IF(A319&gt;$B$6,"",SMALL(BTC_Data!$C$3:$C$1002,A319))</f>
        <v>-0.000528214982514208</v>
      </c>
      <c r="C319" s="21" t="n">
        <f aca="false">IF(B319="","",A319/$B$6)</f>
        <v>0.283</v>
      </c>
      <c r="D319" s="21" t="n">
        <f aca="false">IF(B319="","",NORMDIST(B319,$B$15,$B$16,TRUE()))</f>
        <v>0.342500850544294</v>
      </c>
      <c r="E319" s="21" t="n">
        <f aca="false">IF(B319="","",IF(B319&gt;=$B$15,1-TDIST((B319-$B$15)/$B$18,$B$17,1),TDIST(($B$15-B319)/$B$18,$B$17,1)))</f>
        <v>0.322942289163087</v>
      </c>
      <c r="F319" s="21" t="n">
        <f aca="false">IF(B319="","",IF(B319&lt;$B$19,0.5*EXP((B319-$B$19)/$B$20),1-0.5*EXP(-(B319-$B$19)/$B$20)))</f>
        <v>0.282917900738999</v>
      </c>
      <c r="G319" s="21" t="n">
        <f aca="false">IF(B319="","",1/(1+EXP(-(B319-$B$15)/$B$21)))</f>
        <v>0.323931356618523</v>
      </c>
      <c r="H319" s="21" t="n">
        <f aca="false">IF(B319="","",MAX(ABS($A319/$B$6-D319),ABS(($A319-1)/$B$6-D319)))</f>
        <v>0.0605008505442939</v>
      </c>
      <c r="I319" s="21" t="n">
        <f aca="false">IF(B319="","",MAX(ABS($A319/$B$6-E319),ABS(($A319-1)/$B$6-E319)))</f>
        <v>0.0409422891630875</v>
      </c>
      <c r="J319" s="21" t="n">
        <f aca="false">IF(B319="","",MAX(ABS($A319/$B$6-F319),ABS(($A319-1)/$B$6-F319)))</f>
        <v>0.000917900738998612</v>
      </c>
      <c r="K319" s="21" t="n">
        <f aca="false">IF(B319="","",MAX(ABS($A319/$B$6-G319),ABS(($A319-1)/$B$6-G319)))</f>
        <v>0.0419313566185233</v>
      </c>
    </row>
    <row r="320" customFormat="false" ht="15" hidden="false" customHeight="false" outlineLevel="0" collapsed="false">
      <c r="A320" s="11" t="n">
        <v>284</v>
      </c>
      <c r="B320" s="9" t="n">
        <f aca="false">IF(A320&gt;$B$6,"",SMALL(BTC_Data!$C$3:$C$1002,A320))</f>
        <v>-0.000528043729244088</v>
      </c>
      <c r="C320" s="21" t="n">
        <f aca="false">IF(B320="","",A320/$B$6)</f>
        <v>0.284</v>
      </c>
      <c r="D320" s="21" t="n">
        <f aca="false">IF(B320="","",NORMDIST(B320,$B$15,$B$16,TRUE()))</f>
        <v>0.342550272112796</v>
      </c>
      <c r="E320" s="21" t="n">
        <f aca="false">IF(B320="","",IF(B320&gt;=$B$15,1-TDIST((B320-$B$15)/$B$18,$B$17,1),TDIST(($B$15-B320)/$B$18,$B$17,1)))</f>
        <v>0.322996117348499</v>
      </c>
      <c r="F320" s="21" t="n">
        <f aca="false">IF(B320="","",IF(B320&lt;$B$19,0.5*EXP((B320-$B$19)/$B$20),1-0.5*EXP(-(B320-$B$19)/$B$20)))</f>
        <v>0.282971081368761</v>
      </c>
      <c r="G320" s="21" t="n">
        <f aca="false">IF(B320="","",1/(1+EXP(-(B320-$B$15)/$B$21)))</f>
        <v>0.323984785715048</v>
      </c>
      <c r="H320" s="21" t="n">
        <f aca="false">IF(B320="","",MAX(ABS($A320/$B$6-D320),ABS(($A320-1)/$B$6-D320)))</f>
        <v>0.0595502721127963</v>
      </c>
      <c r="I320" s="21" t="n">
        <f aca="false">IF(B320="","",MAX(ABS($A320/$B$6-E320),ABS(($A320-1)/$B$6-E320)))</f>
        <v>0.0399961173484989</v>
      </c>
      <c r="J320" s="21" t="n">
        <f aca="false">IF(B320="","",MAX(ABS($A320/$B$6-F320),ABS(($A320-1)/$B$6-F320)))</f>
        <v>0.00102891863123866</v>
      </c>
      <c r="K320" s="21" t="n">
        <f aca="false">IF(B320="","",MAX(ABS($A320/$B$6-G320),ABS(($A320-1)/$B$6-G320)))</f>
        <v>0.0409847857150482</v>
      </c>
    </row>
    <row r="321" customFormat="false" ht="15" hidden="false" customHeight="false" outlineLevel="0" collapsed="false">
      <c r="A321" s="11" t="n">
        <v>285</v>
      </c>
      <c r="B321" s="9" t="n">
        <f aca="false">IF(A321&gt;$B$6,"",SMALL(BTC_Data!$C$3:$C$1002,A321))</f>
        <v>-0.0005279188752636</v>
      </c>
      <c r="C321" s="21" t="n">
        <f aca="false">IF(B321="","",A321/$B$6)</f>
        <v>0.285</v>
      </c>
      <c r="D321" s="21" t="n">
        <f aca="false">IF(B321="","",NORMDIST(B321,$B$15,$B$16,TRUE()))</f>
        <v>0.342586305121206</v>
      </c>
      <c r="E321" s="21" t="n">
        <f aca="false">IF(B321="","",IF(B321&gt;=$B$15,1-TDIST((B321-$B$15)/$B$18,$B$17,1),TDIST(($B$15-B321)/$B$18,$B$17,1)))</f>
        <v>0.323035364214462</v>
      </c>
      <c r="F321" s="21" t="n">
        <f aca="false">IF(B321="","",IF(B321&lt;$B$19,0.5*EXP((B321-$B$19)/$B$20),1-0.5*EXP(-(B321-$B$19)/$B$20)))</f>
        <v>0.283009859561474</v>
      </c>
      <c r="G321" s="21" t="n">
        <f aca="false">IF(B321="","",1/(1+EXP(-(B321-$B$15)/$B$21)))</f>
        <v>0.324023741646735</v>
      </c>
      <c r="H321" s="21" t="n">
        <f aca="false">IF(B321="","",MAX(ABS($A321/$B$6-D321),ABS(($A321-1)/$B$6-D321)))</f>
        <v>0.0585863051212061</v>
      </c>
      <c r="I321" s="21" t="n">
        <f aca="false">IF(B321="","",MAX(ABS($A321/$B$6-E321),ABS(($A321-1)/$B$6-E321)))</f>
        <v>0.0390353642144625</v>
      </c>
      <c r="J321" s="21" t="n">
        <f aca="false">IF(B321="","",MAX(ABS($A321/$B$6-F321),ABS(($A321-1)/$B$6-F321)))</f>
        <v>0.00199014043852602</v>
      </c>
      <c r="K321" s="21" t="n">
        <f aca="false">IF(B321="","",MAX(ABS($A321/$B$6-G321),ABS(($A321-1)/$B$6-G321)))</f>
        <v>0.0400237416467349</v>
      </c>
    </row>
    <row r="322" customFormat="false" ht="15" hidden="false" customHeight="false" outlineLevel="0" collapsed="false">
      <c r="A322" s="11" t="n">
        <v>286</v>
      </c>
      <c r="B322" s="9" t="n">
        <f aca="false">IF(A322&gt;$B$6,"",SMALL(BTC_Data!$C$3:$C$1002,A322))</f>
        <v>-0.000519880887574487</v>
      </c>
      <c r="C322" s="21" t="n">
        <f aca="false">IF(B322="","",A322/$B$6)</f>
        <v>0.286</v>
      </c>
      <c r="D322" s="21" t="n">
        <f aca="false">IF(B322="","",NORMDIST(B322,$B$15,$B$16,TRUE()))</f>
        <v>0.344909079858475</v>
      </c>
      <c r="E322" s="21" t="n">
        <f aca="false">IF(B322="","",IF(B322&gt;=$B$15,1-TDIST((B322-$B$15)/$B$18,$B$17,1),TDIST(($B$15-B322)/$B$18,$B$17,1)))</f>
        <v>0.325567111254535</v>
      </c>
      <c r="F322" s="21" t="n">
        <f aca="false">IF(B322="","",IF(B322&lt;$B$19,0.5*EXP((B322-$B$19)/$B$20),1-0.5*EXP(-(B322-$B$19)/$B$20)))</f>
        <v>0.28551758114086</v>
      </c>
      <c r="G322" s="21" t="n">
        <f aca="false">IF(B322="","",1/(1+EXP(-(B322-$B$15)/$B$21)))</f>
        <v>0.326536804616974</v>
      </c>
      <c r="H322" s="21" t="n">
        <f aca="false">IF(B322="","",MAX(ABS($A322/$B$6-D322),ABS(($A322-1)/$B$6-D322)))</f>
        <v>0.0599090798584747</v>
      </c>
      <c r="I322" s="21" t="n">
        <f aca="false">IF(B322="","",MAX(ABS($A322/$B$6-E322),ABS(($A322-1)/$B$6-E322)))</f>
        <v>0.0405671112545353</v>
      </c>
      <c r="J322" s="21" t="n">
        <f aca="false">IF(B322="","",MAX(ABS($A322/$B$6-F322),ABS(($A322-1)/$B$6-F322)))</f>
        <v>0.000517581140859591</v>
      </c>
      <c r="K322" s="21" t="n">
        <f aca="false">IF(B322="","",MAX(ABS($A322/$B$6-G322),ABS(($A322-1)/$B$6-G322)))</f>
        <v>0.0415368046169742</v>
      </c>
    </row>
    <row r="323" customFormat="false" ht="15" hidden="false" customHeight="false" outlineLevel="0" collapsed="false">
      <c r="A323" s="11" t="n">
        <v>287</v>
      </c>
      <c r="B323" s="9" t="n">
        <f aca="false">IF(A323&gt;$B$6,"",SMALL(BTC_Data!$C$3:$C$1002,A323))</f>
        <v>-0.000518958654947777</v>
      </c>
      <c r="C323" s="21" t="n">
        <f aca="false">IF(B323="","",A323/$B$6)</f>
        <v>0.287</v>
      </c>
      <c r="D323" s="21" t="n">
        <f aca="false">IF(B323="","",NORMDIST(B323,$B$15,$B$16,TRUE()))</f>
        <v>0.34517595790552</v>
      </c>
      <c r="E323" s="21" t="n">
        <f aca="false">IF(B323="","",IF(B323&gt;=$B$15,1-TDIST((B323-$B$15)/$B$18,$B$17,1),TDIST(($B$15-B323)/$B$18,$B$17,1)))</f>
        <v>0.325858225192905</v>
      </c>
      <c r="F323" s="21" t="n">
        <f aca="false">IF(B323="","",IF(B323&lt;$B$19,0.5*EXP((B323-$B$19)/$B$20),1-0.5*EXP(-(B323-$B$19)/$B$20)))</f>
        <v>0.285806720030132</v>
      </c>
      <c r="G323" s="21" t="n">
        <f aca="false">IF(B323="","",1/(1+EXP(-(B323-$B$15)/$B$21)))</f>
        <v>0.326825780719254</v>
      </c>
      <c r="H323" s="21" t="n">
        <f aca="false">IF(B323="","",MAX(ABS($A323/$B$6-D323),ABS(($A323-1)/$B$6-D323)))</f>
        <v>0.0591759579055197</v>
      </c>
      <c r="I323" s="21" t="n">
        <f aca="false">IF(B323="","",MAX(ABS($A323/$B$6-E323),ABS(($A323-1)/$B$6-E323)))</f>
        <v>0.0398582251929054</v>
      </c>
      <c r="J323" s="21" t="n">
        <f aca="false">IF(B323="","",MAX(ABS($A323/$B$6-F323),ABS(($A323-1)/$B$6-F323)))</f>
        <v>0.00119327996986823</v>
      </c>
      <c r="K323" s="21" t="n">
        <f aca="false">IF(B323="","",MAX(ABS($A323/$B$6-G323),ABS(($A323-1)/$B$6-G323)))</f>
        <v>0.040825780719254</v>
      </c>
    </row>
    <row r="324" customFormat="false" ht="15" hidden="false" customHeight="false" outlineLevel="0" collapsed="false">
      <c r="A324" s="11" t="n">
        <v>288</v>
      </c>
      <c r="B324" s="9" t="n">
        <f aca="false">IF(A324&gt;$B$6,"",SMALL(BTC_Data!$C$3:$C$1002,A324))</f>
        <v>-0.000517887945973183</v>
      </c>
      <c r="C324" s="21" t="n">
        <f aca="false">IF(B324="","",A324/$B$6)</f>
        <v>0.288</v>
      </c>
      <c r="D324" s="21" t="n">
        <f aca="false">IF(B324="","",NORMDIST(B324,$B$15,$B$16,TRUE()))</f>
        <v>0.345485899028578</v>
      </c>
      <c r="E324" s="21" t="n">
        <f aca="false">IF(B324="","",IF(B324&gt;=$B$15,1-TDIST((B324-$B$15)/$B$18,$B$17,1),TDIST(($B$15-B324)/$B$18,$B$17,1)))</f>
        <v>0.326196370934986</v>
      </c>
      <c r="F324" s="21" t="n">
        <f aca="false">IF(B324="","",IF(B324&lt;$B$19,0.5*EXP((B324-$B$19)/$B$20),1-0.5*EXP(-(B324-$B$19)/$B$20)))</f>
        <v>0.286142776639131</v>
      </c>
      <c r="G324" s="21" t="n">
        <f aca="false">IF(B324="","",1/(1+EXP(-(B324-$B$15)/$B$21)))</f>
        <v>0.327161445975881</v>
      </c>
      <c r="H324" s="21" t="n">
        <f aca="false">IF(B324="","",MAX(ABS($A324/$B$6-D324),ABS(($A324-1)/$B$6-D324)))</f>
        <v>0.0584858990285779</v>
      </c>
      <c r="I324" s="21" t="n">
        <f aca="false">IF(B324="","",MAX(ABS($A324/$B$6-E324),ABS(($A324-1)/$B$6-E324)))</f>
        <v>0.0391963709349856</v>
      </c>
      <c r="J324" s="21" t="n">
        <f aca="false">IF(B324="","",MAX(ABS($A324/$B$6-F324),ABS(($A324-1)/$B$6-F324)))</f>
        <v>0.00185722336086852</v>
      </c>
      <c r="K324" s="21" t="n">
        <f aca="false">IF(B324="","",MAX(ABS($A324/$B$6-G324),ABS(($A324-1)/$B$6-G324)))</f>
        <v>0.0401614459758813</v>
      </c>
    </row>
    <row r="325" customFormat="false" ht="15" hidden="false" customHeight="false" outlineLevel="0" collapsed="false">
      <c r="A325" s="11" t="n">
        <v>289</v>
      </c>
      <c r="B325" s="9" t="n">
        <f aca="false">IF(A325&gt;$B$6,"",SMALL(BTC_Data!$C$3:$C$1002,A325))</f>
        <v>-0.000517400731332329</v>
      </c>
      <c r="C325" s="21" t="n">
        <f aca="false">IF(B325="","",A325/$B$6)</f>
        <v>0.289</v>
      </c>
      <c r="D325" s="21" t="n">
        <f aca="false">IF(B325="","",NORMDIST(B325,$B$15,$B$16,TRUE()))</f>
        <v>0.345626968732028</v>
      </c>
      <c r="E325" s="21" t="n">
        <f aca="false">IF(B325="","",IF(B325&gt;=$B$15,1-TDIST((B325-$B$15)/$B$18,$B$17,1),TDIST(($B$15-B325)/$B$18,$B$17,1)))</f>
        <v>0.326350298602062</v>
      </c>
      <c r="F325" s="21" t="n">
        <f aca="false">IF(B325="","",IF(B325&lt;$B$19,0.5*EXP((B325-$B$19)/$B$20),1-0.5*EXP(-(B325-$B$19)/$B$20)))</f>
        <v>0.286295826380131</v>
      </c>
      <c r="G325" s="21" t="n">
        <f aca="false">IF(B325="","",1/(1+EXP(-(B325-$B$15)/$B$21)))</f>
        <v>0.327314245472415</v>
      </c>
      <c r="H325" s="21" t="n">
        <f aca="false">IF(B325="","",MAX(ABS($A325/$B$6-D325),ABS(($A325-1)/$B$6-D325)))</f>
        <v>0.0576269687320277</v>
      </c>
      <c r="I325" s="21" t="n">
        <f aca="false">IF(B325="","",MAX(ABS($A325/$B$6-E325),ABS(($A325-1)/$B$6-E325)))</f>
        <v>0.0383502986020616</v>
      </c>
      <c r="J325" s="21" t="n">
        <f aca="false">IF(B325="","",MAX(ABS($A325/$B$6-F325),ABS(($A325-1)/$B$6-F325)))</f>
        <v>0.00270417361986935</v>
      </c>
      <c r="K325" s="21" t="n">
        <f aca="false">IF(B325="","",MAX(ABS($A325/$B$6-G325),ABS(($A325-1)/$B$6-G325)))</f>
        <v>0.0393142454724149</v>
      </c>
    </row>
    <row r="326" customFormat="false" ht="15" hidden="false" customHeight="false" outlineLevel="0" collapsed="false">
      <c r="A326" s="11" t="n">
        <v>290</v>
      </c>
      <c r="B326" s="9" t="n">
        <f aca="false">IF(A326&gt;$B$6,"",SMALL(BTC_Data!$C$3:$C$1002,A326))</f>
        <v>-0.000511457787571557</v>
      </c>
      <c r="C326" s="21" t="n">
        <f aca="false">IF(B326="","",A326/$B$6)</f>
        <v>0.29</v>
      </c>
      <c r="D326" s="21" t="n">
        <f aca="false">IF(B326="","",NORMDIST(B326,$B$15,$B$16,TRUE()))</f>
        <v>0.347349428442438</v>
      </c>
      <c r="E326" s="21" t="n">
        <f aca="false">IF(B326="","",IF(B326&gt;=$B$15,1-TDIST((B326-$B$15)/$B$18,$B$17,1),TDIST(($B$15-B326)/$B$18,$B$17,1)))</f>
        <v>0.328230790149988</v>
      </c>
      <c r="F326" s="21" t="n">
        <f aca="false">IF(B326="","",IF(B326&lt;$B$19,0.5*EXP((B326-$B$19)/$B$20),1-0.5*EXP(-(B326-$B$19)/$B$20)))</f>
        <v>0.288169297981939</v>
      </c>
      <c r="G326" s="21" t="n">
        <f aca="false">IF(B326="","",1/(1+EXP(-(B326-$B$15)/$B$21)))</f>
        <v>0.329181003666957</v>
      </c>
      <c r="H326" s="21" t="n">
        <f aca="false">IF(B326="","",MAX(ABS($A326/$B$6-D326),ABS(($A326-1)/$B$6-D326)))</f>
        <v>0.0583494284424376</v>
      </c>
      <c r="I326" s="21" t="n">
        <f aca="false">IF(B326="","",MAX(ABS($A326/$B$6-E326),ABS(($A326-1)/$B$6-E326)))</f>
        <v>0.0392307901499875</v>
      </c>
      <c r="J326" s="21" t="n">
        <f aca="false">IF(B326="","",MAX(ABS($A326/$B$6-F326),ABS(($A326-1)/$B$6-F326)))</f>
        <v>0.00183070201806135</v>
      </c>
      <c r="K326" s="21" t="n">
        <f aca="false">IF(B326="","",MAX(ABS($A326/$B$6-G326),ABS(($A326-1)/$B$6-G326)))</f>
        <v>0.0401810036669566</v>
      </c>
    </row>
    <row r="327" customFormat="false" ht="15" hidden="false" customHeight="false" outlineLevel="0" collapsed="false">
      <c r="A327" s="11" t="n">
        <v>291</v>
      </c>
      <c r="B327" s="9" t="n">
        <f aca="false">IF(A327&gt;$B$6,"",SMALL(BTC_Data!$C$3:$C$1002,A327))</f>
        <v>-0.000509368858554238</v>
      </c>
      <c r="C327" s="21" t="n">
        <f aca="false">IF(B327="","",A327/$B$6)</f>
        <v>0.291</v>
      </c>
      <c r="D327" s="21" t="n">
        <f aca="false">IF(B327="","",NORMDIST(B327,$B$15,$B$16,TRUE()))</f>
        <v>0.347955620290853</v>
      </c>
      <c r="E327" s="21" t="n">
        <f aca="false">IF(B327="","",IF(B327&gt;=$B$15,1-TDIST((B327-$B$15)/$B$18,$B$17,1),TDIST(($B$15-B327)/$B$18,$B$17,1)))</f>
        <v>0.328893052141493</v>
      </c>
      <c r="F327" s="21" t="n">
        <f aca="false">IF(B327="","",IF(B327&lt;$B$19,0.5*EXP((B327-$B$19)/$B$20),1-0.5*EXP(-(B327-$B$19)/$B$20)))</f>
        <v>0.288830726155165</v>
      </c>
      <c r="G327" s="21" t="n">
        <f aca="false">IF(B327="","",1/(1+EXP(-(B327-$B$15)/$B$21)))</f>
        <v>0.329838450771697</v>
      </c>
      <c r="H327" s="21" t="n">
        <f aca="false">IF(B327="","",MAX(ABS($A327/$B$6-D327),ABS(($A327-1)/$B$6-D327)))</f>
        <v>0.0579556202908532</v>
      </c>
      <c r="I327" s="21" t="n">
        <f aca="false">IF(B327="","",MAX(ABS($A327/$B$6-E327),ABS(($A327-1)/$B$6-E327)))</f>
        <v>0.0388930521414935</v>
      </c>
      <c r="J327" s="21" t="n">
        <f aca="false">IF(B327="","",MAX(ABS($A327/$B$6-F327),ABS(($A327-1)/$B$6-F327)))</f>
        <v>0.00216927384483512</v>
      </c>
      <c r="K327" s="21" t="n">
        <f aca="false">IF(B327="","",MAX(ABS($A327/$B$6-G327),ABS(($A327-1)/$B$6-G327)))</f>
        <v>0.0398384507716967</v>
      </c>
    </row>
    <row r="328" customFormat="false" ht="15" hidden="false" customHeight="false" outlineLevel="0" collapsed="false">
      <c r="A328" s="11" t="n">
        <v>292</v>
      </c>
      <c r="B328" s="9" t="n">
        <f aca="false">IF(A328&gt;$B$6,"",SMALL(BTC_Data!$C$3:$C$1002,A328))</f>
        <v>-0.000507358689627591</v>
      </c>
      <c r="C328" s="21" t="n">
        <f aca="false">IF(B328="","",A328/$B$6)</f>
        <v>0.292</v>
      </c>
      <c r="D328" s="21" t="n">
        <f aca="false">IF(B328="","",NORMDIST(B328,$B$15,$B$16,TRUE()))</f>
        <v>0.348539323677114</v>
      </c>
      <c r="E328" s="21" t="n">
        <f aca="false">IF(B328="","",IF(B328&gt;=$B$15,1-TDIST((B328-$B$15)/$B$18,$B$17,1),TDIST(($B$15-B328)/$B$18,$B$17,1)))</f>
        <v>0.329530967322006</v>
      </c>
      <c r="F328" s="21" t="n">
        <f aca="false">IF(B328="","",IF(B328&lt;$B$19,0.5*EXP((B328-$B$19)/$B$20),1-0.5*EXP(-(B328-$B$19)/$B$20)))</f>
        <v>0.289468649460117</v>
      </c>
      <c r="G328" s="21" t="n">
        <f aca="false">IF(B328="","",1/(1+EXP(-(B328-$B$15)/$B$21)))</f>
        <v>0.330471738742392</v>
      </c>
      <c r="H328" s="21" t="n">
        <f aca="false">IF(B328="","",MAX(ABS($A328/$B$6-D328),ABS(($A328-1)/$B$6-D328)))</f>
        <v>0.0575393236771141</v>
      </c>
      <c r="I328" s="21" t="n">
        <f aca="false">IF(B328="","",MAX(ABS($A328/$B$6-E328),ABS(($A328-1)/$B$6-E328)))</f>
        <v>0.0385309673220065</v>
      </c>
      <c r="J328" s="21" t="n">
        <f aca="false">IF(B328="","",MAX(ABS($A328/$B$6-F328),ABS(($A328-1)/$B$6-F328)))</f>
        <v>0.00253135053988268</v>
      </c>
      <c r="K328" s="21" t="n">
        <f aca="false">IF(B328="","",MAX(ABS($A328/$B$6-G328),ABS(($A328-1)/$B$6-G328)))</f>
        <v>0.039471738742392</v>
      </c>
    </row>
    <row r="329" customFormat="false" ht="15" hidden="false" customHeight="false" outlineLevel="0" collapsed="false">
      <c r="A329" s="11" t="n">
        <v>293</v>
      </c>
      <c r="B329" s="9" t="n">
        <f aca="false">IF(A329&gt;$B$6,"",SMALL(BTC_Data!$C$3:$C$1002,A329))</f>
        <v>-0.00050678237980617</v>
      </c>
      <c r="C329" s="21" t="n">
        <f aca="false">IF(B329="","",A329/$B$6)</f>
        <v>0.293</v>
      </c>
      <c r="D329" s="21" t="n">
        <f aca="false">IF(B329="","",NORMDIST(B329,$B$15,$B$16,TRUE()))</f>
        <v>0.34870673604865</v>
      </c>
      <c r="E329" s="21" t="n">
        <f aca="false">IF(B329="","",IF(B329&gt;=$B$15,1-TDIST((B329-$B$15)/$B$18,$B$17,1),TDIST(($B$15-B329)/$B$18,$B$17,1)))</f>
        <v>0.329713968247396</v>
      </c>
      <c r="F329" s="21" t="n">
        <f aca="false">IF(B329="","",IF(B329&lt;$B$19,0.5*EXP((B329-$B$19)/$B$20),1-0.5*EXP(-(B329-$B$19)/$B$20)))</f>
        <v>0.289651800029354</v>
      </c>
      <c r="G329" s="21" t="n">
        <f aca="false">IF(B329="","",1/(1+EXP(-(B329-$B$15)/$B$21)))</f>
        <v>0.330653414176152</v>
      </c>
      <c r="H329" s="21" t="n">
        <f aca="false">IF(B329="","",MAX(ABS($A329/$B$6-D329),ABS(($A329-1)/$B$6-D329)))</f>
        <v>0.0567067360486505</v>
      </c>
      <c r="I329" s="21" t="n">
        <f aca="false">IF(B329="","",MAX(ABS($A329/$B$6-E329),ABS(($A329-1)/$B$6-E329)))</f>
        <v>0.0377139682473955</v>
      </c>
      <c r="J329" s="21" t="n">
        <f aca="false">IF(B329="","",MAX(ABS($A329/$B$6-F329),ABS(($A329-1)/$B$6-F329)))</f>
        <v>0.00334819997064567</v>
      </c>
      <c r="K329" s="21" t="n">
        <f aca="false">IF(B329="","",MAX(ABS($A329/$B$6-G329),ABS(($A329-1)/$B$6-G329)))</f>
        <v>0.0386534141761523</v>
      </c>
    </row>
    <row r="330" customFormat="false" ht="15" hidden="false" customHeight="false" outlineLevel="0" collapsed="false">
      <c r="A330" s="11" t="n">
        <v>294</v>
      </c>
      <c r="B330" s="9" t="n">
        <f aca="false">IF(A330&gt;$B$6,"",SMALL(BTC_Data!$C$3:$C$1002,A330))</f>
        <v>-0.000501344509786783</v>
      </c>
      <c r="C330" s="21" t="n">
        <f aca="false">IF(B330="","",A330/$B$6)</f>
        <v>0.294</v>
      </c>
      <c r="D330" s="21" t="n">
        <f aca="false">IF(B330="","",NORMDIST(B330,$B$15,$B$16,TRUE()))</f>
        <v>0.350287830804866</v>
      </c>
      <c r="E330" s="21" t="n">
        <f aca="false">IF(B330="","",IF(B330&gt;=$B$15,1-TDIST((B330-$B$15)/$B$18,$B$17,1),TDIST(($B$15-B330)/$B$18,$B$17,1)))</f>
        <v>0.331443161996339</v>
      </c>
      <c r="F330" s="21" t="n">
        <f aca="false">IF(B330="","",IF(B330&lt;$B$19,0.5*EXP((B330-$B$19)/$B$20),1-0.5*EXP(-(B330-$B$19)/$B$20)))</f>
        <v>0.291385664050616</v>
      </c>
      <c r="G330" s="21" t="n">
        <f aca="false">IF(B330="","",1/(1+EXP(-(B330-$B$15)/$B$21)))</f>
        <v>0.332370125742143</v>
      </c>
      <c r="H330" s="21" t="n">
        <f aca="false">IF(B330="","",MAX(ABS($A330/$B$6-D330),ABS(($A330-1)/$B$6-D330)))</f>
        <v>0.0572878308048655</v>
      </c>
      <c r="I330" s="21" t="n">
        <f aca="false">IF(B330="","",MAX(ABS($A330/$B$6-E330),ABS(($A330-1)/$B$6-E330)))</f>
        <v>0.038443161996339</v>
      </c>
      <c r="J330" s="21" t="n">
        <f aca="false">IF(B330="","",MAX(ABS($A330/$B$6-F330),ABS(($A330-1)/$B$6-F330)))</f>
        <v>0.00261433594938448</v>
      </c>
      <c r="K330" s="21" t="n">
        <f aca="false">IF(B330="","",MAX(ABS($A330/$B$6-G330),ABS(($A330-1)/$B$6-G330)))</f>
        <v>0.0393701257421434</v>
      </c>
    </row>
    <row r="331" customFormat="false" ht="15" hidden="false" customHeight="false" outlineLevel="0" collapsed="false">
      <c r="A331" s="11" t="n">
        <v>295</v>
      </c>
      <c r="B331" s="9" t="n">
        <f aca="false">IF(A331&gt;$B$6,"",SMALL(BTC_Data!$C$3:$C$1002,A331))</f>
        <v>-0.00049599689141655</v>
      </c>
      <c r="C331" s="21" t="n">
        <f aca="false">IF(B331="","",A331/$B$6)</f>
        <v>0.295</v>
      </c>
      <c r="D331" s="21" t="n">
        <f aca="false">IF(B331="","",NORMDIST(B331,$B$15,$B$16,TRUE()))</f>
        <v>0.35184521893721</v>
      </c>
      <c r="E331" s="21" t="n">
        <f aca="false">IF(B331="","",IF(B331&gt;=$B$15,1-TDIST((B331-$B$15)/$B$18,$B$17,1),TDIST(($B$15-B331)/$B$18,$B$17,1)))</f>
        <v>0.333147966278103</v>
      </c>
      <c r="F331" s="21" t="n">
        <f aca="false">IF(B331="","",IF(B331&lt;$B$19,0.5*EXP((B331-$B$19)/$B$20),1-0.5*EXP(-(B331-$B$19)/$B$20)))</f>
        <v>0.293100873014711</v>
      </c>
      <c r="G331" s="21" t="n">
        <f aca="false">IF(B331="","",1/(1+EXP(-(B331-$B$15)/$B$21)))</f>
        <v>0.334062699149</v>
      </c>
      <c r="H331" s="21" t="n">
        <f aca="false">IF(B331="","",MAX(ABS($A331/$B$6-D331),ABS(($A331-1)/$B$6-D331)))</f>
        <v>0.0578452189372101</v>
      </c>
      <c r="I331" s="21" t="n">
        <f aca="false">IF(B331="","",MAX(ABS($A331/$B$6-E331),ABS(($A331-1)/$B$6-E331)))</f>
        <v>0.0391479662781033</v>
      </c>
      <c r="J331" s="21" t="n">
        <f aca="false">IF(B331="","",MAX(ABS($A331/$B$6-F331),ABS(($A331-1)/$B$6-F331)))</f>
        <v>0.00189912698528927</v>
      </c>
      <c r="K331" s="21" t="n">
        <f aca="false">IF(B331="","",MAX(ABS($A331/$B$6-G331),ABS(($A331-1)/$B$6-G331)))</f>
        <v>0.0400626991490004</v>
      </c>
    </row>
    <row r="332" customFormat="false" ht="15" hidden="false" customHeight="false" outlineLevel="0" collapsed="false">
      <c r="A332" s="11" t="n">
        <v>296</v>
      </c>
      <c r="B332" s="9" t="n">
        <f aca="false">IF(A332&gt;$B$6,"",SMALL(BTC_Data!$C$3:$C$1002,A332))</f>
        <v>-0.000495770603684775</v>
      </c>
      <c r="C332" s="21" t="n">
        <f aca="false">IF(B332="","",A332/$B$6)</f>
        <v>0.296</v>
      </c>
      <c r="D332" s="21" t="n">
        <f aca="false">IF(B332="","",NORMDIST(B332,$B$15,$B$16,TRUE()))</f>
        <v>0.35191117583927</v>
      </c>
      <c r="E332" s="21" t="n">
        <f aca="false">IF(B332="","",IF(B332&gt;=$B$15,1-TDIST((B332-$B$15)/$B$18,$B$17,1),TDIST(($B$15-B332)/$B$18,$B$17,1)))</f>
        <v>0.333220199853595</v>
      </c>
      <c r="F332" s="21" t="n">
        <f aca="false">IF(B332="","",IF(B332&lt;$B$19,0.5*EXP((B332-$B$19)/$B$20),1-0.5*EXP(-(B332-$B$19)/$B$20)))</f>
        <v>0.293173675367282</v>
      </c>
      <c r="G332" s="21" t="n">
        <f aca="false">IF(B332="","",1/(1+EXP(-(B332-$B$15)/$B$21)))</f>
        <v>0.334134416144261</v>
      </c>
      <c r="H332" s="21" t="n">
        <f aca="false">IF(B332="","",MAX(ABS($A332/$B$6-D332),ABS(($A332-1)/$B$6-D332)))</f>
        <v>0.0569111758392704</v>
      </c>
      <c r="I332" s="21" t="n">
        <f aca="false">IF(B332="","",MAX(ABS($A332/$B$6-E332),ABS(($A332-1)/$B$6-E332)))</f>
        <v>0.0382201998535952</v>
      </c>
      <c r="J332" s="21" t="n">
        <f aca="false">IF(B332="","",MAX(ABS($A332/$B$6-F332),ABS(($A332-1)/$B$6-F332)))</f>
        <v>0.00282632463271787</v>
      </c>
      <c r="K332" s="21" t="n">
        <f aca="false">IF(B332="","",MAX(ABS($A332/$B$6-G332),ABS(($A332-1)/$B$6-G332)))</f>
        <v>0.0391344161442605</v>
      </c>
    </row>
    <row r="333" customFormat="false" ht="15" hidden="false" customHeight="false" outlineLevel="0" collapsed="false">
      <c r="A333" s="11" t="n">
        <v>297</v>
      </c>
      <c r="B333" s="9" t="n">
        <f aca="false">IF(A333&gt;$B$6,"",SMALL(BTC_Data!$C$3:$C$1002,A333))</f>
        <v>-0.000495458177748542</v>
      </c>
      <c r="C333" s="21" t="n">
        <f aca="false">IF(B333="","",A333/$B$6)</f>
        <v>0.297</v>
      </c>
      <c r="D333" s="21" t="n">
        <f aca="false">IF(B333="","",NORMDIST(B333,$B$15,$B$16,TRUE()))</f>
        <v>0.35200224707838</v>
      </c>
      <c r="E333" s="21" t="n">
        <f aca="false">IF(B333="","",IF(B333&gt;=$B$15,1-TDIST((B333-$B$15)/$B$18,$B$17,1),TDIST(($B$15-B333)/$B$18,$B$17,1)))</f>
        <v>0.333319942180344</v>
      </c>
      <c r="F333" s="21" t="n">
        <f aca="false">IF(B333="","",IF(B333&lt;$B$19,0.5*EXP((B333-$B$19)/$B$20),1-0.5*EXP(-(B333-$B$19)/$B$20)))</f>
        <v>0.293274220227252</v>
      </c>
      <c r="G333" s="21" t="n">
        <f aca="false">IF(B333="","",1/(1+EXP(-(B333-$B$15)/$B$21)))</f>
        <v>0.334233445381575</v>
      </c>
      <c r="H333" s="21" t="n">
        <f aca="false">IF(B333="","",MAX(ABS($A333/$B$6-D333),ABS(($A333-1)/$B$6-D333)))</f>
        <v>0.0560022470783805</v>
      </c>
      <c r="I333" s="21" t="n">
        <f aca="false">IF(B333="","",MAX(ABS($A333/$B$6-E333),ABS(($A333-1)/$B$6-E333)))</f>
        <v>0.0373199421803438</v>
      </c>
      <c r="J333" s="21" t="n">
        <f aca="false">IF(B333="","",MAX(ABS($A333/$B$6-F333),ABS(($A333-1)/$B$6-F333)))</f>
        <v>0.00372577977274768</v>
      </c>
      <c r="K333" s="21" t="n">
        <f aca="false">IF(B333="","",MAX(ABS($A333/$B$6-G333),ABS(($A333-1)/$B$6-G333)))</f>
        <v>0.0382334453815746</v>
      </c>
    </row>
    <row r="334" customFormat="false" ht="15" hidden="false" customHeight="false" outlineLevel="0" collapsed="false">
      <c r="A334" s="11" t="n">
        <v>298</v>
      </c>
      <c r="B334" s="9" t="n">
        <f aca="false">IF(A334&gt;$B$6,"",SMALL(BTC_Data!$C$3:$C$1002,A334))</f>
        <v>-0.000487405827558796</v>
      </c>
      <c r="C334" s="21" t="n">
        <f aca="false">IF(B334="","",A334/$B$6)</f>
        <v>0.298</v>
      </c>
      <c r="D334" s="21" t="n">
        <f aca="false">IF(B334="","",NORMDIST(B334,$B$15,$B$16,TRUE()))</f>
        <v>0.354352399435487</v>
      </c>
      <c r="E334" s="21" t="n">
        <f aca="false">IF(B334="","",IF(B334&gt;=$B$15,1-TDIST((B334-$B$15)/$B$18,$B$17,1),TDIST(($B$15-B334)/$B$18,$B$17,1)))</f>
        <v>0.335895634116922</v>
      </c>
      <c r="F334" s="21" t="n">
        <f aca="false">IF(B334="","",IF(B334&lt;$B$19,0.5*EXP((B334-$B$19)/$B$20),1-0.5*EXP(-(B334-$B$19)/$B$20)))</f>
        <v>0.295877557192466</v>
      </c>
      <c r="G334" s="21" t="n">
        <f aca="false">IF(B334="","",1/(1+EXP(-(B334-$B$15)/$B$21)))</f>
        <v>0.336790811343141</v>
      </c>
      <c r="H334" s="21" t="n">
        <f aca="false">IF(B334="","",MAX(ABS($A334/$B$6-D334),ABS(($A334-1)/$B$6-D334)))</f>
        <v>0.0573523994354868</v>
      </c>
      <c r="I334" s="21" t="n">
        <f aca="false">IF(B334="","",MAX(ABS($A334/$B$6-E334),ABS(($A334-1)/$B$6-E334)))</f>
        <v>0.038895634116922</v>
      </c>
      <c r="J334" s="21" t="n">
        <f aca="false">IF(B334="","",MAX(ABS($A334/$B$6-F334),ABS(($A334-1)/$B$6-F334)))</f>
        <v>0.0021224428075341</v>
      </c>
      <c r="K334" s="21" t="n">
        <f aca="false">IF(B334="","",MAX(ABS($A334/$B$6-G334),ABS(($A334-1)/$B$6-G334)))</f>
        <v>0.0397908113431407</v>
      </c>
    </row>
    <row r="335" customFormat="false" ht="15" hidden="false" customHeight="false" outlineLevel="0" collapsed="false">
      <c r="A335" s="11" t="n">
        <v>299</v>
      </c>
      <c r="B335" s="9" t="n">
        <f aca="false">IF(A335&gt;$B$6,"",SMALL(BTC_Data!$C$3:$C$1002,A335))</f>
        <v>-0.000483890418363719</v>
      </c>
      <c r="C335" s="21" t="n">
        <f aca="false">IF(B335="","",A335/$B$6)</f>
        <v>0.299</v>
      </c>
      <c r="D335" s="21" t="n">
        <f aca="false">IF(B335="","",NORMDIST(B335,$B$15,$B$16,TRUE()))</f>
        <v>0.355380151959091</v>
      </c>
      <c r="E335" s="21" t="n">
        <f aca="false">IF(B335="","",IF(B335&gt;=$B$15,1-TDIST((B335-$B$15)/$B$18,$B$17,1),TDIST(($B$15-B335)/$B$18,$B$17,1)))</f>
        <v>0.337023085016501</v>
      </c>
      <c r="F335" s="21" t="n">
        <f aca="false">IF(B335="","",IF(B335&lt;$B$19,0.5*EXP((B335-$B$19)/$B$20),1-0.5*EXP(-(B335-$B$19)/$B$20)))</f>
        <v>0.297021328889889</v>
      </c>
      <c r="G335" s="21" t="n">
        <f aca="false">IF(B335="","",1/(1+EXP(-(B335-$B$15)/$B$21)))</f>
        <v>0.337910294007489</v>
      </c>
      <c r="H335" s="21" t="n">
        <f aca="false">IF(B335="","",MAX(ABS($A335/$B$6-D335),ABS(($A335-1)/$B$6-D335)))</f>
        <v>0.0573801519590906</v>
      </c>
      <c r="I335" s="21" t="n">
        <f aca="false">IF(B335="","",MAX(ABS($A335/$B$6-E335),ABS(($A335-1)/$B$6-E335)))</f>
        <v>0.0390230850165008</v>
      </c>
      <c r="J335" s="21" t="n">
        <f aca="false">IF(B335="","",MAX(ABS($A335/$B$6-F335),ABS(($A335-1)/$B$6-F335)))</f>
        <v>0.00197867111011057</v>
      </c>
      <c r="K335" s="21" t="n">
        <f aca="false">IF(B335="","",MAX(ABS($A335/$B$6-G335),ABS(($A335-1)/$B$6-G335)))</f>
        <v>0.0399102940074889</v>
      </c>
    </row>
    <row r="336" customFormat="false" ht="15" hidden="false" customHeight="false" outlineLevel="0" collapsed="false">
      <c r="A336" s="11" t="n">
        <v>300</v>
      </c>
      <c r="B336" s="9" t="n">
        <f aca="false">IF(A336&gt;$B$6,"",SMALL(BTC_Data!$C$3:$C$1002,A336))</f>
        <v>-0.00047916653496205</v>
      </c>
      <c r="C336" s="21" t="n">
        <f aca="false">IF(B336="","",A336/$B$6)</f>
        <v>0.3</v>
      </c>
      <c r="D336" s="21" t="n">
        <f aca="false">IF(B336="","",NORMDIST(B336,$B$15,$B$16,TRUE()))</f>
        <v>0.356762866394503</v>
      </c>
      <c r="E336" s="21" t="n">
        <f aca="false">IF(B336="","",IF(B336&gt;=$B$15,1-TDIST((B336-$B$15)/$B$18,$B$17,1),TDIST(($B$15-B336)/$B$18,$B$17,1)))</f>
        <v>0.338540945060056</v>
      </c>
      <c r="F336" s="21" t="n">
        <f aca="false">IF(B336="","",IF(B336&lt;$B$19,0.5*EXP((B336-$B$19)/$B$20),1-0.5*EXP(-(B336-$B$19)/$B$20)))</f>
        <v>0.298565254846391</v>
      </c>
      <c r="G336" s="21" t="n">
        <f aca="false">IF(B336="","",1/(1+EXP(-(B336-$B$15)/$B$21)))</f>
        <v>0.33941747802311</v>
      </c>
      <c r="H336" s="21" t="n">
        <f aca="false">IF(B336="","",MAX(ABS($A336/$B$6-D336),ABS(($A336-1)/$B$6-D336)))</f>
        <v>0.0577628663945027</v>
      </c>
      <c r="I336" s="21" t="n">
        <f aca="false">IF(B336="","",MAX(ABS($A336/$B$6-E336),ABS(($A336-1)/$B$6-E336)))</f>
        <v>0.039540945060056</v>
      </c>
      <c r="J336" s="21" t="n">
        <f aca="false">IF(B336="","",MAX(ABS($A336/$B$6-F336),ABS(($A336-1)/$B$6-F336)))</f>
        <v>0.00143474515360881</v>
      </c>
      <c r="K336" s="21" t="n">
        <f aca="false">IF(B336="","",MAX(ABS($A336/$B$6-G336),ABS(($A336-1)/$B$6-G336)))</f>
        <v>0.0404174780231102</v>
      </c>
    </row>
    <row r="337" customFormat="false" ht="15" hidden="false" customHeight="false" outlineLevel="0" collapsed="false">
      <c r="A337" s="11" t="n">
        <v>301</v>
      </c>
      <c r="B337" s="9" t="n">
        <f aca="false">IF(A337&gt;$B$6,"",SMALL(BTC_Data!$C$3:$C$1002,A337))</f>
        <v>-0.000475615224972858</v>
      </c>
      <c r="C337" s="21" t="n">
        <f aca="false">IF(B337="","",A337/$B$6)</f>
        <v>0.301</v>
      </c>
      <c r="D337" s="21" t="n">
        <f aca="false">IF(B337="","",NORMDIST(B337,$B$15,$B$16,TRUE()))</f>
        <v>0.357803602095169</v>
      </c>
      <c r="E337" s="21" t="n">
        <f aca="false">IF(B337="","",IF(B337&gt;=$B$15,1-TDIST((B337-$B$15)/$B$18,$B$17,1),TDIST(($B$15-B337)/$B$18,$B$17,1)))</f>
        <v>0.339684162872978</v>
      </c>
      <c r="F337" s="21" t="n">
        <f aca="false">IF(B337="","",IF(B337&lt;$B$19,0.5*EXP((B337-$B$19)/$B$20),1-0.5*EXP(-(B337-$B$19)/$B$20)))</f>
        <v>0.299731226110863</v>
      </c>
      <c r="G337" s="21" t="n">
        <f aca="false">IF(B337="","",1/(1+EXP(-(B337-$B$15)/$B$21)))</f>
        <v>0.340552693796962</v>
      </c>
      <c r="H337" s="21" t="n">
        <f aca="false">IF(B337="","",MAX(ABS($A337/$B$6-D337),ABS(($A337-1)/$B$6-D337)))</f>
        <v>0.0578036020951692</v>
      </c>
      <c r="I337" s="21" t="n">
        <f aca="false">IF(B337="","",MAX(ABS($A337/$B$6-E337),ABS(($A337-1)/$B$6-E337)))</f>
        <v>0.0396841628729777</v>
      </c>
      <c r="J337" s="21" t="n">
        <f aca="false">IF(B337="","",MAX(ABS($A337/$B$6-F337),ABS(($A337-1)/$B$6-F337)))</f>
        <v>0.00126877388913732</v>
      </c>
      <c r="K337" s="21" t="n">
        <f aca="false">IF(B337="","",MAX(ABS($A337/$B$6-G337),ABS(($A337-1)/$B$6-G337)))</f>
        <v>0.0405526937969621</v>
      </c>
    </row>
    <row r="338" customFormat="false" ht="15" hidden="false" customHeight="false" outlineLevel="0" collapsed="false">
      <c r="A338" s="11" t="n">
        <v>302</v>
      </c>
      <c r="B338" s="9" t="n">
        <f aca="false">IF(A338&gt;$B$6,"",SMALL(BTC_Data!$C$3:$C$1002,A338))</f>
        <v>-0.000475551145073694</v>
      </c>
      <c r="C338" s="21" t="n">
        <f aca="false">IF(B338="","",A338/$B$6)</f>
        <v>0.302</v>
      </c>
      <c r="D338" s="21" t="n">
        <f aca="false">IF(B338="","",NORMDIST(B338,$B$15,$B$16,TRUE()))</f>
        <v>0.357822390888067</v>
      </c>
      <c r="E338" s="21" t="n">
        <f aca="false">IF(B338="","",IF(B338&gt;=$B$15,1-TDIST((B338-$B$15)/$B$18,$B$17,1),TDIST(($B$15-B338)/$B$18,$B$17,1)))</f>
        <v>0.339704807790091</v>
      </c>
      <c r="F338" s="21" t="n">
        <f aca="false">IF(B338="","",IF(B338&lt;$B$19,0.5*EXP((B338-$B$19)/$B$20),1-0.5*EXP(-(B338-$B$19)/$B$20)))</f>
        <v>0.299752306685404</v>
      </c>
      <c r="G338" s="21" t="n">
        <f aca="false">IF(B338="","",1/(1+EXP(-(B338-$B$15)/$B$21)))</f>
        <v>0.340573194515371</v>
      </c>
      <c r="H338" s="21" t="n">
        <f aca="false">IF(B338="","",MAX(ABS($A338/$B$6-D338),ABS(($A338-1)/$B$6-D338)))</f>
        <v>0.0568223908880666</v>
      </c>
      <c r="I338" s="21" t="n">
        <f aca="false">IF(B338="","",MAX(ABS($A338/$B$6-E338),ABS(($A338-1)/$B$6-E338)))</f>
        <v>0.0387048077900914</v>
      </c>
      <c r="J338" s="21" t="n">
        <f aca="false">IF(B338="","",MAX(ABS($A338/$B$6-F338),ABS(($A338-1)/$B$6-F338)))</f>
        <v>0.00224769331459618</v>
      </c>
      <c r="K338" s="21" t="n">
        <f aca="false">IF(B338="","",MAX(ABS($A338/$B$6-G338),ABS(($A338-1)/$B$6-G338)))</f>
        <v>0.0395731945153706</v>
      </c>
    </row>
    <row r="339" customFormat="false" ht="15" hidden="false" customHeight="false" outlineLevel="0" collapsed="false">
      <c r="A339" s="11" t="n">
        <v>303</v>
      </c>
      <c r="B339" s="9" t="n">
        <f aca="false">IF(A339&gt;$B$6,"",SMALL(BTC_Data!$C$3:$C$1002,A339))</f>
        <v>-0.000473778341847031</v>
      </c>
      <c r="C339" s="21" t="n">
        <f aca="false">IF(B339="","",A339/$B$6)</f>
        <v>0.303</v>
      </c>
      <c r="D339" s="21" t="n">
        <f aca="false">IF(B339="","",NORMDIST(B339,$B$15,$B$16,TRUE()))</f>
        <v>0.358342328911136</v>
      </c>
      <c r="E339" s="21" t="n">
        <f aca="false">IF(B339="","",IF(B339&gt;=$B$15,1-TDIST((B339-$B$15)/$B$18,$B$17,1),TDIST(($B$15-B339)/$B$18,$B$17,1)))</f>
        <v>0.340276193709635</v>
      </c>
      <c r="F339" s="21" t="n">
        <f aca="false">IF(B339="","",IF(B339&lt;$B$19,0.5*EXP((B339-$B$19)/$B$20),1-0.5*EXP(-(B339-$B$19)/$B$20)))</f>
        <v>0.30033609984055</v>
      </c>
      <c r="G339" s="21" t="n">
        <f aca="false">IF(B339="","",1/(1+EXP(-(B339-$B$15)/$B$21)))</f>
        <v>0.341140593789651</v>
      </c>
      <c r="H339" s="21" t="n">
        <f aca="false">IF(B339="","",MAX(ABS($A339/$B$6-D339),ABS(($A339-1)/$B$6-D339)))</f>
        <v>0.0563423289111364</v>
      </c>
      <c r="I339" s="21" t="n">
        <f aca="false">IF(B339="","",MAX(ABS($A339/$B$6-E339),ABS(($A339-1)/$B$6-E339)))</f>
        <v>0.038276193709635</v>
      </c>
      <c r="J339" s="21" t="n">
        <f aca="false">IF(B339="","",MAX(ABS($A339/$B$6-F339),ABS(($A339-1)/$B$6-F339)))</f>
        <v>0.00266390015945045</v>
      </c>
      <c r="K339" s="21" t="n">
        <f aca="false">IF(B339="","",MAX(ABS($A339/$B$6-G339),ABS(($A339-1)/$B$6-G339)))</f>
        <v>0.039140593789651</v>
      </c>
    </row>
    <row r="340" customFormat="false" ht="15" hidden="false" customHeight="false" outlineLevel="0" collapsed="false">
      <c r="A340" s="11" t="n">
        <v>304</v>
      </c>
      <c r="B340" s="9" t="n">
        <f aca="false">IF(A340&gt;$B$6,"",SMALL(BTC_Data!$C$3:$C$1002,A340))</f>
        <v>-0.00047172347440616</v>
      </c>
      <c r="C340" s="21" t="n">
        <f aca="false">IF(B340="","",A340/$B$6)</f>
        <v>0.304</v>
      </c>
      <c r="D340" s="21" t="n">
        <f aca="false">IF(B340="","",NORMDIST(B340,$B$15,$B$16,TRUE()))</f>
        <v>0.358945321124173</v>
      </c>
      <c r="E340" s="21" t="n">
        <f aca="false">IF(B340="","",IF(B340&gt;=$B$15,1-TDIST((B340-$B$15)/$B$18,$B$17,1),TDIST(($B$15-B340)/$B$18,$B$17,1)))</f>
        <v>0.34093905406927</v>
      </c>
      <c r="F340" s="21" t="n">
        <f aca="false">IF(B340="","",IF(B340&lt;$B$19,0.5*EXP((B340-$B$19)/$B$20),1-0.5*EXP(-(B340-$B$19)/$B$20)))</f>
        <v>0.301014201059595</v>
      </c>
      <c r="G340" s="21" t="n">
        <f aca="false">IF(B340="","",1/(1+EXP(-(B340-$B$15)/$B$21)))</f>
        <v>0.341798839710976</v>
      </c>
      <c r="H340" s="21" t="n">
        <f aca="false">IF(B340="","",MAX(ABS($A340/$B$6-D340),ABS(($A340-1)/$B$6-D340)))</f>
        <v>0.0559453211241729</v>
      </c>
      <c r="I340" s="21" t="n">
        <f aca="false">IF(B340="","",MAX(ABS($A340/$B$6-E340),ABS(($A340-1)/$B$6-E340)))</f>
        <v>0.0379390540692697</v>
      </c>
      <c r="J340" s="21" t="n">
        <f aca="false">IF(B340="","",MAX(ABS($A340/$B$6-F340),ABS(($A340-1)/$B$6-F340)))</f>
        <v>0.0029857989404054</v>
      </c>
      <c r="K340" s="21" t="n">
        <f aca="false">IF(B340="","",MAX(ABS($A340/$B$6-G340),ABS(($A340-1)/$B$6-G340)))</f>
        <v>0.0387988397109762</v>
      </c>
    </row>
    <row r="341" customFormat="false" ht="15" hidden="false" customHeight="false" outlineLevel="0" collapsed="false">
      <c r="A341" s="11" t="n">
        <v>305</v>
      </c>
      <c r="B341" s="9" t="n">
        <f aca="false">IF(A341&gt;$B$6,"",SMALL(BTC_Data!$C$3:$C$1002,A341))</f>
        <v>-0.000470716185701603</v>
      </c>
      <c r="C341" s="21" t="n">
        <f aca="false">IF(B341="","",A341/$B$6)</f>
        <v>0.305</v>
      </c>
      <c r="D341" s="21" t="n">
        <f aca="false">IF(B341="","",NORMDIST(B341,$B$15,$B$16,TRUE()))</f>
        <v>0.359241034295854</v>
      </c>
      <c r="E341" s="21" t="n">
        <f aca="false">IF(B341="","",IF(B341&gt;=$B$15,1-TDIST((B341-$B$15)/$B$18,$B$17,1),TDIST(($B$15-B341)/$B$18,$B$17,1)))</f>
        <v>0.341264206196889</v>
      </c>
      <c r="F341" s="21" t="n">
        <f aca="false">IF(B341="","",IF(B341&lt;$B$19,0.5*EXP((B341-$B$19)/$B$20),1-0.5*EXP(-(B341-$B$19)/$B$20)))</f>
        <v>0.301347162846346</v>
      </c>
      <c r="G341" s="21" t="n">
        <f aca="false">IF(B341="","",1/(1+EXP(-(B341-$B$15)/$B$21)))</f>
        <v>0.342121732419176</v>
      </c>
      <c r="H341" s="21" t="n">
        <f aca="false">IF(B341="","",MAX(ABS($A341/$B$6-D341),ABS(($A341-1)/$B$6-D341)))</f>
        <v>0.0552410342958537</v>
      </c>
      <c r="I341" s="21" t="n">
        <f aca="false">IF(B341="","",MAX(ABS($A341/$B$6-E341),ABS(($A341-1)/$B$6-E341)))</f>
        <v>0.0372642061968894</v>
      </c>
      <c r="J341" s="21" t="n">
        <f aca="false">IF(B341="","",MAX(ABS($A341/$B$6-F341),ABS(($A341-1)/$B$6-F341)))</f>
        <v>0.00365283715365428</v>
      </c>
      <c r="K341" s="21" t="n">
        <f aca="false">IF(B341="","",MAX(ABS($A341/$B$6-G341),ABS(($A341-1)/$B$6-G341)))</f>
        <v>0.0381217324191762</v>
      </c>
    </row>
    <row r="342" customFormat="false" ht="15" hidden="false" customHeight="false" outlineLevel="0" collapsed="false">
      <c r="A342" s="11" t="n">
        <v>306</v>
      </c>
      <c r="B342" s="9" t="n">
        <f aca="false">IF(A342&gt;$B$6,"",SMALL(BTC_Data!$C$3:$C$1002,A342))</f>
        <v>-0.000469157968034595</v>
      </c>
      <c r="C342" s="21" t="n">
        <f aca="false">IF(B342="","",A342/$B$6)</f>
        <v>0.306</v>
      </c>
      <c r="D342" s="21" t="n">
        <f aca="false">IF(B342="","",NORMDIST(B342,$B$15,$B$16,TRUE()))</f>
        <v>0.359698651660028</v>
      </c>
      <c r="E342" s="21" t="n">
        <f aca="false">IF(B342="","",IF(B342&gt;=$B$15,1-TDIST((B342-$B$15)/$B$18,$B$17,1),TDIST(($B$15-B342)/$B$18,$B$17,1)))</f>
        <v>0.341767482685339</v>
      </c>
      <c r="F342" s="21" t="n">
        <f aca="false">IF(B342="","",IF(B342&lt;$B$19,0.5*EXP((B342-$B$19)/$B$20),1-0.5*EXP(-(B342-$B$19)/$B$20)))</f>
        <v>0.301862961264522</v>
      </c>
      <c r="G342" s="21" t="n">
        <f aca="false">IF(B342="","",1/(1+EXP(-(B342-$B$15)/$B$21)))</f>
        <v>0.342621517048042</v>
      </c>
      <c r="H342" s="21" t="n">
        <f aca="false">IF(B342="","",MAX(ABS($A342/$B$6-D342),ABS(($A342-1)/$B$6-D342)))</f>
        <v>0.0546986516600281</v>
      </c>
      <c r="I342" s="21" t="n">
        <f aca="false">IF(B342="","",MAX(ABS($A342/$B$6-E342),ABS(($A342-1)/$B$6-E342)))</f>
        <v>0.0367674826853388</v>
      </c>
      <c r="J342" s="21" t="n">
        <f aca="false">IF(B342="","",MAX(ABS($A342/$B$6-F342),ABS(($A342-1)/$B$6-F342)))</f>
        <v>0.00413703873547783</v>
      </c>
      <c r="K342" s="21" t="n">
        <f aca="false">IF(B342="","",MAX(ABS($A342/$B$6-G342),ABS(($A342-1)/$B$6-G342)))</f>
        <v>0.0376215170480419</v>
      </c>
    </row>
    <row r="343" customFormat="false" ht="15" hidden="false" customHeight="false" outlineLevel="0" collapsed="false">
      <c r="A343" s="11" t="n">
        <v>307</v>
      </c>
      <c r="B343" s="9" t="n">
        <f aca="false">IF(A343&gt;$B$6,"",SMALL(BTC_Data!$C$3:$C$1002,A343))</f>
        <v>-0.000462917614204139</v>
      </c>
      <c r="C343" s="21" t="n">
        <f aca="false">IF(B343="","",A343/$B$6)</f>
        <v>0.307</v>
      </c>
      <c r="D343" s="21" t="n">
        <f aca="false">IF(B343="","",NORMDIST(B343,$B$15,$B$16,TRUE()))</f>
        <v>0.361533329582725</v>
      </c>
      <c r="E343" s="21" t="n">
        <f aca="false">IF(B343="","",IF(B343&gt;=$B$15,1-TDIST((B343-$B$15)/$B$18,$B$17,1),TDIST(($B$15-B343)/$B$18,$B$17,1)))</f>
        <v>0.343786456691132</v>
      </c>
      <c r="F343" s="21" t="n">
        <f aca="false">IF(B343="","",IF(B343&lt;$B$19,0.5*EXP((B343-$B$19)/$B$20),1-0.5*EXP(-(B343-$B$19)/$B$20)))</f>
        <v>0.303937494892726</v>
      </c>
      <c r="G343" s="21" t="n">
        <f aca="false">IF(B343="","",1/(1+EXP(-(B343-$B$15)/$B$21)))</f>
        <v>0.344626547684299</v>
      </c>
      <c r="H343" s="21" t="n">
        <f aca="false">IF(B343="","",MAX(ABS($A343/$B$6-D343),ABS(($A343-1)/$B$6-D343)))</f>
        <v>0.0555333295827254</v>
      </c>
      <c r="I343" s="21" t="n">
        <f aca="false">IF(B343="","",MAX(ABS($A343/$B$6-E343),ABS(($A343-1)/$B$6-E343)))</f>
        <v>0.0377864566911318</v>
      </c>
      <c r="J343" s="21" t="n">
        <f aca="false">IF(B343="","",MAX(ABS($A343/$B$6-F343),ABS(($A343-1)/$B$6-F343)))</f>
        <v>0.00306250510727385</v>
      </c>
      <c r="K343" s="21" t="n">
        <f aca="false">IF(B343="","",MAX(ABS($A343/$B$6-G343),ABS(($A343-1)/$B$6-G343)))</f>
        <v>0.0386265476842992</v>
      </c>
    </row>
    <row r="344" customFormat="false" ht="15" hidden="false" customHeight="false" outlineLevel="0" collapsed="false">
      <c r="A344" s="11" t="n">
        <v>308</v>
      </c>
      <c r="B344" s="9" t="n">
        <f aca="false">IF(A344&gt;$B$6,"",SMALL(BTC_Data!$C$3:$C$1002,A344))</f>
        <v>-0.000461589181700806</v>
      </c>
      <c r="C344" s="21" t="n">
        <f aca="false">IF(B344="","",A344/$B$6)</f>
        <v>0.308</v>
      </c>
      <c r="D344" s="21" t="n">
        <f aca="false">IF(B344="","",NORMDIST(B344,$B$15,$B$16,TRUE()))</f>
        <v>0.36192430472068</v>
      </c>
      <c r="E344" s="21" t="n">
        <f aca="false">IF(B344="","",IF(B344&gt;=$B$15,1-TDIST((B344-$B$15)/$B$18,$B$17,1),TDIST(($B$15-B344)/$B$18,$B$17,1)))</f>
        <v>0.344216960782493</v>
      </c>
      <c r="F344" s="21" t="n">
        <f aca="false">IF(B344="","",IF(B344&lt;$B$19,0.5*EXP((B344-$B$19)/$B$20),1-0.5*EXP(-(B344-$B$19)/$B$20)))</f>
        <v>0.304380954195527</v>
      </c>
      <c r="G344" s="21" t="n">
        <f aca="false">IF(B344="","",1/(1+EXP(-(B344-$B$15)/$B$21)))</f>
        <v>0.345054092036732</v>
      </c>
      <c r="H344" s="21" t="n">
        <f aca="false">IF(B344="","",MAX(ABS($A344/$B$6-D344),ABS(($A344-1)/$B$6-D344)))</f>
        <v>0.0549243047206802</v>
      </c>
      <c r="I344" s="21" t="n">
        <f aca="false">IF(B344="","",MAX(ABS($A344/$B$6-E344),ABS(($A344-1)/$B$6-E344)))</f>
        <v>0.0372169607824931</v>
      </c>
      <c r="J344" s="21" t="n">
        <f aca="false">IF(B344="","",MAX(ABS($A344/$B$6-F344),ABS(($A344-1)/$B$6-F344)))</f>
        <v>0.0036190458044732</v>
      </c>
      <c r="K344" s="21" t="n">
        <f aca="false">IF(B344="","",MAX(ABS($A344/$B$6-G344),ABS(($A344-1)/$B$6-G344)))</f>
        <v>0.0380540920367324</v>
      </c>
    </row>
    <row r="345" customFormat="false" ht="15" hidden="false" customHeight="false" outlineLevel="0" collapsed="false">
      <c r="A345" s="11" t="n">
        <v>309</v>
      </c>
      <c r="B345" s="9" t="n">
        <f aca="false">IF(A345&gt;$B$6,"",SMALL(BTC_Data!$C$3:$C$1002,A345))</f>
        <v>-0.000456906741761909</v>
      </c>
      <c r="C345" s="21" t="n">
        <f aca="false">IF(B345="","",A345/$B$6)</f>
        <v>0.309</v>
      </c>
      <c r="D345" s="21" t="n">
        <f aca="false">IF(B345="","",NORMDIST(B345,$B$15,$B$16,TRUE()))</f>
        <v>0.363303555349048</v>
      </c>
      <c r="E345" s="21" t="n">
        <f aca="false">IF(B345="","",IF(B345&gt;=$B$15,1-TDIST((B345-$B$15)/$B$18,$B$17,1),TDIST(($B$15-B345)/$B$18,$B$17,1)))</f>
        <v>0.345736367835142</v>
      </c>
      <c r="F345" s="21" t="n">
        <f aca="false">IF(B345="","",IF(B345&lt;$B$19,0.5*EXP((B345-$B$19)/$B$20),1-0.5*EXP(-(B345-$B$19)/$B$20)))</f>
        <v>0.305949219254465</v>
      </c>
      <c r="G345" s="21" t="n">
        <f aca="false">IF(B345="","",1/(1+EXP(-(B345-$B$15)/$B$21)))</f>
        <v>0.346563090628127</v>
      </c>
      <c r="H345" s="21" t="n">
        <f aca="false">IF(B345="","",MAX(ABS($A345/$B$6-D345),ABS(($A345-1)/$B$6-D345)))</f>
        <v>0.0553035553490477</v>
      </c>
      <c r="I345" s="21" t="n">
        <f aca="false">IF(B345="","",MAX(ABS($A345/$B$6-E345),ABS(($A345-1)/$B$6-E345)))</f>
        <v>0.0377363678351425</v>
      </c>
      <c r="J345" s="21" t="n">
        <f aca="false">IF(B345="","",MAX(ABS($A345/$B$6-F345),ABS(($A345-1)/$B$6-F345)))</f>
        <v>0.00305078074553539</v>
      </c>
      <c r="K345" s="21" t="n">
        <f aca="false">IF(B345="","",MAX(ABS($A345/$B$6-G345),ABS(($A345-1)/$B$6-G345)))</f>
        <v>0.0385630906281274</v>
      </c>
    </row>
    <row r="346" customFormat="false" ht="15" hidden="false" customHeight="false" outlineLevel="0" collapsed="false">
      <c r="A346" s="11" t="n">
        <v>310</v>
      </c>
      <c r="B346" s="9" t="n">
        <f aca="false">IF(A346&gt;$B$6,"",SMALL(BTC_Data!$C$3:$C$1002,A346))</f>
        <v>-0.000455723204238034</v>
      </c>
      <c r="C346" s="21" t="n">
        <f aca="false">IF(B346="","",A346/$B$6)</f>
        <v>0.31</v>
      </c>
      <c r="D346" s="21" t="n">
        <f aca="false">IF(B346="","",NORMDIST(B346,$B$15,$B$16,TRUE()))</f>
        <v>0.363652457529642</v>
      </c>
      <c r="E346" s="21" t="n">
        <f aca="false">IF(B346="","",IF(B346&gt;=$B$15,1-TDIST((B346-$B$15)/$B$18,$B$17,1),TDIST(($B$15-B346)/$B$18,$B$17,1)))</f>
        <v>0.34612089900803</v>
      </c>
      <c r="F346" s="21" t="n">
        <f aca="false">IF(B346="","",IF(B346&lt;$B$19,0.5*EXP((B346-$B$19)/$B$20),1-0.5*EXP(-(B346-$B$19)/$B$20)))</f>
        <v>0.306346892925355</v>
      </c>
      <c r="G346" s="21" t="n">
        <f aca="false">IF(B346="","",1/(1+EXP(-(B346-$B$15)/$B$21)))</f>
        <v>0.346944996894526</v>
      </c>
      <c r="H346" s="21" t="n">
        <f aca="false">IF(B346="","",MAX(ABS($A346/$B$6-D346),ABS(($A346-1)/$B$6-D346)))</f>
        <v>0.0546524575296418</v>
      </c>
      <c r="I346" s="21" t="n">
        <f aca="false">IF(B346="","",MAX(ABS($A346/$B$6-E346),ABS(($A346-1)/$B$6-E346)))</f>
        <v>0.0371208990080304</v>
      </c>
      <c r="J346" s="21" t="n">
        <f aca="false">IF(B346="","",MAX(ABS($A346/$B$6-F346),ABS(($A346-1)/$B$6-F346)))</f>
        <v>0.00365310707464545</v>
      </c>
      <c r="K346" s="21" t="n">
        <f aca="false">IF(B346="","",MAX(ABS($A346/$B$6-G346),ABS(($A346-1)/$B$6-G346)))</f>
        <v>0.0379449968945264</v>
      </c>
    </row>
    <row r="347" customFormat="false" ht="15" hidden="false" customHeight="false" outlineLevel="0" collapsed="false">
      <c r="A347" s="11" t="n">
        <v>311</v>
      </c>
      <c r="B347" s="9" t="n">
        <f aca="false">IF(A347&gt;$B$6,"",SMALL(BTC_Data!$C$3:$C$1002,A347))</f>
        <v>-0.000455209461300177</v>
      </c>
      <c r="C347" s="21" t="n">
        <f aca="false">IF(B347="","",A347/$B$6)</f>
        <v>0.311</v>
      </c>
      <c r="D347" s="21" t="n">
        <f aca="false">IF(B347="","",NORMDIST(B347,$B$15,$B$16,TRUE()))</f>
        <v>0.363803942137181</v>
      </c>
      <c r="E347" s="21" t="n">
        <f aca="false">IF(B347="","",IF(B347&gt;=$B$15,1-TDIST((B347-$B$15)/$B$18,$B$17,1),TDIST(($B$15-B347)/$B$18,$B$17,1)))</f>
        <v>0.346287874651953</v>
      </c>
      <c r="F347" s="21" t="n">
        <f aca="false">IF(B347="","",IF(B347&lt;$B$19,0.5*EXP((B347-$B$19)/$B$20),1-0.5*EXP(-(B347-$B$19)/$B$20)))</f>
        <v>0.306519673593554</v>
      </c>
      <c r="G347" s="21" t="n">
        <f aca="false">IF(B347="","",1/(1+EXP(-(B347-$B$15)/$B$21)))</f>
        <v>0.34711083388447</v>
      </c>
      <c r="H347" s="21" t="n">
        <f aca="false">IF(B347="","",MAX(ABS($A347/$B$6-D347),ABS(($A347-1)/$B$6-D347)))</f>
        <v>0.0538039421371814</v>
      </c>
      <c r="I347" s="21" t="n">
        <f aca="false">IF(B347="","",MAX(ABS($A347/$B$6-E347),ABS(($A347-1)/$B$6-E347)))</f>
        <v>0.0362878746519532</v>
      </c>
      <c r="J347" s="21" t="n">
        <f aca="false">IF(B347="","",MAX(ABS($A347/$B$6-F347),ABS(($A347-1)/$B$6-F347)))</f>
        <v>0.00448032640644586</v>
      </c>
      <c r="K347" s="21" t="n">
        <f aca="false">IF(B347="","",MAX(ABS($A347/$B$6-G347),ABS(($A347-1)/$B$6-G347)))</f>
        <v>0.0371108338844704</v>
      </c>
    </row>
    <row r="348" customFormat="false" ht="15" hidden="false" customHeight="false" outlineLevel="0" collapsed="false">
      <c r="A348" s="11" t="n">
        <v>312</v>
      </c>
      <c r="B348" s="9" t="n">
        <f aca="false">IF(A348&gt;$B$6,"",SMALL(BTC_Data!$C$3:$C$1002,A348))</f>
        <v>-0.000453975108064109</v>
      </c>
      <c r="C348" s="21" t="n">
        <f aca="false">IF(B348="","",A348/$B$6)</f>
        <v>0.312</v>
      </c>
      <c r="D348" s="21" t="n">
        <f aca="false">IF(B348="","",NORMDIST(B348,$B$15,$B$16,TRUE()))</f>
        <v>0.364167996205237</v>
      </c>
      <c r="E348" s="21" t="n">
        <f aca="false">IF(B348="","",IF(B348&gt;=$B$15,1-TDIST((B348-$B$15)/$B$18,$B$17,1),TDIST(($B$15-B348)/$B$18,$B$17,1)))</f>
        <v>0.346689211331642</v>
      </c>
      <c r="F348" s="21" t="n">
        <f aca="false">IF(B348="","",IF(B348&lt;$B$19,0.5*EXP((B348-$B$19)/$B$20),1-0.5*EXP(-(B348-$B$19)/$B$20)))</f>
        <v>0.306935206464819</v>
      </c>
      <c r="G348" s="21" t="n">
        <f aca="false">IF(B348="","",1/(1+EXP(-(B348-$B$15)/$B$21)))</f>
        <v>0.347509436616812</v>
      </c>
      <c r="H348" s="21" t="n">
        <f aca="false">IF(B348="","",MAX(ABS($A348/$B$6-D348),ABS(($A348-1)/$B$6-D348)))</f>
        <v>0.0531679962052367</v>
      </c>
      <c r="I348" s="21" t="n">
        <f aca="false">IF(B348="","",MAX(ABS($A348/$B$6-E348),ABS(($A348-1)/$B$6-E348)))</f>
        <v>0.0356892113316421</v>
      </c>
      <c r="J348" s="21" t="n">
        <f aca="false">IF(B348="","",MAX(ABS($A348/$B$6-F348),ABS(($A348-1)/$B$6-F348)))</f>
        <v>0.00506479353518136</v>
      </c>
      <c r="K348" s="21" t="n">
        <f aca="false">IF(B348="","",MAX(ABS($A348/$B$6-G348),ABS(($A348-1)/$B$6-G348)))</f>
        <v>0.0365094366168116</v>
      </c>
    </row>
    <row r="349" customFormat="false" ht="15" hidden="false" customHeight="false" outlineLevel="0" collapsed="false">
      <c r="A349" s="11" t="n">
        <v>313</v>
      </c>
      <c r="B349" s="9" t="n">
        <f aca="false">IF(A349&gt;$B$6,"",SMALL(BTC_Data!$C$3:$C$1002,A349))</f>
        <v>-0.000453549715144996</v>
      </c>
      <c r="C349" s="21" t="n">
        <f aca="false">IF(B349="","",A349/$B$6)</f>
        <v>0.313</v>
      </c>
      <c r="D349" s="21" t="n">
        <f aca="false">IF(B349="","",NORMDIST(B349,$B$15,$B$16,TRUE()))</f>
        <v>0.36429348792246</v>
      </c>
      <c r="E349" s="21" t="n">
        <f aca="false">IF(B349="","",IF(B349&gt;=$B$15,1-TDIST((B349-$B$15)/$B$18,$B$17,1),TDIST(($B$15-B349)/$B$18,$B$17,1)))</f>
        <v>0.346827572219129</v>
      </c>
      <c r="F349" s="21" t="n">
        <f aca="false">IF(B349="","",IF(B349&lt;$B$19,0.5*EXP((B349-$B$19)/$B$20),1-0.5*EXP(-(B349-$B$19)/$B$20)))</f>
        <v>0.307078541286178</v>
      </c>
      <c r="G349" s="21" t="n">
        <f aca="false">IF(B349="","",1/(1+EXP(-(B349-$B$15)/$B$21)))</f>
        <v>0.347646855918129</v>
      </c>
      <c r="H349" s="21" t="n">
        <f aca="false">IF(B349="","",MAX(ABS($A349/$B$6-D349),ABS(($A349-1)/$B$6-D349)))</f>
        <v>0.0522934879224595</v>
      </c>
      <c r="I349" s="21" t="n">
        <f aca="false">IF(B349="","",MAX(ABS($A349/$B$6-E349),ABS(($A349-1)/$B$6-E349)))</f>
        <v>0.0348275722191286</v>
      </c>
      <c r="J349" s="21" t="n">
        <f aca="false">IF(B349="","",MAX(ABS($A349/$B$6-F349),ABS(($A349-1)/$B$6-F349)))</f>
        <v>0.00592145871382221</v>
      </c>
      <c r="K349" s="21" t="n">
        <f aca="false">IF(B349="","",MAX(ABS($A349/$B$6-G349),ABS(($A349-1)/$B$6-G349)))</f>
        <v>0.0356468559181287</v>
      </c>
    </row>
    <row r="350" customFormat="false" ht="15" hidden="false" customHeight="false" outlineLevel="0" collapsed="false">
      <c r="A350" s="11" t="n">
        <v>314</v>
      </c>
      <c r="B350" s="9" t="n">
        <f aca="false">IF(A350&gt;$B$6,"",SMALL(BTC_Data!$C$3:$C$1002,A350))</f>
        <v>-0.000447971208750508</v>
      </c>
      <c r="C350" s="21" t="n">
        <f aca="false">IF(B350="","",A350/$B$6)</f>
        <v>0.314</v>
      </c>
      <c r="D350" s="21" t="n">
        <f aca="false">IF(B350="","",NORMDIST(B350,$B$15,$B$16,TRUE()))</f>
        <v>0.365940499735253</v>
      </c>
      <c r="E350" s="21" t="n">
        <f aca="false">IF(B350="","",IF(B350&gt;=$B$15,1-TDIST((B350-$B$15)/$B$18,$B$17,1),TDIST(($B$15-B350)/$B$18,$B$17,1)))</f>
        <v>0.348644318136436</v>
      </c>
      <c r="F350" s="21" t="n">
        <f aca="false">IF(B350="","",IF(B350&lt;$B$19,0.5*EXP((B350-$B$19)/$B$20),1-0.5*EXP(-(B350-$B$19)/$B$20)))</f>
        <v>0.308964407741052</v>
      </c>
      <c r="G350" s="21" t="n">
        <f aca="false">IF(B350="","",1/(1+EXP(-(B350-$B$15)/$B$21)))</f>
        <v>0.349451283114771</v>
      </c>
      <c r="H350" s="21" t="n">
        <f aca="false">IF(B350="","",MAX(ABS($A350/$B$6-D350),ABS(($A350-1)/$B$6-D350)))</f>
        <v>0.0529404997352526</v>
      </c>
      <c r="I350" s="21" t="n">
        <f aca="false">IF(B350="","",MAX(ABS($A350/$B$6-E350),ABS(($A350-1)/$B$6-E350)))</f>
        <v>0.0356443181364361</v>
      </c>
      <c r="J350" s="21" t="n">
        <f aca="false">IF(B350="","",MAX(ABS($A350/$B$6-F350),ABS(($A350-1)/$B$6-F350)))</f>
        <v>0.00503559225894767</v>
      </c>
      <c r="K350" s="21" t="n">
        <f aca="false">IF(B350="","",MAX(ABS($A350/$B$6-G350),ABS(($A350-1)/$B$6-G350)))</f>
        <v>0.0364512831147709</v>
      </c>
    </row>
    <row r="351" customFormat="false" ht="15" hidden="false" customHeight="false" outlineLevel="0" collapsed="false">
      <c r="A351" s="11" t="n">
        <v>315</v>
      </c>
      <c r="B351" s="9" t="n">
        <f aca="false">IF(A351&gt;$B$6,"",SMALL(BTC_Data!$C$3:$C$1002,A351))</f>
        <v>-0.000446443782664341</v>
      </c>
      <c r="C351" s="21" t="n">
        <f aca="false">IF(B351="","",A351/$B$6)</f>
        <v>0.315</v>
      </c>
      <c r="D351" s="21" t="n">
        <f aca="false">IF(B351="","",NORMDIST(B351,$B$15,$B$16,TRUE()))</f>
        <v>0.366391893392112</v>
      </c>
      <c r="E351" s="21" t="n">
        <f aca="false">IF(B351="","",IF(B351&gt;=$B$15,1-TDIST((B351-$B$15)/$B$18,$B$17,1),TDIST(($B$15-B351)/$B$18,$B$17,1)))</f>
        <v>0.349142499411551</v>
      </c>
      <c r="F351" s="21" t="n">
        <f aca="false">IF(B351="","",IF(B351&lt;$B$19,0.5*EXP((B351-$B$19)/$B$20),1-0.5*EXP(-(B351-$B$19)/$B$20)))</f>
        <v>0.309482785178056</v>
      </c>
      <c r="G351" s="21" t="n">
        <f aca="false">IF(B351="","",1/(1+EXP(-(B351-$B$15)/$B$21)))</f>
        <v>0.349946100905232</v>
      </c>
      <c r="H351" s="21" t="n">
        <f aca="false">IF(B351="","",MAX(ABS($A351/$B$6-D351),ABS(($A351-1)/$B$6-D351)))</f>
        <v>0.0523918933921123</v>
      </c>
      <c r="I351" s="21" t="n">
        <f aca="false">IF(B351="","",MAX(ABS($A351/$B$6-E351),ABS(($A351-1)/$B$6-E351)))</f>
        <v>0.0351424994115515</v>
      </c>
      <c r="J351" s="21" t="n">
        <f aca="false">IF(B351="","",MAX(ABS($A351/$B$6-F351),ABS(($A351-1)/$B$6-F351)))</f>
        <v>0.00551721482194378</v>
      </c>
      <c r="K351" s="21" t="n">
        <f aca="false">IF(B351="","",MAX(ABS($A351/$B$6-G351),ABS(($A351-1)/$B$6-G351)))</f>
        <v>0.0359461009052317</v>
      </c>
    </row>
    <row r="352" customFormat="false" ht="15" hidden="false" customHeight="false" outlineLevel="0" collapsed="false">
      <c r="A352" s="11" t="n">
        <v>316</v>
      </c>
      <c r="B352" s="9" t="n">
        <f aca="false">IF(A352&gt;$B$6,"",SMALL(BTC_Data!$C$3:$C$1002,A352))</f>
        <v>-0.000445737663554602</v>
      </c>
      <c r="C352" s="21" t="n">
        <f aca="false">IF(B352="","",A352/$B$6)</f>
        <v>0.316</v>
      </c>
      <c r="D352" s="21" t="n">
        <f aca="false">IF(B352="","",NORMDIST(B352,$B$15,$B$16,TRUE()))</f>
        <v>0.366600632272302</v>
      </c>
      <c r="E352" s="21" t="n">
        <f aca="false">IF(B352="","",IF(B352&gt;=$B$15,1-TDIST((B352-$B$15)/$B$18,$B$17,1),TDIST(($B$15-B352)/$B$18,$B$17,1)))</f>
        <v>0.349372913286134</v>
      </c>
      <c r="F352" s="21" t="n">
        <f aca="false">IF(B352="","",IF(B352&lt;$B$19,0.5*EXP((B352-$B$19)/$B$20),1-0.5*EXP(-(B352-$B$19)/$B$20)))</f>
        <v>0.309722721567303</v>
      </c>
      <c r="G352" s="21" t="n">
        <f aca="false">IF(B352="","",1/(1+EXP(-(B352-$B$15)/$B$21)))</f>
        <v>0.350174961242244</v>
      </c>
      <c r="H352" s="21" t="n">
        <f aca="false">IF(B352="","",MAX(ABS($A352/$B$6-D352),ABS(($A352-1)/$B$6-D352)))</f>
        <v>0.0516006322723017</v>
      </c>
      <c r="I352" s="21" t="n">
        <f aca="false">IF(B352="","",MAX(ABS($A352/$B$6-E352),ABS(($A352-1)/$B$6-E352)))</f>
        <v>0.0343729132861344</v>
      </c>
      <c r="J352" s="21" t="n">
        <f aca="false">IF(B352="","",MAX(ABS($A352/$B$6-F352),ABS(($A352-1)/$B$6-F352)))</f>
        <v>0.00627727843269749</v>
      </c>
      <c r="K352" s="21" t="n">
        <f aca="false">IF(B352="","",MAX(ABS($A352/$B$6-G352),ABS(($A352-1)/$B$6-G352)))</f>
        <v>0.0351749612422442</v>
      </c>
    </row>
    <row r="353" customFormat="false" ht="15" hidden="false" customHeight="false" outlineLevel="0" collapsed="false">
      <c r="A353" s="11" t="n">
        <v>317</v>
      </c>
      <c r="B353" s="9" t="n">
        <f aca="false">IF(A353&gt;$B$6,"",SMALL(BTC_Data!$C$3:$C$1002,A353))</f>
        <v>-0.000442051958711387</v>
      </c>
      <c r="C353" s="21" t="n">
        <f aca="false">IF(B353="","",A353/$B$6)</f>
        <v>0.317</v>
      </c>
      <c r="D353" s="21" t="n">
        <f aca="false">IF(B353="","",NORMDIST(B353,$B$15,$B$16,TRUE()))</f>
        <v>0.367690818483619</v>
      </c>
      <c r="E353" s="21" t="n">
        <f aca="false">IF(B353="","",IF(B353&gt;=$B$15,1-TDIST((B353-$B$15)/$B$18,$B$17,1),TDIST(($B$15-B353)/$B$18,$B$17,1)))</f>
        <v>0.350576700178161</v>
      </c>
      <c r="F353" s="21" t="n">
        <f aca="false">IF(B353="","",IF(B353&lt;$B$19,0.5*EXP((B353-$B$19)/$B$20),1-0.5*EXP(-(B353-$B$19)/$B$20)))</f>
        <v>0.310978131814791</v>
      </c>
      <c r="G353" s="21" t="n">
        <f aca="false">IF(B353="","",1/(1+EXP(-(B353-$B$15)/$B$21)))</f>
        <v>0.351370653394567</v>
      </c>
      <c r="H353" s="21" t="n">
        <f aca="false">IF(B353="","",MAX(ABS($A353/$B$6-D353),ABS(($A353-1)/$B$6-D353)))</f>
        <v>0.0516908184836188</v>
      </c>
      <c r="I353" s="21" t="n">
        <f aca="false">IF(B353="","",MAX(ABS($A353/$B$6-E353),ABS(($A353-1)/$B$6-E353)))</f>
        <v>0.0345767001781606</v>
      </c>
      <c r="J353" s="21" t="n">
        <f aca="false">IF(B353="","",MAX(ABS($A353/$B$6-F353),ABS(($A353-1)/$B$6-F353)))</f>
        <v>0.00602186818520872</v>
      </c>
      <c r="K353" s="21" t="n">
        <f aca="false">IF(B353="","",MAX(ABS($A353/$B$6-G353),ABS(($A353-1)/$B$6-G353)))</f>
        <v>0.0353706533945671</v>
      </c>
    </row>
    <row r="354" customFormat="false" ht="15" hidden="false" customHeight="false" outlineLevel="0" collapsed="false">
      <c r="A354" s="11" t="n">
        <v>318</v>
      </c>
      <c r="B354" s="9" t="n">
        <f aca="false">IF(A354&gt;$B$6,"",SMALL(BTC_Data!$C$3:$C$1002,A354))</f>
        <v>-0.00043742216349385</v>
      </c>
      <c r="C354" s="21" t="n">
        <f aca="false">IF(B354="","",A354/$B$6)</f>
        <v>0.318</v>
      </c>
      <c r="D354" s="21" t="n">
        <f aca="false">IF(B354="","",NORMDIST(B354,$B$15,$B$16,TRUE()))</f>
        <v>0.369061766163922</v>
      </c>
      <c r="E354" s="21" t="n">
        <f aca="false">IF(B354="","",IF(B354&gt;=$B$15,1-TDIST((B354-$B$15)/$B$18,$B$17,1),TDIST(($B$15-B354)/$B$18,$B$17,1)))</f>
        <v>0.35209144718329</v>
      </c>
      <c r="F354" s="21" t="n">
        <f aca="false">IF(B354="","",IF(B354&lt;$B$19,0.5*EXP((B354-$B$19)/$B$20),1-0.5*EXP(-(B354-$B$19)/$B$20)))</f>
        <v>0.312562327594052</v>
      </c>
      <c r="G354" s="21" t="n">
        <f aca="false">IF(B354="","",1/(1+EXP(-(B354-$B$15)/$B$21)))</f>
        <v>0.352875266150965</v>
      </c>
      <c r="H354" s="21" t="n">
        <f aca="false">IF(B354="","",MAX(ABS($A354/$B$6-D354),ABS(($A354-1)/$B$6-D354)))</f>
        <v>0.0520617661639219</v>
      </c>
      <c r="I354" s="21" t="n">
        <f aca="false">IF(B354="","",MAX(ABS($A354/$B$6-E354),ABS(($A354-1)/$B$6-E354)))</f>
        <v>0.0350914471832897</v>
      </c>
      <c r="J354" s="21" t="n">
        <f aca="false">IF(B354="","",MAX(ABS($A354/$B$6-F354),ABS(($A354-1)/$B$6-F354)))</f>
        <v>0.00543767240594772</v>
      </c>
      <c r="K354" s="21" t="n">
        <f aca="false">IF(B354="","",MAX(ABS($A354/$B$6-G354),ABS(($A354-1)/$B$6-G354)))</f>
        <v>0.0358752661509647</v>
      </c>
    </row>
    <row r="355" customFormat="false" ht="15" hidden="false" customHeight="false" outlineLevel="0" collapsed="false">
      <c r="A355" s="11" t="n">
        <v>319</v>
      </c>
      <c r="B355" s="9" t="n">
        <f aca="false">IF(A355&gt;$B$6,"",SMALL(BTC_Data!$C$3:$C$1002,A355))</f>
        <v>-0.0004292977454744</v>
      </c>
      <c r="C355" s="21" t="n">
        <f aca="false">IF(B355="","",A355/$B$6)</f>
        <v>0.319</v>
      </c>
      <c r="D355" s="21" t="n">
        <f aca="false">IF(B355="","",NORMDIST(B355,$B$15,$B$16,TRUE()))</f>
        <v>0.371471542147656</v>
      </c>
      <c r="E355" s="21" t="n">
        <f aca="false">IF(B355="","",IF(B355&gt;=$B$15,1-TDIST((B355-$B$15)/$B$18,$B$17,1),TDIST(($B$15-B355)/$B$18,$B$17,1)))</f>
        <v>0.354756500388228</v>
      </c>
      <c r="F355" s="21" t="n">
        <f aca="false">IF(B355="","",IF(B355&lt;$B$19,0.5*EXP((B355-$B$19)/$B$20),1-0.5*EXP(-(B355-$B$19)/$B$20)))</f>
        <v>0.315361824143575</v>
      </c>
      <c r="G355" s="21" t="n">
        <f aca="false">IF(B355="","",1/(1+EXP(-(B355-$B$15)/$B$21)))</f>
        <v>0.355522627813744</v>
      </c>
      <c r="H355" s="21" t="n">
        <f aca="false">IF(B355="","",MAX(ABS($A355/$B$6-D355),ABS(($A355-1)/$B$6-D355)))</f>
        <v>0.0534715421476559</v>
      </c>
      <c r="I355" s="21" t="n">
        <f aca="false">IF(B355="","",MAX(ABS($A355/$B$6-E355),ABS(($A355-1)/$B$6-E355)))</f>
        <v>0.0367565003882275</v>
      </c>
      <c r="J355" s="21" t="n">
        <f aca="false">IF(B355="","",MAX(ABS($A355/$B$6-F355),ABS(($A355-1)/$B$6-F355)))</f>
        <v>0.00363817585642473</v>
      </c>
      <c r="K355" s="21" t="n">
        <f aca="false">IF(B355="","",MAX(ABS($A355/$B$6-G355),ABS(($A355-1)/$B$6-G355)))</f>
        <v>0.0375226278137441</v>
      </c>
    </row>
    <row r="356" customFormat="false" ht="15" hidden="false" customHeight="false" outlineLevel="0" collapsed="false">
      <c r="A356" s="11" t="n">
        <v>320</v>
      </c>
      <c r="B356" s="9" t="n">
        <f aca="false">IF(A356&gt;$B$6,"",SMALL(BTC_Data!$C$3:$C$1002,A356))</f>
        <v>-0.000429264814008512</v>
      </c>
      <c r="C356" s="21" t="n">
        <f aca="false">IF(B356="","",A356/$B$6)</f>
        <v>0.32</v>
      </c>
      <c r="D356" s="21" t="n">
        <f aca="false">IF(B356="","",NORMDIST(B356,$B$15,$B$16,TRUE()))</f>
        <v>0.371481320250421</v>
      </c>
      <c r="E356" s="21" t="n">
        <f aca="false">IF(B356="","",IF(B356&gt;=$B$15,1-TDIST((B356-$B$15)/$B$18,$B$17,1),TDIST(($B$15-B356)/$B$18,$B$17,1)))</f>
        <v>0.354767320793939</v>
      </c>
      <c r="F356" s="21" t="n">
        <f aca="false">IF(B356="","",IF(B356&lt;$B$19,0.5*EXP((B356-$B$19)/$B$20),1-0.5*EXP(-(B356-$B$19)/$B$20)))</f>
        <v>0.315373222477918</v>
      </c>
      <c r="G356" s="21" t="n">
        <f aca="false">IF(B356="","",1/(1+EXP(-(B356-$B$15)/$B$21)))</f>
        <v>0.355533376749044</v>
      </c>
      <c r="H356" s="21" t="n">
        <f aca="false">IF(B356="","",MAX(ABS($A356/$B$6-D356),ABS(($A356-1)/$B$6-D356)))</f>
        <v>0.052481320250421</v>
      </c>
      <c r="I356" s="21" t="n">
        <f aca="false">IF(B356="","",MAX(ABS($A356/$B$6-E356),ABS(($A356-1)/$B$6-E356)))</f>
        <v>0.0357673207939387</v>
      </c>
      <c r="J356" s="21" t="n">
        <f aca="false">IF(B356="","",MAX(ABS($A356/$B$6-F356),ABS(($A356-1)/$B$6-F356)))</f>
        <v>0.0046267775220819</v>
      </c>
      <c r="K356" s="21" t="n">
        <f aca="false">IF(B356="","",MAX(ABS($A356/$B$6-G356),ABS(($A356-1)/$B$6-G356)))</f>
        <v>0.0365333767490443</v>
      </c>
    </row>
    <row r="357" customFormat="false" ht="15" hidden="false" customHeight="false" outlineLevel="0" collapsed="false">
      <c r="A357" s="11" t="n">
        <v>321</v>
      </c>
      <c r="B357" s="9" t="n">
        <f aca="false">IF(A357&gt;$B$6,"",SMALL(BTC_Data!$C$3:$C$1002,A357))</f>
        <v>-0.000427447326856401</v>
      </c>
      <c r="C357" s="21" t="n">
        <f aca="false">IF(B357="","",A357/$B$6)</f>
        <v>0.321</v>
      </c>
      <c r="D357" s="21" t="n">
        <f aca="false">IF(B357="","",NORMDIST(B357,$B$15,$B$16,TRUE()))</f>
        <v>0.372021102041106</v>
      </c>
      <c r="E357" s="21" t="n">
        <f aca="false">IF(B357="","",IF(B357&gt;=$B$15,1-TDIST((B357-$B$15)/$B$18,$B$17,1),TDIST(($B$15-B357)/$B$18,$B$17,1)))</f>
        <v>0.355364721479505</v>
      </c>
      <c r="F357" s="21" t="n">
        <f aca="false">IF(B357="","",IF(B357&lt;$B$19,0.5*EXP((B357-$B$19)/$B$20),1-0.5*EXP(-(B357-$B$19)/$B$20)))</f>
        <v>0.316002935608741</v>
      </c>
      <c r="G357" s="21" t="n">
        <f aca="false">IF(B357="","",1/(1+EXP(-(B357-$B$15)/$B$21)))</f>
        <v>0.356126836006557</v>
      </c>
      <c r="H357" s="21" t="n">
        <f aca="false">IF(B357="","",MAX(ABS($A357/$B$6-D357),ABS(($A357-1)/$B$6-D357)))</f>
        <v>0.0520211020411056</v>
      </c>
      <c r="I357" s="21" t="n">
        <f aca="false">IF(B357="","",MAX(ABS($A357/$B$6-E357),ABS(($A357-1)/$B$6-E357)))</f>
        <v>0.0353647214795045</v>
      </c>
      <c r="J357" s="21" t="n">
        <f aca="false">IF(B357="","",MAX(ABS($A357/$B$6-F357),ABS(($A357-1)/$B$6-F357)))</f>
        <v>0.00499706439125897</v>
      </c>
      <c r="K357" s="21" t="n">
        <f aca="false">IF(B357="","",MAX(ABS($A357/$B$6-G357),ABS(($A357-1)/$B$6-G357)))</f>
        <v>0.0361268360065566</v>
      </c>
    </row>
    <row r="358" customFormat="false" ht="15" hidden="false" customHeight="false" outlineLevel="0" collapsed="false">
      <c r="A358" s="11" t="n">
        <v>322</v>
      </c>
      <c r="B358" s="9" t="n">
        <f aca="false">IF(A358&gt;$B$6,"",SMALL(BTC_Data!$C$3:$C$1002,A358))</f>
        <v>-0.00042338542860243</v>
      </c>
      <c r="C358" s="21" t="n">
        <f aca="false">IF(B358="","",A358/$B$6)</f>
        <v>0.322</v>
      </c>
      <c r="D358" s="21" t="n">
        <f aca="false">IF(B358="","",NORMDIST(B358,$B$15,$B$16,TRUE()))</f>
        <v>0.373228367390337</v>
      </c>
      <c r="E358" s="21" t="n">
        <f aca="false">IF(B358="","",IF(B358&gt;=$B$15,1-TDIST((B358-$B$15)/$B$18,$B$17,1),TDIST(($B$15-B358)/$B$18,$B$17,1)))</f>
        <v>0.356701426094352</v>
      </c>
      <c r="F358" s="21" t="n">
        <f aca="false">IF(B358="","",IF(B358&lt;$B$19,0.5*EXP((B358-$B$19)/$B$20),1-0.5*EXP(-(B358-$B$19)/$B$20)))</f>
        <v>0.317414829068259</v>
      </c>
      <c r="G358" s="21" t="n">
        <f aca="false">IF(B358="","",1/(1+EXP(-(B358-$B$15)/$B$21)))</f>
        <v>0.35745475345216</v>
      </c>
      <c r="H358" s="21" t="n">
        <f aca="false">IF(B358="","",MAX(ABS($A358/$B$6-D358),ABS(($A358-1)/$B$6-D358)))</f>
        <v>0.0522283673903369</v>
      </c>
      <c r="I358" s="21" t="n">
        <f aca="false">IF(B358="","",MAX(ABS($A358/$B$6-E358),ABS(($A358-1)/$B$6-E358)))</f>
        <v>0.0357014260943522</v>
      </c>
      <c r="J358" s="21" t="n">
        <f aca="false">IF(B358="","",MAX(ABS($A358/$B$6-F358),ABS(($A358-1)/$B$6-F358)))</f>
        <v>0.0045851709317411</v>
      </c>
      <c r="K358" s="21" t="n">
        <f aca="false">IF(B358="","",MAX(ABS($A358/$B$6-G358),ABS(($A358-1)/$B$6-G358)))</f>
        <v>0.0364547534521603</v>
      </c>
    </row>
    <row r="359" customFormat="false" ht="15" hidden="false" customHeight="false" outlineLevel="0" collapsed="false">
      <c r="A359" s="11" t="n">
        <v>323</v>
      </c>
      <c r="B359" s="9" t="n">
        <f aca="false">IF(A359&gt;$B$6,"",SMALL(BTC_Data!$C$3:$C$1002,A359))</f>
        <v>-0.000422800467472895</v>
      </c>
      <c r="C359" s="21" t="n">
        <f aca="false">IF(B359="","",A359/$B$6)</f>
        <v>0.323</v>
      </c>
      <c r="D359" s="21" t="n">
        <f aca="false">IF(B359="","",NORMDIST(B359,$B$15,$B$16,TRUE()))</f>
        <v>0.373402330688958</v>
      </c>
      <c r="E359" s="21" t="n">
        <f aca="false">IF(B359="","",IF(B359&gt;=$B$15,1-TDIST((B359-$B$15)/$B$18,$B$17,1),TDIST(($B$15-B359)/$B$18,$B$17,1)))</f>
        <v>0.356894105821205</v>
      </c>
      <c r="F359" s="21" t="n">
        <f aca="false">IF(B359="","",IF(B359&lt;$B$19,0.5*EXP((B359-$B$19)/$B$20),1-0.5*EXP(-(B359-$B$19)/$B$20)))</f>
        <v>0.317618677324044</v>
      </c>
      <c r="G359" s="21" t="n">
        <f aca="false">IF(B359="","",1/(1+EXP(-(B359-$B$15)/$B$21)))</f>
        <v>0.357646170179295</v>
      </c>
      <c r="H359" s="21" t="n">
        <f aca="false">IF(B359="","",MAX(ABS($A359/$B$6-D359),ABS(($A359-1)/$B$6-D359)))</f>
        <v>0.0514023306889576</v>
      </c>
      <c r="I359" s="21" t="n">
        <f aca="false">IF(B359="","",MAX(ABS($A359/$B$6-E359),ABS(($A359-1)/$B$6-E359)))</f>
        <v>0.0348941058212054</v>
      </c>
      <c r="J359" s="21" t="n">
        <f aca="false">IF(B359="","",MAX(ABS($A359/$B$6-F359),ABS(($A359-1)/$B$6-F359)))</f>
        <v>0.00538132267595609</v>
      </c>
      <c r="K359" s="21" t="n">
        <f aca="false">IF(B359="","",MAX(ABS($A359/$B$6-G359),ABS(($A359-1)/$B$6-G359)))</f>
        <v>0.0356461701792952</v>
      </c>
    </row>
    <row r="360" customFormat="false" ht="15" hidden="false" customHeight="false" outlineLevel="0" collapsed="false">
      <c r="A360" s="11" t="n">
        <v>324</v>
      </c>
      <c r="B360" s="9" t="n">
        <f aca="false">IF(A360&gt;$B$6,"",SMALL(BTC_Data!$C$3:$C$1002,A360))</f>
        <v>-0.00041899743235041</v>
      </c>
      <c r="C360" s="21" t="n">
        <f aca="false">IF(B360="","",A360/$B$6)</f>
        <v>0.324</v>
      </c>
      <c r="D360" s="21" t="n">
        <f aca="false">IF(B360="","",NORMDIST(B360,$B$15,$B$16,TRUE()))</f>
        <v>0.374533954190775</v>
      </c>
      <c r="E360" s="21" t="n">
        <f aca="false">IF(B360="","",IF(B360&gt;=$B$15,1-TDIST((B360-$B$15)/$B$18,$B$17,1),TDIST(($B$15-B360)/$B$18,$B$17,1)))</f>
        <v>0.358147873657601</v>
      </c>
      <c r="F360" s="21" t="n">
        <f aca="false">IF(B360="","",IF(B360&lt;$B$19,0.5*EXP((B360-$B$19)/$B$20),1-0.5*EXP(-(B360-$B$19)/$B$20)))</f>
        <v>0.318947161544045</v>
      </c>
      <c r="G360" s="21" t="n">
        <f aca="false">IF(B360="","",1/(1+EXP(-(B360-$B$15)/$B$21)))</f>
        <v>0.358891741944935</v>
      </c>
      <c r="H360" s="21" t="n">
        <f aca="false">IF(B360="","",MAX(ABS($A360/$B$6-D360),ABS(($A360-1)/$B$6-D360)))</f>
        <v>0.0515339541907746</v>
      </c>
      <c r="I360" s="21" t="n">
        <f aca="false">IF(B360="","",MAX(ABS($A360/$B$6-E360),ABS(($A360-1)/$B$6-E360)))</f>
        <v>0.0351478736576007</v>
      </c>
      <c r="J360" s="21" t="n">
        <f aca="false">IF(B360="","",MAX(ABS($A360/$B$6-F360),ABS(($A360-1)/$B$6-F360)))</f>
        <v>0.00505283845595522</v>
      </c>
      <c r="K360" s="21" t="n">
        <f aca="false">IF(B360="","",MAX(ABS($A360/$B$6-G360),ABS(($A360-1)/$B$6-G360)))</f>
        <v>0.0358917419449346</v>
      </c>
    </row>
    <row r="361" customFormat="false" ht="15" hidden="false" customHeight="false" outlineLevel="0" collapsed="false">
      <c r="A361" s="11" t="n">
        <v>325</v>
      </c>
      <c r="B361" s="9" t="n">
        <f aca="false">IF(A361&gt;$B$6,"",SMALL(BTC_Data!$C$3:$C$1002,A361))</f>
        <v>-0.000417438324705643</v>
      </c>
      <c r="C361" s="21" t="n">
        <f aca="false">IF(B361="","",A361/$B$6)</f>
        <v>0.325</v>
      </c>
      <c r="D361" s="21" t="n">
        <f aca="false">IF(B361="","",NORMDIST(B361,$B$15,$B$16,TRUE()))</f>
        <v>0.37499819227333</v>
      </c>
      <c r="E361" s="21" t="n">
        <f aca="false">IF(B361="","",IF(B361&gt;=$B$15,1-TDIST((B361-$B$15)/$B$18,$B$17,1),TDIST(($B$15-B361)/$B$18,$B$17,1)))</f>
        <v>0.358662417405681</v>
      </c>
      <c r="F361" s="21" t="n">
        <f aca="false">IF(B361="","",IF(B361&lt;$B$19,0.5*EXP((B361-$B$19)/$B$20),1-0.5*EXP(-(B361-$B$19)/$B$20)))</f>
        <v>0.319493396928278</v>
      </c>
      <c r="G361" s="21" t="n">
        <f aca="false">IF(B361="","",1/(1+EXP(-(B361-$B$15)/$B$21)))</f>
        <v>0.359402933194668</v>
      </c>
      <c r="H361" s="21" t="n">
        <f aca="false">IF(B361="","",MAX(ABS($A361/$B$6-D361),ABS(($A361-1)/$B$6-D361)))</f>
        <v>0.0509981922733296</v>
      </c>
      <c r="I361" s="21" t="n">
        <f aca="false">IF(B361="","",MAX(ABS($A361/$B$6-E361),ABS(($A361-1)/$B$6-E361)))</f>
        <v>0.0346624174056805</v>
      </c>
      <c r="J361" s="21" t="n">
        <f aca="false">IF(B361="","",MAX(ABS($A361/$B$6-F361),ABS(($A361-1)/$B$6-F361)))</f>
        <v>0.00550660307172213</v>
      </c>
      <c r="K361" s="21" t="n">
        <f aca="false">IF(B361="","",MAX(ABS($A361/$B$6-G361),ABS(($A361-1)/$B$6-G361)))</f>
        <v>0.0354029331946679</v>
      </c>
    </row>
    <row r="362" customFormat="false" ht="15" hidden="false" customHeight="false" outlineLevel="0" collapsed="false">
      <c r="A362" s="11" t="n">
        <v>326</v>
      </c>
      <c r="B362" s="9" t="n">
        <f aca="false">IF(A362&gt;$B$6,"",SMALL(BTC_Data!$C$3:$C$1002,A362))</f>
        <v>-0.000417402268225175</v>
      </c>
      <c r="C362" s="21" t="n">
        <f aca="false">IF(B362="","",A362/$B$6)</f>
        <v>0.326</v>
      </c>
      <c r="D362" s="21" t="n">
        <f aca="false">IF(B362="","",NORMDIST(B362,$B$15,$B$16,TRUE()))</f>
        <v>0.375008930554901</v>
      </c>
      <c r="E362" s="21" t="n">
        <f aca="false">IF(B362="","",IF(B362&gt;=$B$15,1-TDIST((B362-$B$15)/$B$18,$B$17,1),TDIST(($B$15-B362)/$B$18,$B$17,1)))</f>
        <v>0.358674320657786</v>
      </c>
      <c r="F362" s="21" t="n">
        <f aca="false">IF(B362="","",IF(B362&lt;$B$19,0.5*EXP((B362-$B$19)/$B$20),1-0.5*EXP(-(B362-$B$19)/$B$20)))</f>
        <v>0.319506040424225</v>
      </c>
      <c r="G362" s="21" t="n">
        <f aca="false">IF(B362="","",1/(1+EXP(-(B362-$B$15)/$B$21)))</f>
        <v>0.35941475896806</v>
      </c>
      <c r="H362" s="21" t="n">
        <f aca="false">IF(B362="","",MAX(ABS($A362/$B$6-D362),ABS(($A362-1)/$B$6-D362)))</f>
        <v>0.0500089305549008</v>
      </c>
      <c r="I362" s="21" t="n">
        <f aca="false">IF(B362="","",MAX(ABS($A362/$B$6-E362),ABS(($A362-1)/$B$6-E362)))</f>
        <v>0.033674320657786</v>
      </c>
      <c r="J362" s="21" t="n">
        <f aca="false">IF(B362="","",MAX(ABS($A362/$B$6-F362),ABS(($A362-1)/$B$6-F362)))</f>
        <v>0.00649395957577481</v>
      </c>
      <c r="K362" s="21" t="n">
        <f aca="false">IF(B362="","",MAX(ABS($A362/$B$6-G362),ABS(($A362-1)/$B$6-G362)))</f>
        <v>0.0344147589680601</v>
      </c>
    </row>
    <row r="363" customFormat="false" ht="15" hidden="false" customHeight="false" outlineLevel="0" collapsed="false">
      <c r="A363" s="11" t="n">
        <v>327</v>
      </c>
      <c r="B363" s="9" t="n">
        <f aca="false">IF(A363&gt;$B$6,"",SMALL(BTC_Data!$C$3:$C$1002,A363))</f>
        <v>-0.000413177328637104</v>
      </c>
      <c r="C363" s="21" t="n">
        <f aca="false">IF(B363="","",A363/$B$6)</f>
        <v>0.327</v>
      </c>
      <c r="D363" s="21" t="n">
        <f aca="false">IF(B363="","",NORMDIST(B363,$B$15,$B$16,TRUE()))</f>
        <v>0.376267863847264</v>
      </c>
      <c r="E363" s="21" t="n">
        <f aca="false">IF(B363="","",IF(B363&gt;=$B$15,1-TDIST((B363-$B$15)/$B$18,$B$17,1),TDIST(($B$15-B363)/$B$18,$B$17,1)))</f>
        <v>0.360070254187525</v>
      </c>
      <c r="F363" s="21" t="n">
        <f aca="false">IF(B363="","",IF(B363&lt;$B$19,0.5*EXP((B363-$B$19)/$B$20),1-0.5*EXP(-(B363-$B$19)/$B$20)))</f>
        <v>0.320991019147942</v>
      </c>
      <c r="G363" s="21" t="n">
        <f aca="false">IF(B363="","",1/(1+EXP(-(B363-$B$15)/$B$21)))</f>
        <v>0.360801630305797</v>
      </c>
      <c r="H363" s="21" t="n">
        <f aca="false">IF(B363="","",MAX(ABS($A363/$B$6-D363),ABS(($A363-1)/$B$6-D363)))</f>
        <v>0.0502678638472636</v>
      </c>
      <c r="I363" s="21" t="n">
        <f aca="false">IF(B363="","",MAX(ABS($A363/$B$6-E363),ABS(($A363-1)/$B$6-E363)))</f>
        <v>0.0340702541875248</v>
      </c>
      <c r="J363" s="21" t="n">
        <f aca="false">IF(B363="","",MAX(ABS($A363/$B$6-F363),ABS(($A363-1)/$B$6-F363)))</f>
        <v>0.00600898085205814</v>
      </c>
      <c r="K363" s="21" t="n">
        <f aca="false">IF(B363="","",MAX(ABS($A363/$B$6-G363),ABS(($A363-1)/$B$6-G363)))</f>
        <v>0.0348016303057974</v>
      </c>
    </row>
    <row r="364" customFormat="false" ht="15" hidden="false" customHeight="false" outlineLevel="0" collapsed="false">
      <c r="A364" s="11" t="n">
        <v>328</v>
      </c>
      <c r="B364" s="9" t="n">
        <f aca="false">IF(A364&gt;$B$6,"",SMALL(BTC_Data!$C$3:$C$1002,A364))</f>
        <v>-0.000412374784320213</v>
      </c>
      <c r="C364" s="21" t="n">
        <f aca="false">IF(B364="","",A364/$B$6)</f>
        <v>0.328</v>
      </c>
      <c r="D364" s="21" t="n">
        <f aca="false">IF(B364="","",NORMDIST(B364,$B$15,$B$16,TRUE()))</f>
        <v>0.376507152623915</v>
      </c>
      <c r="E364" s="21" t="n">
        <f aca="false">IF(B364="","",IF(B364&gt;=$B$15,1-TDIST((B364-$B$15)/$B$18,$B$17,1),TDIST(($B$15-B364)/$B$18,$B$17,1)))</f>
        <v>0.360335677144832</v>
      </c>
      <c r="F364" s="21" t="n">
        <f aca="false">IF(B364="","",IF(B364&lt;$B$19,0.5*EXP((B364-$B$19)/$B$20),1-0.5*EXP(-(B364-$B$19)/$B$20)))</f>
        <v>0.321273875897454</v>
      </c>
      <c r="G364" s="21" t="n">
        <f aca="false">IF(B364="","",1/(1+EXP(-(B364-$B$15)/$B$21)))</f>
        <v>0.361065335550101</v>
      </c>
      <c r="H364" s="21" t="n">
        <f aca="false">IF(B364="","",MAX(ABS($A364/$B$6-D364),ABS(($A364-1)/$B$6-D364)))</f>
        <v>0.0495071526239148</v>
      </c>
      <c r="I364" s="21" t="n">
        <f aca="false">IF(B364="","",MAX(ABS($A364/$B$6-E364),ABS(($A364-1)/$B$6-E364)))</f>
        <v>0.0333356771448319</v>
      </c>
      <c r="J364" s="21" t="n">
        <f aca="false">IF(B364="","",MAX(ABS($A364/$B$6-F364),ABS(($A364-1)/$B$6-F364)))</f>
        <v>0.00672612410254653</v>
      </c>
      <c r="K364" s="21" t="n">
        <f aca="false">IF(B364="","",MAX(ABS($A364/$B$6-G364),ABS(($A364-1)/$B$6-G364)))</f>
        <v>0.0340653355501011</v>
      </c>
    </row>
    <row r="365" customFormat="false" ht="15" hidden="false" customHeight="false" outlineLevel="0" collapsed="false">
      <c r="A365" s="11" t="n">
        <v>329</v>
      </c>
      <c r="B365" s="9" t="n">
        <f aca="false">IF(A365&gt;$B$6,"",SMALL(BTC_Data!$C$3:$C$1002,A365))</f>
        <v>-0.0004100146858248</v>
      </c>
      <c r="C365" s="21" t="n">
        <f aca="false">IF(B365="","",A365/$B$6)</f>
        <v>0.329</v>
      </c>
      <c r="D365" s="21" t="n">
        <f aca="false">IF(B365="","",NORMDIST(B365,$B$15,$B$16,TRUE()))</f>
        <v>0.377211120664723</v>
      </c>
      <c r="E365" s="21" t="n">
        <f aca="false">IF(B365="","",IF(B365&gt;=$B$15,1-TDIST((B365-$B$15)/$B$18,$B$17,1),TDIST(($B$15-B365)/$B$18,$B$17,1)))</f>
        <v>0.361116703258473</v>
      </c>
      <c r="F365" s="21" t="n">
        <f aca="false">IF(B365="","",IF(B365&lt;$B$19,0.5*EXP((B365-$B$19)/$B$20),1-0.5*EXP(-(B365-$B$19)/$B$20)))</f>
        <v>0.322107137733917</v>
      </c>
      <c r="G365" s="21" t="n">
        <f aca="false">IF(B365="","",1/(1+EXP(-(B365-$B$15)/$B$21)))</f>
        <v>0.361841317101274</v>
      </c>
      <c r="H365" s="21" t="n">
        <f aca="false">IF(B365="","",MAX(ABS($A365/$B$6-D365),ABS(($A365-1)/$B$6-D365)))</f>
        <v>0.0492111206647232</v>
      </c>
      <c r="I365" s="21" t="n">
        <f aca="false">IF(B365="","",MAX(ABS($A365/$B$6-E365),ABS(($A365-1)/$B$6-E365)))</f>
        <v>0.033116703258473</v>
      </c>
      <c r="J365" s="21" t="n">
        <f aca="false">IF(B365="","",MAX(ABS($A365/$B$6-F365),ABS(($A365-1)/$B$6-F365)))</f>
        <v>0.00689286226608299</v>
      </c>
      <c r="K365" s="21" t="n">
        <f aca="false">IF(B365="","",MAX(ABS($A365/$B$6-G365),ABS(($A365-1)/$B$6-G365)))</f>
        <v>0.0338413171012741</v>
      </c>
    </row>
    <row r="366" customFormat="false" ht="15" hidden="false" customHeight="false" outlineLevel="0" collapsed="false">
      <c r="A366" s="11" t="n">
        <v>330</v>
      </c>
      <c r="B366" s="9" t="n">
        <f aca="false">IF(A366&gt;$B$6,"",SMALL(BTC_Data!$C$3:$C$1002,A366))</f>
        <v>-0.000409733488470954</v>
      </c>
      <c r="C366" s="21" t="n">
        <f aca="false">IF(B366="","",A366/$B$6)</f>
        <v>0.33</v>
      </c>
      <c r="D366" s="21" t="n">
        <f aca="false">IF(B366="","",NORMDIST(B366,$B$15,$B$16,TRUE()))</f>
        <v>0.377295023221365</v>
      </c>
      <c r="E366" s="21" t="n">
        <f aca="false">IF(B366="","",IF(B366&gt;=$B$15,1-TDIST((B366-$B$15)/$B$18,$B$17,1),TDIST(($B$15-B366)/$B$18,$B$17,1)))</f>
        <v>0.361209807215847</v>
      </c>
      <c r="F366" s="21" t="n">
        <f aca="false">IF(B366="","",IF(B366&lt;$B$19,0.5*EXP((B366-$B$19)/$B$20),1-0.5*EXP(-(B366-$B$19)/$B$20)))</f>
        <v>0.322206561900076</v>
      </c>
      <c r="G366" s="21" t="n">
        <f aca="false">IF(B366="","",1/(1+EXP(-(B366-$B$15)/$B$21)))</f>
        <v>0.361933820697985</v>
      </c>
      <c r="H366" s="21" t="n">
        <f aca="false">IF(B366="","",MAX(ABS($A366/$B$6-D366),ABS(($A366-1)/$B$6-D366)))</f>
        <v>0.0482950232213653</v>
      </c>
      <c r="I366" s="21" t="n">
        <f aca="false">IF(B366="","",MAX(ABS($A366/$B$6-E366),ABS(($A366-1)/$B$6-E366)))</f>
        <v>0.0322098072158474</v>
      </c>
      <c r="J366" s="21" t="n">
        <f aca="false">IF(B366="","",MAX(ABS($A366/$B$6-F366),ABS(($A366-1)/$B$6-F366)))</f>
        <v>0.00779343809992383</v>
      </c>
      <c r="K366" s="21" t="n">
        <f aca="false">IF(B366="","",MAX(ABS($A366/$B$6-G366),ABS(($A366-1)/$B$6-G366)))</f>
        <v>0.0329338206979846</v>
      </c>
    </row>
    <row r="367" customFormat="false" ht="15" hidden="false" customHeight="false" outlineLevel="0" collapsed="false">
      <c r="A367" s="11" t="n">
        <v>331</v>
      </c>
      <c r="B367" s="9" t="n">
        <f aca="false">IF(A367&gt;$B$6,"",SMALL(BTC_Data!$C$3:$C$1002,A367))</f>
        <v>-0.000409699347729053</v>
      </c>
      <c r="C367" s="21" t="n">
        <f aca="false">IF(B367="","",A367/$B$6)</f>
        <v>0.331</v>
      </c>
      <c r="D367" s="21" t="n">
        <f aca="false">IF(B367="","",NORMDIST(B367,$B$15,$B$16,TRUE()))</f>
        <v>0.377305210395599</v>
      </c>
      <c r="E367" s="21" t="n">
        <f aca="false">IF(B367="","",IF(B367&gt;=$B$15,1-TDIST((B367-$B$15)/$B$18,$B$17,1),TDIST(($B$15-B367)/$B$18,$B$17,1)))</f>
        <v>0.361221111843262</v>
      </c>
      <c r="F367" s="21" t="n">
        <f aca="false">IF(B367="","",IF(B367&lt;$B$19,0.5*EXP((B367-$B$19)/$B$20),1-0.5*EXP(-(B367-$B$19)/$B$20)))</f>
        <v>0.322218635279054</v>
      </c>
      <c r="G367" s="21" t="n">
        <f aca="false">IF(B367="","",1/(1+EXP(-(B367-$B$15)/$B$21)))</f>
        <v>0.361945052444271</v>
      </c>
      <c r="H367" s="21" t="n">
        <f aca="false">IF(B367="","",MAX(ABS($A367/$B$6-D367),ABS(($A367-1)/$B$6-D367)))</f>
        <v>0.0473052103955986</v>
      </c>
      <c r="I367" s="21" t="n">
        <f aca="false">IF(B367="","",MAX(ABS($A367/$B$6-E367),ABS(($A367-1)/$B$6-E367)))</f>
        <v>0.0312211118432615</v>
      </c>
      <c r="J367" s="21" t="n">
        <f aca="false">IF(B367="","",MAX(ABS($A367/$B$6-F367),ABS(($A367-1)/$B$6-F367)))</f>
        <v>0.00878136472094598</v>
      </c>
      <c r="K367" s="21" t="n">
        <f aca="false">IF(B367="","",MAX(ABS($A367/$B$6-G367),ABS(($A367-1)/$B$6-G367)))</f>
        <v>0.0319450524442711</v>
      </c>
    </row>
    <row r="368" customFormat="false" ht="15" hidden="false" customHeight="false" outlineLevel="0" collapsed="false">
      <c r="A368" s="11" t="n">
        <v>332</v>
      </c>
      <c r="B368" s="9" t="n">
        <f aca="false">IF(A368&gt;$B$6,"",SMALL(BTC_Data!$C$3:$C$1002,A368))</f>
        <v>-0.000408332090353514</v>
      </c>
      <c r="C368" s="21" t="n">
        <f aca="false">IF(B368="","",A368/$B$6)</f>
        <v>0.332</v>
      </c>
      <c r="D368" s="21" t="n">
        <f aca="false">IF(B368="","",NORMDIST(B368,$B$15,$B$16,TRUE()))</f>
        <v>0.377713253156347</v>
      </c>
      <c r="E368" s="21" t="n">
        <f aca="false">IF(B368="","",IF(B368&gt;=$B$15,1-TDIST((B368-$B$15)/$B$18,$B$17,1),TDIST(($B$15-B368)/$B$18,$B$17,1)))</f>
        <v>0.361673958002441</v>
      </c>
      <c r="F368" s="21" t="n">
        <f aca="false">IF(B368="","",IF(B368&lt;$B$19,0.5*EXP((B368-$B$19)/$B$20),1-0.5*EXP(-(B368-$B$19)/$B$20)))</f>
        <v>0.322702518074592</v>
      </c>
      <c r="G368" s="21" t="n">
        <f aca="false">IF(B368="","",1/(1+EXP(-(B368-$B$15)/$B$21)))</f>
        <v>0.362394981642875</v>
      </c>
      <c r="H368" s="21" t="n">
        <f aca="false">IF(B368="","",MAX(ABS($A368/$B$6-D368),ABS(($A368-1)/$B$6-D368)))</f>
        <v>0.0467132531563474</v>
      </c>
      <c r="I368" s="21" t="n">
        <f aca="false">IF(B368="","",MAX(ABS($A368/$B$6-E368),ABS(($A368-1)/$B$6-E368)))</f>
        <v>0.0306739580024406</v>
      </c>
      <c r="J368" s="21" t="n">
        <f aca="false">IF(B368="","",MAX(ABS($A368/$B$6-F368),ABS(($A368-1)/$B$6-F368)))</f>
        <v>0.00929748192540814</v>
      </c>
      <c r="K368" s="21" t="n">
        <f aca="false">IF(B368="","",MAX(ABS($A368/$B$6-G368),ABS(($A368-1)/$B$6-G368)))</f>
        <v>0.0313949816428745</v>
      </c>
    </row>
    <row r="369" customFormat="false" ht="15" hidden="false" customHeight="false" outlineLevel="0" collapsed="false">
      <c r="A369" s="11" t="n">
        <v>333</v>
      </c>
      <c r="B369" s="9" t="n">
        <f aca="false">IF(A369&gt;$B$6,"",SMALL(BTC_Data!$C$3:$C$1002,A369))</f>
        <v>-0.000407326599404123</v>
      </c>
      <c r="C369" s="21" t="n">
        <f aca="false">IF(B369="","",A369/$B$6)</f>
        <v>0.333</v>
      </c>
      <c r="D369" s="21" t="n">
        <f aca="false">IF(B369="","",NORMDIST(B369,$B$15,$B$16,TRUE()))</f>
        <v>0.378013417882572</v>
      </c>
      <c r="E369" s="21" t="n">
        <f aca="false">IF(B369="","",IF(B369&gt;=$B$15,1-TDIST((B369-$B$15)/$B$18,$B$17,1),TDIST(($B$15-B369)/$B$18,$B$17,1)))</f>
        <v>0.362007136123594</v>
      </c>
      <c r="F369" s="21" t="n">
        <f aca="false">IF(B369="","",IF(B369&lt;$B$19,0.5*EXP((B369-$B$19)/$B$20),1-0.5*EXP(-(B369-$B$19)/$B$20)))</f>
        <v>0.323058832607391</v>
      </c>
      <c r="G369" s="21" t="n">
        <f aca="false">IF(B369="","",1/(1+EXP(-(B369-$B$15)/$B$21)))</f>
        <v>0.362726016802181</v>
      </c>
      <c r="H369" s="21" t="n">
        <f aca="false">IF(B369="","",MAX(ABS($A369/$B$6-D369),ABS(($A369-1)/$B$6-D369)))</f>
        <v>0.0460134178825716</v>
      </c>
      <c r="I369" s="21" t="n">
        <f aca="false">IF(B369="","",MAX(ABS($A369/$B$6-E369),ABS(($A369-1)/$B$6-E369)))</f>
        <v>0.0300071361235942</v>
      </c>
      <c r="J369" s="21" t="n">
        <f aca="false">IF(B369="","",MAX(ABS($A369/$B$6-F369),ABS(($A369-1)/$B$6-F369)))</f>
        <v>0.00994116739260925</v>
      </c>
      <c r="K369" s="21" t="n">
        <f aca="false">IF(B369="","",MAX(ABS($A369/$B$6-G369),ABS(($A369-1)/$B$6-G369)))</f>
        <v>0.0307260168021811</v>
      </c>
    </row>
    <row r="370" customFormat="false" ht="15" hidden="false" customHeight="false" outlineLevel="0" collapsed="false">
      <c r="A370" s="11" t="n">
        <v>334</v>
      </c>
      <c r="B370" s="9" t="n">
        <f aca="false">IF(A370&gt;$B$6,"",SMALL(BTC_Data!$C$3:$C$1002,A370))</f>
        <v>-0.000406173028754453</v>
      </c>
      <c r="C370" s="21" t="n">
        <f aca="false">IF(B370="","",A370/$B$6)</f>
        <v>0.334</v>
      </c>
      <c r="D370" s="21" t="n">
        <f aca="false">IF(B370="","",NORMDIST(B370,$B$15,$B$16,TRUE()))</f>
        <v>0.378357878899661</v>
      </c>
      <c r="E370" s="21" t="n">
        <f aca="false">IF(B370="","",IF(B370&gt;=$B$15,1-TDIST((B370-$B$15)/$B$18,$B$17,1),TDIST(($B$15-B370)/$B$18,$B$17,1)))</f>
        <v>0.362389539809268</v>
      </c>
      <c r="F370" s="21" t="n">
        <f aca="false">IF(B370="","",IF(B370&lt;$B$19,0.5*EXP((B370-$B$19)/$B$20),1-0.5*EXP(-(B370-$B$19)/$B$20)))</f>
        <v>0.323468106583832</v>
      </c>
      <c r="G370" s="21" t="n">
        <f aca="false">IF(B370="","",1/(1+EXP(-(B370-$B$15)/$B$21)))</f>
        <v>0.363105964220451</v>
      </c>
      <c r="H370" s="21" t="n">
        <f aca="false">IF(B370="","",MAX(ABS($A370/$B$6-D370),ABS(($A370-1)/$B$6-D370)))</f>
        <v>0.0453578788996606</v>
      </c>
      <c r="I370" s="21" t="n">
        <f aca="false">IF(B370="","",MAX(ABS($A370/$B$6-E370),ABS(($A370-1)/$B$6-E370)))</f>
        <v>0.029389539809268</v>
      </c>
      <c r="J370" s="21" t="n">
        <f aca="false">IF(B370="","",MAX(ABS($A370/$B$6-F370),ABS(($A370-1)/$B$6-F370)))</f>
        <v>0.0105318934161684</v>
      </c>
      <c r="K370" s="21" t="n">
        <f aca="false">IF(B370="","",MAX(ABS($A370/$B$6-G370),ABS(($A370-1)/$B$6-G370)))</f>
        <v>0.0301059642204507</v>
      </c>
    </row>
    <row r="371" customFormat="false" ht="15" hidden="false" customHeight="false" outlineLevel="0" collapsed="false">
      <c r="A371" s="11" t="n">
        <v>335</v>
      </c>
      <c r="B371" s="9" t="n">
        <f aca="false">IF(A371&gt;$B$6,"",SMALL(BTC_Data!$C$3:$C$1002,A371))</f>
        <v>-0.000404099110748457</v>
      </c>
      <c r="C371" s="21" t="n">
        <f aca="false">IF(B371="","",A371/$B$6)</f>
        <v>0.335</v>
      </c>
      <c r="D371" s="21" t="n">
        <f aca="false">IF(B371="","",NORMDIST(B371,$B$15,$B$16,TRUE()))</f>
        <v>0.378977402503298</v>
      </c>
      <c r="E371" s="21" t="n">
        <f aca="false">IF(B371="","",IF(B371&gt;=$B$15,1-TDIST((B371-$B$15)/$B$18,$B$17,1),TDIST(($B$15-B371)/$B$18,$B$17,1)))</f>
        <v>0.363077458262611</v>
      </c>
      <c r="F371" s="21" t="n">
        <f aca="false">IF(B371="","",IF(B371&lt;$B$19,0.5*EXP((B371-$B$19)/$B$20),1-0.5*EXP(-(B371-$B$19)/$B$20)))</f>
        <v>0.324205213978518</v>
      </c>
      <c r="G371" s="21" t="n">
        <f aca="false">IF(B371="","",1/(1+EXP(-(B371-$B$15)/$B$21)))</f>
        <v>0.363789472898487</v>
      </c>
      <c r="H371" s="21" t="n">
        <f aca="false">IF(B371="","",MAX(ABS($A371/$B$6-D371),ABS(($A371-1)/$B$6-D371)))</f>
        <v>0.044977402503298</v>
      </c>
      <c r="I371" s="21" t="n">
        <f aca="false">IF(B371="","",MAX(ABS($A371/$B$6-E371),ABS(($A371-1)/$B$6-E371)))</f>
        <v>0.0290774582626113</v>
      </c>
      <c r="J371" s="21" t="n">
        <f aca="false">IF(B371="","",MAX(ABS($A371/$B$6-F371),ABS(($A371-1)/$B$6-F371)))</f>
        <v>0.0107947860214823</v>
      </c>
      <c r="K371" s="21" t="n">
        <f aca="false">IF(B371="","",MAX(ABS($A371/$B$6-G371),ABS(($A371-1)/$B$6-G371)))</f>
        <v>0.0297894728984867</v>
      </c>
    </row>
    <row r="372" customFormat="false" ht="15" hidden="false" customHeight="false" outlineLevel="0" collapsed="false">
      <c r="A372" s="11" t="n">
        <v>336</v>
      </c>
      <c r="B372" s="9" t="n">
        <f aca="false">IF(A372&gt;$B$6,"",SMALL(BTC_Data!$C$3:$C$1002,A372))</f>
        <v>-0.000397356219496103</v>
      </c>
      <c r="C372" s="21" t="n">
        <f aca="false">IF(B372="","",A372/$B$6)</f>
        <v>0.336</v>
      </c>
      <c r="D372" s="21" t="n">
        <f aca="false">IF(B372="","",NORMDIST(B372,$B$15,$B$16,TRUE()))</f>
        <v>0.380993790105688</v>
      </c>
      <c r="E372" s="21" t="n">
        <f aca="false">IF(B372="","",IF(B372&gt;=$B$15,1-TDIST((B372-$B$15)/$B$18,$B$17,1),TDIST(($B$15-B372)/$B$18,$B$17,1)))</f>
        <v>0.365317811255185</v>
      </c>
      <c r="F372" s="21" t="n">
        <f aca="false">IF(B372="","",IF(B372&lt;$B$19,0.5*EXP((B372-$B$19)/$B$20),1-0.5*EXP(-(B372-$B$19)/$B$20)))</f>
        <v>0.326613385939357</v>
      </c>
      <c r="G372" s="21" t="n">
        <f aca="false">IF(B372="","",1/(1+EXP(-(B372-$B$15)/$B$21)))</f>
        <v>0.36601554335153</v>
      </c>
      <c r="H372" s="21" t="n">
        <f aca="false">IF(B372="","",MAX(ABS($A372/$B$6-D372),ABS(($A372-1)/$B$6-D372)))</f>
        <v>0.0459937901056878</v>
      </c>
      <c r="I372" s="21" t="n">
        <f aca="false">IF(B372="","",MAX(ABS($A372/$B$6-E372),ABS(($A372-1)/$B$6-E372)))</f>
        <v>0.0303178112551851</v>
      </c>
      <c r="J372" s="21" t="n">
        <f aca="false">IF(B372="","",MAX(ABS($A372/$B$6-F372),ABS(($A372-1)/$B$6-F372)))</f>
        <v>0.00938661406064351</v>
      </c>
      <c r="K372" s="21" t="n">
        <f aca="false">IF(B372="","",MAX(ABS($A372/$B$6-G372),ABS(($A372-1)/$B$6-G372)))</f>
        <v>0.0310155433515301</v>
      </c>
    </row>
    <row r="373" customFormat="false" ht="15" hidden="false" customHeight="false" outlineLevel="0" collapsed="false">
      <c r="A373" s="11" t="n">
        <v>337</v>
      </c>
      <c r="B373" s="9" t="n">
        <f aca="false">IF(A373&gt;$B$6,"",SMALL(BTC_Data!$C$3:$C$1002,A373))</f>
        <v>-0.000394677444521596</v>
      </c>
      <c r="C373" s="21" t="n">
        <f aca="false">IF(B373="","",A373/$B$6)</f>
        <v>0.337</v>
      </c>
      <c r="D373" s="21" t="n">
        <f aca="false">IF(B373="","",NORMDIST(B373,$B$15,$B$16,TRUE()))</f>
        <v>0.381795749590836</v>
      </c>
      <c r="E373" s="21" t="n">
        <f aca="false">IF(B373="","",IF(B373&gt;=$B$15,1-TDIST((B373-$B$15)/$B$18,$B$17,1),TDIST(($B$15-B373)/$B$18,$B$17,1)))</f>
        <v>0.366209418626541</v>
      </c>
      <c r="F373" s="21" t="n">
        <f aca="false">IF(B373="","",IF(B373&lt;$B$19,0.5*EXP((B373-$B$19)/$B$20),1-0.5*EXP(-(B373-$B$19)/$B$20)))</f>
        <v>0.327575047256692</v>
      </c>
      <c r="G373" s="21" t="n">
        <f aca="false">IF(B373="","",1/(1+EXP(-(B373-$B$15)/$B$21)))</f>
        <v>0.36690150000353</v>
      </c>
      <c r="H373" s="21" t="n">
        <f aca="false">IF(B373="","",MAX(ABS($A373/$B$6-D373),ABS(($A373-1)/$B$6-D373)))</f>
        <v>0.0457957495908358</v>
      </c>
      <c r="I373" s="21" t="n">
        <f aca="false">IF(B373="","",MAX(ABS($A373/$B$6-E373),ABS(($A373-1)/$B$6-E373)))</f>
        <v>0.0302094186265405</v>
      </c>
      <c r="J373" s="21" t="n">
        <f aca="false">IF(B373="","",MAX(ABS($A373/$B$6-F373),ABS(($A373-1)/$B$6-F373)))</f>
        <v>0.00942495274330807</v>
      </c>
      <c r="K373" s="21" t="n">
        <f aca="false">IF(B373="","",MAX(ABS($A373/$B$6-G373),ABS(($A373-1)/$B$6-G373)))</f>
        <v>0.0309015000035299</v>
      </c>
    </row>
    <row r="374" customFormat="false" ht="15" hidden="false" customHeight="false" outlineLevel="0" collapsed="false">
      <c r="A374" s="11" t="n">
        <v>338</v>
      </c>
      <c r="B374" s="9" t="n">
        <f aca="false">IF(A374&gt;$B$6,"",SMALL(BTC_Data!$C$3:$C$1002,A374))</f>
        <v>-0.000394674347403035</v>
      </c>
      <c r="C374" s="21" t="n">
        <f aca="false">IF(B374="","",A374/$B$6)</f>
        <v>0.338</v>
      </c>
      <c r="D374" s="21" t="n">
        <f aca="false">IF(B374="","",NORMDIST(B374,$B$15,$B$16,TRUE()))</f>
        <v>0.381796677086537</v>
      </c>
      <c r="E374" s="21" t="n">
        <f aca="false">IF(B374="","",IF(B374&gt;=$B$15,1-TDIST((B374-$B$15)/$B$18,$B$17,1),TDIST(($B$15-B374)/$B$18,$B$17,1)))</f>
        <v>0.366210449990403</v>
      </c>
      <c r="F374" s="21" t="n">
        <f aca="false">IF(B374="","",IF(B374&lt;$B$19,0.5*EXP((B374-$B$19)/$B$20),1-0.5*EXP(-(B374-$B$19)/$B$20)))</f>
        <v>0.327576160737518</v>
      </c>
      <c r="G374" s="21" t="n">
        <f aca="false">IF(B374="","",1/(1+EXP(-(B374-$B$15)/$B$21)))</f>
        <v>0.366902524841905</v>
      </c>
      <c r="H374" s="21" t="n">
        <f aca="false">IF(B374="","",MAX(ABS($A374/$B$6-D374),ABS(($A374-1)/$B$6-D374)))</f>
        <v>0.0447966770865371</v>
      </c>
      <c r="I374" s="21" t="n">
        <f aca="false">IF(B374="","",MAX(ABS($A374/$B$6-E374),ABS(($A374-1)/$B$6-E374)))</f>
        <v>0.0292104499904026</v>
      </c>
      <c r="J374" s="21" t="n">
        <f aca="false">IF(B374="","",MAX(ABS($A374/$B$6-F374),ABS(($A374-1)/$B$6-F374)))</f>
        <v>0.0104238392624822</v>
      </c>
      <c r="K374" s="21" t="n">
        <f aca="false">IF(B374="","",MAX(ABS($A374/$B$6-G374),ABS(($A374-1)/$B$6-G374)))</f>
        <v>0.0299025248419049</v>
      </c>
    </row>
    <row r="375" customFormat="false" ht="15" hidden="false" customHeight="false" outlineLevel="0" collapsed="false">
      <c r="A375" s="11" t="n">
        <v>339</v>
      </c>
      <c r="B375" s="9" t="n">
        <f aca="false">IF(A375&gt;$B$6,"",SMALL(BTC_Data!$C$3:$C$1002,A375))</f>
        <v>-0.000386757320398168</v>
      </c>
      <c r="C375" s="21" t="n">
        <f aca="false">IF(B375="","",A375/$B$6)</f>
        <v>0.339</v>
      </c>
      <c r="D375" s="21" t="n">
        <f aca="false">IF(B375="","",NORMDIST(B375,$B$15,$B$16,TRUE()))</f>
        <v>0.384169797208624</v>
      </c>
      <c r="E375" s="21" t="n">
        <f aca="false">IF(B375="","",IF(B375&gt;=$B$15,1-TDIST((B375-$B$15)/$B$18,$B$17,1),TDIST(($B$15-B375)/$B$18,$B$17,1)))</f>
        <v>0.368850733574742</v>
      </c>
      <c r="F375" s="21" t="n">
        <f aca="false">IF(B375="","",IF(B375&lt;$B$19,0.5*EXP((B375-$B$19)/$B$20),1-0.5*EXP(-(B375-$B$19)/$B$20)))</f>
        <v>0.330434909302527</v>
      </c>
      <c r="G375" s="21" t="n">
        <f aca="false">IF(B375="","",1/(1+EXP(-(B375-$B$15)/$B$21)))</f>
        <v>0.369526185883989</v>
      </c>
      <c r="H375" s="21" t="n">
        <f aca="false">IF(B375="","",MAX(ABS($A375/$B$6-D375),ABS(($A375-1)/$B$6-D375)))</f>
        <v>0.0461697972086241</v>
      </c>
      <c r="I375" s="21" t="n">
        <f aca="false">IF(B375="","",MAX(ABS($A375/$B$6-E375),ABS(($A375-1)/$B$6-E375)))</f>
        <v>0.0308507335747416</v>
      </c>
      <c r="J375" s="21" t="n">
        <f aca="false">IF(B375="","",MAX(ABS($A375/$B$6-F375),ABS(($A375-1)/$B$6-F375)))</f>
        <v>0.00856509069747302</v>
      </c>
      <c r="K375" s="21" t="n">
        <f aca="false">IF(B375="","",MAX(ABS($A375/$B$6-G375),ABS(($A375-1)/$B$6-G375)))</f>
        <v>0.0315261858839894</v>
      </c>
    </row>
    <row r="376" customFormat="false" ht="15" hidden="false" customHeight="false" outlineLevel="0" collapsed="false">
      <c r="A376" s="11" t="n">
        <v>340</v>
      </c>
      <c r="B376" s="9" t="n">
        <f aca="false">IF(A376&gt;$B$6,"",SMALL(BTC_Data!$C$3:$C$1002,A376))</f>
        <v>-0.00038542272171882</v>
      </c>
      <c r="C376" s="21" t="n">
        <f aca="false">IF(B376="","",A376/$B$6)</f>
        <v>0.34</v>
      </c>
      <c r="D376" s="21" t="n">
        <f aca="false">IF(B376="","",NORMDIST(B376,$B$15,$B$16,TRUE()))</f>
        <v>0.384570272466974</v>
      </c>
      <c r="E376" s="21" t="n">
        <f aca="false">IF(B376="","",IF(B376&gt;=$B$15,1-TDIST((B376-$B$15)/$B$18,$B$17,1),TDIST(($B$15-B376)/$B$18,$B$17,1)))</f>
        <v>0.369296568440701</v>
      </c>
      <c r="F376" s="21" t="n">
        <f aca="false">IF(B376="","",IF(B376&lt;$B$19,0.5*EXP((B376-$B$19)/$B$20),1-0.5*EXP(-(B376-$B$19)/$B$20)))</f>
        <v>0.33091926909068</v>
      </c>
      <c r="G376" s="21" t="n">
        <f aca="false">IF(B376="","",1/(1+EXP(-(B376-$B$15)/$B$21)))</f>
        <v>0.369969230126284</v>
      </c>
      <c r="H376" s="21" t="n">
        <f aca="false">IF(B376="","",MAX(ABS($A376/$B$6-D376),ABS(($A376-1)/$B$6-D376)))</f>
        <v>0.0455702724669743</v>
      </c>
      <c r="I376" s="21" t="n">
        <f aca="false">IF(B376="","",MAX(ABS($A376/$B$6-E376),ABS(($A376-1)/$B$6-E376)))</f>
        <v>0.0302965684407008</v>
      </c>
      <c r="J376" s="21" t="n">
        <f aca="false">IF(B376="","",MAX(ABS($A376/$B$6-F376),ABS(($A376-1)/$B$6-F376)))</f>
        <v>0.00908073090932049</v>
      </c>
      <c r="K376" s="21" t="n">
        <f aca="false">IF(B376="","",MAX(ABS($A376/$B$6-G376),ABS(($A376-1)/$B$6-G376)))</f>
        <v>0.0309692301262844</v>
      </c>
    </row>
    <row r="377" customFormat="false" ht="15" hidden="false" customHeight="false" outlineLevel="0" collapsed="false">
      <c r="A377" s="11" t="n">
        <v>341</v>
      </c>
      <c r="B377" s="9" t="n">
        <f aca="false">IF(A377&gt;$B$6,"",SMALL(BTC_Data!$C$3:$C$1002,A377))</f>
        <v>-0.000380822169662509</v>
      </c>
      <c r="C377" s="21" t="n">
        <f aca="false">IF(B377="","",A377/$B$6)</f>
        <v>0.341</v>
      </c>
      <c r="D377" s="21" t="n">
        <f aca="false">IF(B377="","",NORMDIST(B377,$B$15,$B$16,TRUE()))</f>
        <v>0.38595170979309</v>
      </c>
      <c r="E377" s="21" t="n">
        <f aca="false">IF(B377="","",IF(B377&gt;=$B$15,1-TDIST((B377-$B$15)/$B$18,$B$17,1),TDIST(($B$15-B377)/$B$18,$B$17,1)))</f>
        <v>0.3708350748234</v>
      </c>
      <c r="F377" s="21" t="n">
        <f aca="false">IF(B377="","",IF(B377&lt;$B$19,0.5*EXP((B377-$B$19)/$B$20),1-0.5*EXP(-(B377-$B$19)/$B$20)))</f>
        <v>0.332594374920403</v>
      </c>
      <c r="G377" s="21" t="n">
        <f aca="false">IF(B377="","",1/(1+EXP(-(B377-$B$15)/$B$21)))</f>
        <v>0.371498142293452</v>
      </c>
      <c r="H377" s="21" t="n">
        <f aca="false">IF(B377="","",MAX(ABS($A377/$B$6-D377),ABS(($A377-1)/$B$6-D377)))</f>
        <v>0.0459517097930899</v>
      </c>
      <c r="I377" s="21" t="n">
        <f aca="false">IF(B377="","",MAX(ABS($A377/$B$6-E377),ABS(($A377-1)/$B$6-E377)))</f>
        <v>0.0308350748233996</v>
      </c>
      <c r="J377" s="21" t="n">
        <f aca="false">IF(B377="","",MAX(ABS($A377/$B$6-F377),ABS(($A377-1)/$B$6-F377)))</f>
        <v>0.00840562507959747</v>
      </c>
      <c r="K377" s="21" t="n">
        <f aca="false">IF(B377="","",MAX(ABS($A377/$B$6-G377),ABS(($A377-1)/$B$6-G377)))</f>
        <v>0.0314981422934515</v>
      </c>
    </row>
    <row r="378" customFormat="false" ht="15" hidden="false" customHeight="false" outlineLevel="0" collapsed="false">
      <c r="A378" s="11" t="n">
        <v>342</v>
      </c>
      <c r="B378" s="9" t="n">
        <f aca="false">IF(A378&gt;$B$6,"",SMALL(BTC_Data!$C$3:$C$1002,A378))</f>
        <v>-0.000378449770388922</v>
      </c>
      <c r="C378" s="21" t="n">
        <f aca="false">IF(B378="","",A378/$B$6)</f>
        <v>0.342</v>
      </c>
      <c r="D378" s="21" t="n">
        <f aca="false">IF(B378="","",NORMDIST(B378,$B$15,$B$16,TRUE()))</f>
        <v>0.386664652176224</v>
      </c>
      <c r="E378" s="21" t="n">
        <f aca="false">IF(B378="","",IF(B378&gt;=$B$15,1-TDIST((B378-$B$15)/$B$18,$B$17,1),TDIST(($B$15-B378)/$B$18,$B$17,1)))</f>
        <v>0.371629440760186</v>
      </c>
      <c r="F378" s="21" t="n">
        <f aca="false">IF(B378="","",IF(B378&lt;$B$19,0.5*EXP((B378-$B$19)/$B$20),1-0.5*EXP(-(B378-$B$19)/$B$20)))</f>
        <v>0.333461499637555</v>
      </c>
      <c r="G378" s="21" t="n">
        <f aca="false">IF(B378="","",1/(1+EXP(-(B378-$B$15)/$B$21)))</f>
        <v>0.372287576153859</v>
      </c>
      <c r="H378" s="21" t="n">
        <f aca="false">IF(B378="","",MAX(ABS($A378/$B$6-D378),ABS(($A378-1)/$B$6-D378)))</f>
        <v>0.0456646521762238</v>
      </c>
      <c r="I378" s="21" t="n">
        <f aca="false">IF(B378="","",MAX(ABS($A378/$B$6-E378),ABS(($A378-1)/$B$6-E378)))</f>
        <v>0.0306294407601863</v>
      </c>
      <c r="J378" s="21" t="n">
        <f aca="false">IF(B378="","",MAX(ABS($A378/$B$6-F378),ABS(($A378-1)/$B$6-F378)))</f>
        <v>0.00853850036244547</v>
      </c>
      <c r="K378" s="21" t="n">
        <f aca="false">IF(B378="","",MAX(ABS($A378/$B$6-G378),ABS(($A378-1)/$B$6-G378)))</f>
        <v>0.0312875761538593</v>
      </c>
    </row>
    <row r="379" customFormat="false" ht="15" hidden="false" customHeight="false" outlineLevel="0" collapsed="false">
      <c r="A379" s="11" t="n">
        <v>343</v>
      </c>
      <c r="B379" s="9" t="n">
        <f aca="false">IF(A379&gt;$B$6,"",SMALL(BTC_Data!$C$3:$C$1002,A379))</f>
        <v>-0.000374344426630091</v>
      </c>
      <c r="C379" s="21" t="n">
        <f aca="false">IF(B379="","",A379/$B$6)</f>
        <v>0.343</v>
      </c>
      <c r="D379" s="21" t="n">
        <f aca="false">IF(B379="","",NORMDIST(B379,$B$15,$B$16,TRUE()))</f>
        <v>0.387899273809852</v>
      </c>
      <c r="E379" s="21" t="n">
        <f aca="false">IF(B379="","",IF(B379&gt;=$B$15,1-TDIST((B379-$B$15)/$B$18,$B$17,1),TDIST(($B$15-B379)/$B$18,$B$17,1)))</f>
        <v>0.373005643513121</v>
      </c>
      <c r="F379" s="21" t="n">
        <f aca="false">IF(B379="","",IF(B379&lt;$B$19,0.5*EXP((B379-$B$19)/$B$20),1-0.5*EXP(-(B379-$B$19)/$B$20)))</f>
        <v>0.33496736920922</v>
      </c>
      <c r="G379" s="21" t="n">
        <f aca="false">IF(B379="","",1/(1+EXP(-(B379-$B$15)/$B$21)))</f>
        <v>0.37365526898949</v>
      </c>
      <c r="H379" s="21" t="n">
        <f aca="false">IF(B379="","",MAX(ABS($A379/$B$6-D379),ABS(($A379-1)/$B$6-D379)))</f>
        <v>0.045899273809852</v>
      </c>
      <c r="I379" s="21" t="n">
        <f aca="false">IF(B379="","",MAX(ABS($A379/$B$6-E379),ABS(($A379-1)/$B$6-E379)))</f>
        <v>0.031005643513121</v>
      </c>
      <c r="J379" s="21" t="n">
        <f aca="false">IF(B379="","",MAX(ABS($A379/$B$6-F379),ABS(($A379-1)/$B$6-F379)))</f>
        <v>0.00803263079078015</v>
      </c>
      <c r="K379" s="21" t="n">
        <f aca="false">IF(B379="","",MAX(ABS($A379/$B$6-G379),ABS(($A379-1)/$B$6-G379)))</f>
        <v>0.0316552689894895</v>
      </c>
    </row>
    <row r="380" customFormat="false" ht="15" hidden="false" customHeight="false" outlineLevel="0" collapsed="false">
      <c r="A380" s="11" t="n">
        <v>344</v>
      </c>
      <c r="B380" s="9" t="n">
        <f aca="false">IF(A380&gt;$B$6,"",SMALL(BTC_Data!$C$3:$C$1002,A380))</f>
        <v>-0.000371955768358356</v>
      </c>
      <c r="C380" s="21" t="n">
        <f aca="false">IF(B380="","",A380/$B$6)</f>
        <v>0.344</v>
      </c>
      <c r="D380" s="21" t="n">
        <f aca="false">IF(B380="","",NORMDIST(B380,$B$15,$B$16,TRUE()))</f>
        <v>0.388618150308876</v>
      </c>
      <c r="E380" s="21" t="n">
        <f aca="false">IF(B380="","",IF(B380&gt;=$B$15,1-TDIST((B380-$B$15)/$B$18,$B$17,1),TDIST(($B$15-B380)/$B$18,$B$17,1)))</f>
        <v>0.373807292536988</v>
      </c>
      <c r="F380" s="21" t="n">
        <f aca="false">IF(B380="","",IF(B380&lt;$B$19,0.5*EXP((B380-$B$19)/$B$20),1-0.5*EXP(-(B380-$B$19)/$B$20)))</f>
        <v>0.335846673688229</v>
      </c>
      <c r="G380" s="21" t="n">
        <f aca="false">IF(B380="","",1/(1+EXP(-(B380-$B$15)/$B$21)))</f>
        <v>0.374451981094809</v>
      </c>
      <c r="H380" s="21" t="n">
        <f aca="false">IF(B380="","",MAX(ABS($A380/$B$6-D380),ABS(($A380-1)/$B$6-D380)))</f>
        <v>0.0456181503088762</v>
      </c>
      <c r="I380" s="21" t="n">
        <f aca="false">IF(B380="","",MAX(ABS($A380/$B$6-E380),ABS(($A380-1)/$B$6-E380)))</f>
        <v>0.0308072925369877</v>
      </c>
      <c r="J380" s="21" t="n">
        <f aca="false">IF(B380="","",MAX(ABS($A380/$B$6-F380),ABS(($A380-1)/$B$6-F380)))</f>
        <v>0.00815332631177068</v>
      </c>
      <c r="K380" s="21" t="n">
        <f aca="false">IF(B380="","",MAX(ABS($A380/$B$6-G380),ABS(($A380-1)/$B$6-G380)))</f>
        <v>0.0314519810948088</v>
      </c>
    </row>
    <row r="381" customFormat="false" ht="15" hidden="false" customHeight="false" outlineLevel="0" collapsed="false">
      <c r="A381" s="11" t="n">
        <v>345</v>
      </c>
      <c r="B381" s="9" t="n">
        <f aca="false">IF(A381&gt;$B$6,"",SMALL(BTC_Data!$C$3:$C$1002,A381))</f>
        <v>-0.000369695381214674</v>
      </c>
      <c r="C381" s="21" t="n">
        <f aca="false">IF(B381="","",A381/$B$6)</f>
        <v>0.345</v>
      </c>
      <c r="D381" s="21" t="n">
        <f aca="false">IF(B381="","",NORMDIST(B381,$B$15,$B$16,TRUE()))</f>
        <v>0.389298774593182</v>
      </c>
      <c r="E381" s="21" t="n">
        <f aca="false">IF(B381="","",IF(B381&gt;=$B$15,1-TDIST((B381-$B$15)/$B$18,$B$17,1),TDIST(($B$15-B381)/$B$18,$B$17,1)))</f>
        <v>0.374566510322585</v>
      </c>
      <c r="F381" s="21" t="n">
        <f aca="false">IF(B381="","",IF(B381&lt;$B$19,0.5*EXP((B381-$B$19)/$B$20),1-0.5*EXP(-(B381-$B$19)/$B$20)))</f>
        <v>0.336680884966251</v>
      </c>
      <c r="G381" s="21" t="n">
        <f aca="false">IF(B381="","",1/(1+EXP(-(B381-$B$15)/$B$21)))</f>
        <v>0.375206536903663</v>
      </c>
      <c r="H381" s="21" t="n">
        <f aca="false">IF(B381="","",MAX(ABS($A381/$B$6-D381),ABS(($A381-1)/$B$6-D381)))</f>
        <v>0.0452987745931818</v>
      </c>
      <c r="I381" s="21" t="n">
        <f aca="false">IF(B381="","",MAX(ABS($A381/$B$6-E381),ABS(($A381-1)/$B$6-E381)))</f>
        <v>0.0305665103225847</v>
      </c>
      <c r="J381" s="21" t="n">
        <f aca="false">IF(B381="","",MAX(ABS($A381/$B$6-F381),ABS(($A381-1)/$B$6-F381)))</f>
        <v>0.0083191150337486</v>
      </c>
      <c r="K381" s="21" t="n">
        <f aca="false">IF(B381="","",MAX(ABS($A381/$B$6-G381),ABS(($A381-1)/$B$6-G381)))</f>
        <v>0.0312065369036629</v>
      </c>
    </row>
    <row r="382" customFormat="false" ht="15" hidden="false" customHeight="false" outlineLevel="0" collapsed="false">
      <c r="A382" s="11" t="n">
        <v>346</v>
      </c>
      <c r="B382" s="9" t="n">
        <f aca="false">IF(A382&gt;$B$6,"",SMALL(BTC_Data!$C$3:$C$1002,A382))</f>
        <v>-0.000365566579232923</v>
      </c>
      <c r="C382" s="21" t="n">
        <f aca="false">IF(B382="","",A382/$B$6)</f>
        <v>0.346</v>
      </c>
      <c r="D382" s="21" t="n">
        <f aca="false">IF(B382="","",NORMDIST(B382,$B$15,$B$16,TRUE()))</f>
        <v>0.390542872318299</v>
      </c>
      <c r="E382" s="21" t="n">
        <f aca="false">IF(B382="","",IF(B382&gt;=$B$15,1-TDIST((B382-$B$15)/$B$18,$B$17,1),TDIST(($B$15-B382)/$B$18,$B$17,1)))</f>
        <v>0.375954829575928</v>
      </c>
      <c r="F382" s="21" t="n">
        <f aca="false">IF(B382="","",IF(B382&lt;$B$19,0.5*EXP((B382-$B$19)/$B$20),1-0.5*EXP(-(B382-$B$19)/$B$20)))</f>
        <v>0.338210000287783</v>
      </c>
      <c r="G382" s="21" t="n">
        <f aca="false">IF(B382="","",1/(1+EXP(-(B382-$B$15)/$B$21)))</f>
        <v>0.376586365313501</v>
      </c>
      <c r="H382" s="21" t="n">
        <f aca="false">IF(B382="","",MAX(ABS($A382/$B$6-D382),ABS(($A382-1)/$B$6-D382)))</f>
        <v>0.0455428723182991</v>
      </c>
      <c r="I382" s="21" t="n">
        <f aca="false">IF(B382="","",MAX(ABS($A382/$B$6-E382),ABS(($A382-1)/$B$6-E382)))</f>
        <v>0.0309548295759276</v>
      </c>
      <c r="J382" s="21" t="n">
        <f aca="false">IF(B382="","",MAX(ABS($A382/$B$6-F382),ABS(($A382-1)/$B$6-F382)))</f>
        <v>0.00778999971221711</v>
      </c>
      <c r="K382" s="21" t="n">
        <f aca="false">IF(B382="","",MAX(ABS($A382/$B$6-G382),ABS(($A382-1)/$B$6-G382)))</f>
        <v>0.0315863653135014</v>
      </c>
    </row>
    <row r="383" customFormat="false" ht="15" hidden="false" customHeight="false" outlineLevel="0" collapsed="false">
      <c r="A383" s="11" t="n">
        <v>347</v>
      </c>
      <c r="B383" s="9" t="n">
        <f aca="false">IF(A383&gt;$B$6,"",SMALL(BTC_Data!$C$3:$C$1002,A383))</f>
        <v>-0.000364101016563922</v>
      </c>
      <c r="C383" s="21" t="n">
        <f aca="false">IF(B383="","",A383/$B$6)</f>
        <v>0.347</v>
      </c>
      <c r="D383" s="21" t="n">
        <f aca="false">IF(B383="","",NORMDIST(B383,$B$15,$B$16,TRUE()))</f>
        <v>0.390984748543539</v>
      </c>
      <c r="E383" s="21" t="n">
        <f aca="false">IF(B383="","",IF(B383&gt;=$B$15,1-TDIST((B383-$B$15)/$B$18,$B$17,1),TDIST(($B$15-B383)/$B$18,$B$17,1)))</f>
        <v>0.376448103834886</v>
      </c>
      <c r="F383" s="21" t="n">
        <f aca="false">IF(B383="","",IF(B383&lt;$B$19,0.5*EXP((B383-$B$19)/$B$20),1-0.5*EXP(-(B383-$B$19)/$B$20)))</f>
        <v>0.338754444675998</v>
      </c>
      <c r="G383" s="21" t="n">
        <f aca="false">IF(B383="","",1/(1+EXP(-(B383-$B$15)/$B$21)))</f>
        <v>0.3770766333274</v>
      </c>
      <c r="H383" s="21" t="n">
        <f aca="false">IF(B383="","",MAX(ABS($A383/$B$6-D383),ABS(($A383-1)/$B$6-D383)))</f>
        <v>0.0449847485435387</v>
      </c>
      <c r="I383" s="21" t="n">
        <f aca="false">IF(B383="","",MAX(ABS($A383/$B$6-E383),ABS(($A383-1)/$B$6-E383)))</f>
        <v>0.0304481038348856</v>
      </c>
      <c r="J383" s="21" t="n">
        <f aca="false">IF(B383="","",MAX(ABS($A383/$B$6-F383),ABS(($A383-1)/$B$6-F383)))</f>
        <v>0.00824555532400229</v>
      </c>
      <c r="K383" s="21" t="n">
        <f aca="false">IF(B383="","",MAX(ABS($A383/$B$6-G383),ABS(($A383-1)/$B$6-G383)))</f>
        <v>0.0310766333274</v>
      </c>
    </row>
    <row r="384" customFormat="false" ht="15" hidden="false" customHeight="false" outlineLevel="0" collapsed="false">
      <c r="A384" s="11" t="n">
        <v>348</v>
      </c>
      <c r="B384" s="9" t="n">
        <f aca="false">IF(A384&gt;$B$6,"",SMALL(BTC_Data!$C$3:$C$1002,A384))</f>
        <v>-0.000362761007468682</v>
      </c>
      <c r="C384" s="21" t="n">
        <f aca="false">IF(B384="","",A384/$B$6)</f>
        <v>0.348</v>
      </c>
      <c r="D384" s="21" t="n">
        <f aca="false">IF(B384="","",NORMDIST(B384,$B$15,$B$16,TRUE()))</f>
        <v>0.39138889281152</v>
      </c>
      <c r="E384" s="21" t="n">
        <f aca="false">IF(B384="","",IF(B384&gt;=$B$15,1-TDIST((B384-$B$15)/$B$18,$B$17,1),TDIST(($B$15-B384)/$B$18,$B$17,1)))</f>
        <v>0.376899336472531</v>
      </c>
      <c r="F384" s="21" t="n">
        <f aca="false">IF(B384="","",IF(B384&lt;$B$19,0.5*EXP((B384-$B$19)/$B$20),1-0.5*EXP(-(B384-$B$19)/$B$20)))</f>
        <v>0.339253013944153</v>
      </c>
      <c r="G384" s="21" t="n">
        <f aca="false">IF(B384="","",1/(1+EXP(-(B384-$B$15)/$B$21)))</f>
        <v>0.37752512077999</v>
      </c>
      <c r="H384" s="21" t="n">
        <f aca="false">IF(B384="","",MAX(ABS($A384/$B$6-D384),ABS(($A384-1)/$B$6-D384)))</f>
        <v>0.04438889281152</v>
      </c>
      <c r="I384" s="21" t="n">
        <f aca="false">IF(B384="","",MAX(ABS($A384/$B$6-E384),ABS(($A384-1)/$B$6-E384)))</f>
        <v>0.0298993364725313</v>
      </c>
      <c r="J384" s="21" t="n">
        <f aca="false">IF(B384="","",MAX(ABS($A384/$B$6-F384),ABS(($A384-1)/$B$6-F384)))</f>
        <v>0.00874698605584673</v>
      </c>
      <c r="K384" s="21" t="n">
        <f aca="false">IF(B384="","",MAX(ABS($A384/$B$6-G384),ABS(($A384-1)/$B$6-G384)))</f>
        <v>0.0305251207799896</v>
      </c>
    </row>
    <row r="385" customFormat="false" ht="15" hidden="false" customHeight="false" outlineLevel="0" collapsed="false">
      <c r="A385" s="11" t="n">
        <v>349</v>
      </c>
      <c r="B385" s="9" t="n">
        <f aca="false">IF(A385&gt;$B$6,"",SMALL(BTC_Data!$C$3:$C$1002,A385))</f>
        <v>-0.000351195537884763</v>
      </c>
      <c r="C385" s="21" t="n">
        <f aca="false">IF(B385="","",A385/$B$6)</f>
        <v>0.349</v>
      </c>
      <c r="D385" s="21" t="n">
        <f aca="false">IF(B385="","",NORMDIST(B385,$B$15,$B$16,TRUE()))</f>
        <v>0.394881847694763</v>
      </c>
      <c r="E385" s="21" t="n">
        <f aca="false">IF(B385="","",IF(B385&gt;=$B$15,1-TDIST((B385-$B$15)/$B$18,$B$17,1),TDIST(($B$15-B385)/$B$18,$B$17,1)))</f>
        <v>0.380802382237365</v>
      </c>
      <c r="F385" s="21" t="n">
        <f aca="false">IF(B385="","",IF(B385&lt;$B$19,0.5*EXP((B385-$B$19)/$B$20),1-0.5*EXP(-(B385-$B$19)/$B$20)))</f>
        <v>0.343586721395371</v>
      </c>
      <c r="G385" s="21" t="n">
        <f aca="false">IF(B385="","",1/(1+EXP(-(B385-$B$15)/$B$21)))</f>
        <v>0.381404612734472</v>
      </c>
      <c r="H385" s="21" t="n">
        <f aca="false">IF(B385="","",MAX(ABS($A385/$B$6-D385),ABS(($A385-1)/$B$6-D385)))</f>
        <v>0.0468818476947631</v>
      </c>
      <c r="I385" s="21" t="n">
        <f aca="false">IF(B385="","",MAX(ABS($A385/$B$6-E385),ABS(($A385-1)/$B$6-E385)))</f>
        <v>0.0328023822373654</v>
      </c>
      <c r="J385" s="21" t="n">
        <f aca="false">IF(B385="","",MAX(ABS($A385/$B$6-F385),ABS(($A385-1)/$B$6-F385)))</f>
        <v>0.00541327860462887</v>
      </c>
      <c r="K385" s="21" t="n">
        <f aca="false">IF(B385="","",MAX(ABS($A385/$B$6-G385),ABS(($A385-1)/$B$6-G385)))</f>
        <v>0.0334046127344719</v>
      </c>
    </row>
    <row r="386" customFormat="false" ht="15" hidden="false" customHeight="false" outlineLevel="0" collapsed="false">
      <c r="A386" s="11" t="n">
        <v>350</v>
      </c>
      <c r="B386" s="9" t="n">
        <f aca="false">IF(A386&gt;$B$6,"",SMALL(BTC_Data!$C$3:$C$1002,A386))</f>
        <v>-0.000350125427433623</v>
      </c>
      <c r="C386" s="21" t="n">
        <f aca="false">IF(B386="","",A386/$B$6)</f>
        <v>0.35</v>
      </c>
      <c r="D386" s="21" t="n">
        <f aca="false">IF(B386="","",NORMDIST(B386,$B$15,$B$16,TRUE()))</f>
        <v>0.395205470165968</v>
      </c>
      <c r="E386" s="21" t="n">
        <f aca="false">IF(B386="","",IF(B386&gt;=$B$15,1-TDIST((B386-$B$15)/$B$18,$B$17,1),TDIST(($B$15-B386)/$B$18,$B$17,1)))</f>
        <v>0.381164278558907</v>
      </c>
      <c r="F386" s="21" t="n">
        <f aca="false">IF(B386="","",IF(B386&lt;$B$19,0.5*EXP((B386-$B$19)/$B$20),1-0.5*EXP(-(B386-$B$19)/$B$20)))</f>
        <v>0.343990490789495</v>
      </c>
      <c r="G386" s="21" t="n">
        <f aca="false">IF(B386="","",1/(1+EXP(-(B386-$B$15)/$B$21)))</f>
        <v>0.381764342342107</v>
      </c>
      <c r="H386" s="21" t="n">
        <f aca="false">IF(B386="","",MAX(ABS($A386/$B$6-D386),ABS(($A386-1)/$B$6-D386)))</f>
        <v>0.0462054701659679</v>
      </c>
      <c r="I386" s="21" t="n">
        <f aca="false">IF(B386="","",MAX(ABS($A386/$B$6-E386),ABS(($A386-1)/$B$6-E386)))</f>
        <v>0.0321642785589069</v>
      </c>
      <c r="J386" s="21" t="n">
        <f aca="false">IF(B386="","",MAX(ABS($A386/$B$6-F386),ABS(($A386-1)/$B$6-F386)))</f>
        <v>0.00600950921050464</v>
      </c>
      <c r="K386" s="21" t="n">
        <f aca="false">IF(B386="","",MAX(ABS($A386/$B$6-G386),ABS(($A386-1)/$B$6-G386)))</f>
        <v>0.0327643423421068</v>
      </c>
    </row>
    <row r="387" customFormat="false" ht="15" hidden="false" customHeight="false" outlineLevel="0" collapsed="false">
      <c r="A387" s="11" t="n">
        <v>351</v>
      </c>
      <c r="B387" s="9" t="n">
        <f aca="false">IF(A387&gt;$B$6,"",SMALL(BTC_Data!$C$3:$C$1002,A387))</f>
        <v>-0.000348893220712743</v>
      </c>
      <c r="C387" s="21" t="n">
        <f aca="false">IF(B387="","",A387/$B$6)</f>
        <v>0.351</v>
      </c>
      <c r="D387" s="21" t="n">
        <f aca="false">IF(B387="","",NORMDIST(B387,$B$15,$B$16,TRUE()))</f>
        <v>0.395578203280952</v>
      </c>
      <c r="E387" s="21" t="n">
        <f aca="false">IF(B387="","",IF(B387&gt;=$B$15,1-TDIST((B387-$B$15)/$B$18,$B$17,1),TDIST(($B$15-B387)/$B$18,$B$17,1)))</f>
        <v>0.381581151549391</v>
      </c>
      <c r="F387" s="21" t="n">
        <f aca="false">IF(B387="","",IF(B387&lt;$B$19,0.5*EXP((B387-$B$19)/$B$20),1-0.5*EXP(-(B387-$B$19)/$B$20)))</f>
        <v>0.344456009422934</v>
      </c>
      <c r="G387" s="21" t="n">
        <f aca="false">IF(B387="","",1/(1+EXP(-(B387-$B$15)/$B$21)))</f>
        <v>0.382178723060594</v>
      </c>
      <c r="H387" s="21" t="n">
        <f aca="false">IF(B387="","",MAX(ABS($A387/$B$6-D387),ABS(($A387-1)/$B$6-D387)))</f>
        <v>0.0455782032809524</v>
      </c>
      <c r="I387" s="21" t="n">
        <f aca="false">IF(B387="","",MAX(ABS($A387/$B$6-E387),ABS(($A387-1)/$B$6-E387)))</f>
        <v>0.0315811515493908</v>
      </c>
      <c r="J387" s="21" t="n">
        <f aca="false">IF(B387="","",MAX(ABS($A387/$B$6-F387),ABS(($A387-1)/$B$6-F387)))</f>
        <v>0.00654399057706556</v>
      </c>
      <c r="K387" s="21" t="n">
        <f aca="false">IF(B387="","",MAX(ABS($A387/$B$6-G387),ABS(($A387-1)/$B$6-G387)))</f>
        <v>0.0321787230605938</v>
      </c>
    </row>
    <row r="388" customFormat="false" ht="15" hidden="false" customHeight="false" outlineLevel="0" collapsed="false">
      <c r="A388" s="11" t="n">
        <v>352</v>
      </c>
      <c r="B388" s="9" t="n">
        <f aca="false">IF(A388&gt;$B$6,"",SMALL(BTC_Data!$C$3:$C$1002,A388))</f>
        <v>-0.000348479324572493</v>
      </c>
      <c r="C388" s="21" t="n">
        <f aca="false">IF(B388="","",A388/$B$6)</f>
        <v>0.352</v>
      </c>
      <c r="D388" s="21" t="n">
        <f aca="false">IF(B388="","",NORMDIST(B388,$B$15,$B$16,TRUE()))</f>
        <v>0.395703425150261</v>
      </c>
      <c r="E388" s="21" t="n">
        <f aca="false">IF(B388="","",IF(B388&gt;=$B$15,1-TDIST((B388-$B$15)/$B$18,$B$17,1),TDIST(($B$15-B388)/$B$18,$B$17,1)))</f>
        <v>0.381721216332135</v>
      </c>
      <c r="F388" s="21" t="n">
        <f aca="false">IF(B388="","",IF(B388&lt;$B$19,0.5*EXP((B388-$B$19)/$B$20),1-0.5*EXP(-(B388-$B$19)/$B$20)))</f>
        <v>0.344612517641742</v>
      </c>
      <c r="G388" s="21" t="n">
        <f aca="false">IF(B388="","",1/(1+EXP(-(B388-$B$15)/$B$21)))</f>
        <v>0.382317951329051</v>
      </c>
      <c r="H388" s="21" t="n">
        <f aca="false">IF(B388="","",MAX(ABS($A388/$B$6-D388),ABS(($A388-1)/$B$6-D388)))</f>
        <v>0.0447034251502614</v>
      </c>
      <c r="I388" s="21" t="n">
        <f aca="false">IF(B388="","",MAX(ABS($A388/$B$6-E388),ABS(($A388-1)/$B$6-E388)))</f>
        <v>0.0307212163321354</v>
      </c>
      <c r="J388" s="21" t="n">
        <f aca="false">IF(B388="","",MAX(ABS($A388/$B$6-F388),ABS(($A388-1)/$B$6-F388)))</f>
        <v>0.00738748235825754</v>
      </c>
      <c r="K388" s="21" t="n">
        <f aca="false">IF(B388="","",MAX(ABS($A388/$B$6-G388),ABS(($A388-1)/$B$6-G388)))</f>
        <v>0.0313179513290509</v>
      </c>
    </row>
    <row r="389" customFormat="false" ht="15" hidden="false" customHeight="false" outlineLevel="0" collapsed="false">
      <c r="A389" s="11" t="n">
        <v>353</v>
      </c>
      <c r="B389" s="9" t="n">
        <f aca="false">IF(A389&gt;$B$6,"",SMALL(BTC_Data!$C$3:$C$1002,A389))</f>
        <v>-0.000345537850625077</v>
      </c>
      <c r="C389" s="21" t="n">
        <f aca="false">IF(B389="","",A389/$B$6)</f>
        <v>0.353</v>
      </c>
      <c r="D389" s="21" t="n">
        <f aca="false">IF(B389="","",NORMDIST(B389,$B$15,$B$16,TRUE()))</f>
        <v>0.396593660407058</v>
      </c>
      <c r="E389" s="21" t="n">
        <f aca="false">IF(B389="","",IF(B389&gt;=$B$15,1-TDIST((B389-$B$15)/$B$18,$B$17,1),TDIST(($B$15-B389)/$B$18,$B$17,1)))</f>
        <v>0.382717173898675</v>
      </c>
      <c r="F389" s="21" t="n">
        <f aca="false">IF(B389="","",IF(B389&lt;$B$19,0.5*EXP((B389-$B$19)/$B$20),1-0.5*EXP(-(B389-$B$19)/$B$20)))</f>
        <v>0.345726839445802</v>
      </c>
      <c r="G389" s="21" t="n">
        <f aca="false">IF(B389="","",1/(1+EXP(-(B389-$B$15)/$B$21)))</f>
        <v>0.383307973165132</v>
      </c>
      <c r="H389" s="21" t="n">
        <f aca="false">IF(B389="","",MAX(ABS($A389/$B$6-D389),ABS(($A389-1)/$B$6-D389)))</f>
        <v>0.0445936604070585</v>
      </c>
      <c r="I389" s="21" t="n">
        <f aca="false">IF(B389="","",MAX(ABS($A389/$B$6-E389),ABS(($A389-1)/$B$6-E389)))</f>
        <v>0.0307171738986753</v>
      </c>
      <c r="J389" s="21" t="n">
        <f aca="false">IF(B389="","",MAX(ABS($A389/$B$6-F389),ABS(($A389-1)/$B$6-F389)))</f>
        <v>0.00727316055419813</v>
      </c>
      <c r="K389" s="21" t="n">
        <f aca="false">IF(B389="","",MAX(ABS($A389/$B$6-G389),ABS(($A389-1)/$B$6-G389)))</f>
        <v>0.0313079731651321</v>
      </c>
    </row>
    <row r="390" customFormat="false" ht="15" hidden="false" customHeight="false" outlineLevel="0" collapsed="false">
      <c r="A390" s="11" t="n">
        <v>354</v>
      </c>
      <c r="B390" s="9" t="n">
        <f aca="false">IF(A390&gt;$B$6,"",SMALL(BTC_Data!$C$3:$C$1002,A390))</f>
        <v>-0.000343438872995927</v>
      </c>
      <c r="C390" s="21" t="n">
        <f aca="false">IF(B390="","",A390/$B$6)</f>
        <v>0.354</v>
      </c>
      <c r="D390" s="21" t="n">
        <f aca="false">IF(B390="","",NORMDIST(B390,$B$15,$B$16,TRUE()))</f>
        <v>0.397229244694605</v>
      </c>
      <c r="E390" s="21" t="n">
        <f aca="false">IF(B390="","",IF(B390&gt;=$B$15,1-TDIST((B390-$B$15)/$B$18,$B$17,1),TDIST(($B$15-B390)/$B$18,$B$17,1)))</f>
        <v>0.383428452310661</v>
      </c>
      <c r="F390" s="21" t="n">
        <f aca="false">IF(B390="","",IF(B390&lt;$B$19,0.5*EXP((B390-$B$19)/$B$20),1-0.5*EXP(-(B390-$B$19)/$B$20)))</f>
        <v>0.346524199729791</v>
      </c>
      <c r="G390" s="21" t="n">
        <f aca="false">IF(B390="","",1/(1+EXP(-(B390-$B$15)/$B$21)))</f>
        <v>0.384015025815262</v>
      </c>
      <c r="H390" s="21" t="n">
        <f aca="false">IF(B390="","",MAX(ABS($A390/$B$6-D390),ABS(($A390-1)/$B$6-D390)))</f>
        <v>0.0442292446946047</v>
      </c>
      <c r="I390" s="21" t="n">
        <f aca="false">IF(B390="","",MAX(ABS($A390/$B$6-E390),ABS(($A390-1)/$B$6-E390)))</f>
        <v>0.0304284523106608</v>
      </c>
      <c r="J390" s="21" t="n">
        <f aca="false">IF(B390="","",MAX(ABS($A390/$B$6-F390),ABS(($A390-1)/$B$6-F390)))</f>
        <v>0.00747580027020944</v>
      </c>
      <c r="K390" s="21" t="n">
        <f aca="false">IF(B390="","",MAX(ABS($A390/$B$6-G390),ABS(($A390-1)/$B$6-G390)))</f>
        <v>0.0310150258152616</v>
      </c>
    </row>
    <row r="391" customFormat="false" ht="15" hidden="false" customHeight="false" outlineLevel="0" collapsed="false">
      <c r="A391" s="11" t="n">
        <v>355</v>
      </c>
      <c r="B391" s="9" t="n">
        <f aca="false">IF(A391&gt;$B$6,"",SMALL(BTC_Data!$C$3:$C$1002,A391))</f>
        <v>-0.000342006551929397</v>
      </c>
      <c r="C391" s="21" t="n">
        <f aca="false">IF(B391="","",A391/$B$6)</f>
        <v>0.355</v>
      </c>
      <c r="D391" s="21" t="n">
        <f aca="false">IF(B391="","",NORMDIST(B391,$B$15,$B$16,TRUE()))</f>
        <v>0.397663117796244</v>
      </c>
      <c r="E391" s="21" t="n">
        <f aca="false">IF(B391="","",IF(B391&gt;=$B$15,1-TDIST((B391-$B$15)/$B$18,$B$17,1),TDIST(($B$15-B391)/$B$18,$B$17,1)))</f>
        <v>0.383914098554272</v>
      </c>
      <c r="F391" s="21" t="n">
        <f aca="false">IF(B391="","",IF(B391&lt;$B$19,0.5*EXP((B391-$B$19)/$B$20),1-0.5*EXP(-(B391-$B$19)/$B$20)))</f>
        <v>0.347069365665325</v>
      </c>
      <c r="G391" s="21" t="n">
        <f aca="false">IF(B391="","",1/(1+EXP(-(B391-$B$15)/$B$21)))</f>
        <v>0.384497793150342</v>
      </c>
      <c r="H391" s="21" t="n">
        <f aca="false">IF(B391="","",MAX(ABS($A391/$B$6-D391),ABS(($A391-1)/$B$6-D391)))</f>
        <v>0.0436631177962443</v>
      </c>
      <c r="I391" s="21" t="n">
        <f aca="false">IF(B391="","",MAX(ABS($A391/$B$6-E391),ABS(($A391-1)/$B$6-E391)))</f>
        <v>0.0299140985542718</v>
      </c>
      <c r="J391" s="21" t="n">
        <f aca="false">IF(B391="","",MAX(ABS($A391/$B$6-F391),ABS(($A391-1)/$B$6-F391)))</f>
        <v>0.00793063433467511</v>
      </c>
      <c r="K391" s="21" t="n">
        <f aca="false">IF(B391="","",MAX(ABS($A391/$B$6-G391),ABS(($A391-1)/$B$6-G391)))</f>
        <v>0.0304977931503421</v>
      </c>
    </row>
    <row r="392" customFormat="false" ht="15" hidden="false" customHeight="false" outlineLevel="0" collapsed="false">
      <c r="A392" s="11" t="n">
        <v>356</v>
      </c>
      <c r="B392" s="9" t="n">
        <f aca="false">IF(A392&gt;$B$6,"",SMALL(BTC_Data!$C$3:$C$1002,A392))</f>
        <v>-0.000340759893243225</v>
      </c>
      <c r="C392" s="21" t="n">
        <f aca="false">IF(B392="","",A392/$B$6)</f>
        <v>0.356</v>
      </c>
      <c r="D392" s="21" t="n">
        <f aca="false">IF(B392="","",NORMDIST(B392,$B$15,$B$16,TRUE()))</f>
        <v>0.398040853862637</v>
      </c>
      <c r="E392" s="21" t="n">
        <f aca="false">IF(B392="","",IF(B392&gt;=$B$15,1-TDIST((B392-$B$15)/$B$18,$B$17,1),TDIST(($B$15-B392)/$B$18,$B$17,1)))</f>
        <v>0.384336975846082</v>
      </c>
      <c r="F392" s="21" t="n">
        <f aca="false">IF(B392="","",IF(B392&lt;$B$19,0.5*EXP((B392-$B$19)/$B$20),1-0.5*EXP(-(B392-$B$19)/$B$20)))</f>
        <v>0.347544563390838</v>
      </c>
      <c r="G392" s="21" t="n">
        <f aca="false">IF(B392="","",1/(1+EXP(-(B392-$B$15)/$B$21)))</f>
        <v>0.384918167814395</v>
      </c>
      <c r="H392" s="21" t="n">
        <f aca="false">IF(B392="","",MAX(ABS($A392/$B$6-D392),ABS(($A392-1)/$B$6-D392)))</f>
        <v>0.0430408538626373</v>
      </c>
      <c r="I392" s="21" t="n">
        <f aca="false">IF(B392="","",MAX(ABS($A392/$B$6-E392),ABS(($A392-1)/$B$6-E392)))</f>
        <v>0.0293369758460816</v>
      </c>
      <c r="J392" s="21" t="n">
        <f aca="false">IF(B392="","",MAX(ABS($A392/$B$6-F392),ABS(($A392-1)/$B$6-F392)))</f>
        <v>0.00845543660916187</v>
      </c>
      <c r="K392" s="21" t="n">
        <f aca="false">IF(B392="","",MAX(ABS($A392/$B$6-G392),ABS(($A392-1)/$B$6-G392)))</f>
        <v>0.0299181678143951</v>
      </c>
    </row>
    <row r="393" customFormat="false" ht="15" hidden="false" customHeight="false" outlineLevel="0" collapsed="false">
      <c r="A393" s="11" t="n">
        <v>357</v>
      </c>
      <c r="B393" s="9" t="n">
        <f aca="false">IF(A393&gt;$B$6,"",SMALL(BTC_Data!$C$3:$C$1002,A393))</f>
        <v>-0.000338422981599806</v>
      </c>
      <c r="C393" s="21" t="n">
        <f aca="false">IF(B393="","",A393/$B$6)</f>
        <v>0.357</v>
      </c>
      <c r="D393" s="21" t="n">
        <f aca="false">IF(B393="","",NORMDIST(B393,$B$15,$B$16,TRUE()))</f>
        <v>0.398749192521223</v>
      </c>
      <c r="E393" s="21" t="n">
        <f aca="false">IF(B393="","",IF(B393&gt;=$B$15,1-TDIST((B393-$B$15)/$B$18,$B$17,1),TDIST(($B$15-B393)/$B$18,$B$17,1)))</f>
        <v>0.385130131087</v>
      </c>
      <c r="F393" s="21" t="n">
        <f aca="false">IF(B393="","",IF(B393&lt;$B$19,0.5*EXP((B393-$B$19)/$B$20),1-0.5*EXP(-(B393-$B$19)/$B$20)))</f>
        <v>0.348437094195281</v>
      </c>
      <c r="G393" s="21" t="n">
        <f aca="false">IF(B393="","",1/(1+EXP(-(B393-$B$15)/$B$21)))</f>
        <v>0.385706639563004</v>
      </c>
      <c r="H393" s="21" t="n">
        <f aca="false">IF(B393="","",MAX(ABS($A393/$B$6-D393),ABS(($A393-1)/$B$6-D393)))</f>
        <v>0.0427491925212229</v>
      </c>
      <c r="I393" s="21" t="n">
        <f aca="false">IF(B393="","",MAX(ABS($A393/$B$6-E393),ABS(($A393-1)/$B$6-E393)))</f>
        <v>0.0291301310869998</v>
      </c>
      <c r="J393" s="21" t="n">
        <f aca="false">IF(B393="","",MAX(ABS($A393/$B$6-F393),ABS(($A393-1)/$B$6-F393)))</f>
        <v>0.00856290580471941</v>
      </c>
      <c r="K393" s="21" t="n">
        <f aca="false">IF(B393="","",MAX(ABS($A393/$B$6-G393),ABS(($A393-1)/$B$6-G393)))</f>
        <v>0.0297066395630038</v>
      </c>
    </row>
    <row r="394" customFormat="false" ht="15" hidden="false" customHeight="false" outlineLevel="0" collapsed="false">
      <c r="A394" s="11" t="n">
        <v>358</v>
      </c>
      <c r="B394" s="9" t="n">
        <f aca="false">IF(A394&gt;$B$6,"",SMALL(BTC_Data!$C$3:$C$1002,A394))</f>
        <v>-0.00033010797486055</v>
      </c>
      <c r="C394" s="21" t="n">
        <f aca="false">IF(B394="","",A394/$B$6)</f>
        <v>0.358</v>
      </c>
      <c r="D394" s="21" t="n">
        <f aca="false">IF(B394="","",NORMDIST(B394,$B$15,$B$16,TRUE()))</f>
        <v>0.401272235131503</v>
      </c>
      <c r="E394" s="21" t="n">
        <f aca="false">IF(B394="","",IF(B394&gt;=$B$15,1-TDIST((B394-$B$15)/$B$18,$B$17,1),TDIST(($B$15-B394)/$B$18,$B$17,1)))</f>
        <v>0.387957030506934</v>
      </c>
      <c r="F394" s="21" t="n">
        <f aca="false">IF(B394="","",IF(B394&lt;$B$19,0.5*EXP((B394-$B$19)/$B$20),1-0.5*EXP(-(B394-$B$19)/$B$20)))</f>
        <v>0.351631451720155</v>
      </c>
      <c r="G394" s="21" t="n">
        <f aca="false">IF(B394="","",1/(1+EXP(-(B394-$B$15)/$B$21)))</f>
        <v>0.388516956702703</v>
      </c>
      <c r="H394" s="21" t="n">
        <f aca="false">IF(B394="","",MAX(ABS($A394/$B$6-D394),ABS(($A394-1)/$B$6-D394)))</f>
        <v>0.0442722351315034</v>
      </c>
      <c r="I394" s="21" t="n">
        <f aca="false">IF(B394="","",MAX(ABS($A394/$B$6-E394),ABS(($A394-1)/$B$6-E394)))</f>
        <v>0.0309570305069342</v>
      </c>
      <c r="J394" s="21" t="n">
        <f aca="false">IF(B394="","",MAX(ABS($A394/$B$6-F394),ABS(($A394-1)/$B$6-F394)))</f>
        <v>0.00636854827984529</v>
      </c>
      <c r="K394" s="21" t="n">
        <f aca="false">IF(B394="","",MAX(ABS($A394/$B$6-G394),ABS(($A394-1)/$B$6-G394)))</f>
        <v>0.0315169567027026</v>
      </c>
    </row>
    <row r="395" customFormat="false" ht="15" hidden="false" customHeight="false" outlineLevel="0" collapsed="false">
      <c r="A395" s="11" t="n">
        <v>359</v>
      </c>
      <c r="B395" s="9" t="n">
        <f aca="false">IF(A395&gt;$B$6,"",SMALL(BTC_Data!$C$3:$C$1002,A395))</f>
        <v>-0.000330078007744095</v>
      </c>
      <c r="C395" s="21" t="n">
        <f aca="false">IF(B395="","",A395/$B$6)</f>
        <v>0.359</v>
      </c>
      <c r="D395" s="21" t="n">
        <f aca="false">IF(B395="","",NORMDIST(B395,$B$15,$B$16,TRUE()))</f>
        <v>0.401281335644034</v>
      </c>
      <c r="E395" s="21" t="n">
        <f aca="false">IF(B395="","",IF(B395&gt;=$B$15,1-TDIST((B395-$B$15)/$B$18,$B$17,1),TDIST(($B$15-B395)/$B$18,$B$17,1)))</f>
        <v>0.38796723190543</v>
      </c>
      <c r="F395" s="21" t="n">
        <f aca="false">IF(B395="","",IF(B395&lt;$B$19,0.5*EXP((B395-$B$19)/$B$20),1-0.5*EXP(-(B395-$B$19)/$B$20)))</f>
        <v>0.35164301692082</v>
      </c>
      <c r="G395" s="21" t="n">
        <f aca="false">IF(B395="","",1/(1+EXP(-(B395-$B$15)/$B$21)))</f>
        <v>0.388527098570386</v>
      </c>
      <c r="H395" s="21" t="n">
        <f aca="false">IF(B395="","",MAX(ABS($A395/$B$6-D395),ABS(($A395-1)/$B$6-D395)))</f>
        <v>0.0432813356440341</v>
      </c>
      <c r="I395" s="21" t="n">
        <f aca="false">IF(B395="","",MAX(ABS($A395/$B$6-E395),ABS(($A395-1)/$B$6-E395)))</f>
        <v>0.0299672319054304</v>
      </c>
      <c r="J395" s="21" t="n">
        <f aca="false">IF(B395="","",MAX(ABS($A395/$B$6-F395),ABS(($A395-1)/$B$6-F395)))</f>
        <v>0.00735698307918015</v>
      </c>
      <c r="K395" s="21" t="n">
        <f aca="false">IF(B395="","",MAX(ABS($A395/$B$6-G395),ABS(($A395-1)/$B$6-G395)))</f>
        <v>0.0305270985703856</v>
      </c>
    </row>
    <row r="396" customFormat="false" ht="15" hidden="false" customHeight="false" outlineLevel="0" collapsed="false">
      <c r="A396" s="11" t="n">
        <v>360</v>
      </c>
      <c r="B396" s="9" t="n">
        <f aca="false">IF(A396&gt;$B$6,"",SMALL(BTC_Data!$C$3:$C$1002,A396))</f>
        <v>-0.000329094989384382</v>
      </c>
      <c r="C396" s="21" t="n">
        <f aca="false">IF(B396="","",A396/$B$6)</f>
        <v>0.36</v>
      </c>
      <c r="D396" s="21" t="n">
        <f aca="false">IF(B396="","",NORMDIST(B396,$B$15,$B$16,TRUE()))</f>
        <v>0.401579891558337</v>
      </c>
      <c r="E396" s="21" t="n">
        <f aca="false">IF(B396="","",IF(B396&gt;=$B$15,1-TDIST((B396-$B$15)/$B$18,$B$17,1),TDIST(($B$15-B396)/$B$18,$B$17,1)))</f>
        <v>0.388301923327007</v>
      </c>
      <c r="F396" s="21" t="n">
        <f aca="false">IF(B396="","",IF(B396&lt;$B$19,0.5*EXP((B396-$B$19)/$B$20),1-0.5*EXP(-(B396-$B$19)/$B$20)))</f>
        <v>0.352022603881894</v>
      </c>
      <c r="G396" s="21" t="n">
        <f aca="false">IF(B396="","",1/(1+EXP(-(B396-$B$15)/$B$21)))</f>
        <v>0.388859838108126</v>
      </c>
      <c r="H396" s="21" t="n">
        <f aca="false">IF(B396="","",MAX(ABS($A396/$B$6-D396),ABS(($A396-1)/$B$6-D396)))</f>
        <v>0.0425798915583375</v>
      </c>
      <c r="I396" s="21" t="n">
        <f aca="false">IF(B396="","",MAX(ABS($A396/$B$6-E396),ABS(($A396-1)/$B$6-E396)))</f>
        <v>0.0293019233270068</v>
      </c>
      <c r="J396" s="21" t="n">
        <f aca="false">IF(B396="","",MAX(ABS($A396/$B$6-F396),ABS(($A396-1)/$B$6-F396)))</f>
        <v>0.00797739611810611</v>
      </c>
      <c r="K396" s="21" t="n">
        <f aca="false">IF(B396="","",MAX(ABS($A396/$B$6-G396),ABS(($A396-1)/$B$6-G396)))</f>
        <v>0.0298598381081259</v>
      </c>
    </row>
    <row r="397" customFormat="false" ht="15" hidden="false" customHeight="false" outlineLevel="0" collapsed="false">
      <c r="A397" s="11" t="n">
        <v>361</v>
      </c>
      <c r="B397" s="9" t="n">
        <f aca="false">IF(A397&gt;$B$6,"",SMALL(BTC_Data!$C$3:$C$1002,A397))</f>
        <v>-0.000326088239123612</v>
      </c>
      <c r="C397" s="21" t="n">
        <f aca="false">IF(B397="","",A397/$B$6)</f>
        <v>0.361</v>
      </c>
      <c r="D397" s="21" t="n">
        <f aca="false">IF(B397="","",NORMDIST(B397,$B$15,$B$16,TRUE()))</f>
        <v>0.402493438058578</v>
      </c>
      <c r="E397" s="21" t="n">
        <f aca="false">IF(B397="","",IF(B397&gt;=$B$15,1-TDIST((B397-$B$15)/$B$18,$B$17,1),TDIST(($B$15-B397)/$B$18,$B$17,1)))</f>
        <v>0.389326271993654</v>
      </c>
      <c r="F397" s="21" t="n">
        <f aca="false">IF(B397="","",IF(B397&lt;$B$19,0.5*EXP((B397-$B$19)/$B$20),1-0.5*EXP(-(B397-$B$19)/$B$20)))</f>
        <v>0.353186188703327</v>
      </c>
      <c r="G397" s="21" t="n">
        <f aca="false">IF(B397="","",1/(1+EXP(-(B397-$B$15)/$B$21)))</f>
        <v>0.389878227628618</v>
      </c>
      <c r="H397" s="21" t="n">
        <f aca="false">IF(B397="","",MAX(ABS($A397/$B$6-D397),ABS(($A397-1)/$B$6-D397)))</f>
        <v>0.0424934380585783</v>
      </c>
      <c r="I397" s="21" t="n">
        <f aca="false">IF(B397="","",MAX(ABS($A397/$B$6-E397),ABS(($A397-1)/$B$6-E397)))</f>
        <v>0.0293262719936541</v>
      </c>
      <c r="J397" s="21" t="n">
        <f aca="false">IF(B397="","",MAX(ABS($A397/$B$6-F397),ABS(($A397-1)/$B$6-F397)))</f>
        <v>0.00781381129667264</v>
      </c>
      <c r="K397" s="21" t="n">
        <f aca="false">IF(B397="","",MAX(ABS($A397/$B$6-G397),ABS(($A397-1)/$B$6-G397)))</f>
        <v>0.029878227628618</v>
      </c>
    </row>
    <row r="398" customFormat="false" ht="15" hidden="false" customHeight="false" outlineLevel="0" collapsed="false">
      <c r="A398" s="11" t="n">
        <v>362</v>
      </c>
      <c r="B398" s="9" t="n">
        <f aca="false">IF(A398&gt;$B$6,"",SMALL(BTC_Data!$C$3:$C$1002,A398))</f>
        <v>-0.000309447563600296</v>
      </c>
      <c r="C398" s="21" t="n">
        <f aca="false">IF(B398="","",A398/$B$6)</f>
        <v>0.362</v>
      </c>
      <c r="D398" s="21" t="n">
        <f aca="false">IF(B398="","",NORMDIST(B398,$B$15,$B$16,TRUE()))</f>
        <v>0.407558908322131</v>
      </c>
      <c r="E398" s="21" t="n">
        <f aca="false">IF(B398="","",IF(B398&gt;=$B$15,1-TDIST((B398-$B$15)/$B$18,$B$17,1),TDIST(($B$15-B398)/$B$18,$B$17,1)))</f>
        <v>0.395012327672321</v>
      </c>
      <c r="F398" s="21" t="n">
        <f aca="false">IF(B398="","",IF(B398&lt;$B$19,0.5*EXP((B398-$B$19)/$B$20),1-0.5*EXP(-(B398-$B$19)/$B$20)))</f>
        <v>0.359695873095645</v>
      </c>
      <c r="G398" s="21" t="n">
        <f aca="false">IF(B398="","",1/(1+EXP(-(B398-$B$15)/$B$21)))</f>
        <v>0.395531602576087</v>
      </c>
      <c r="H398" s="21" t="n">
        <f aca="false">IF(B398="","",MAX(ABS($A398/$B$6-D398),ABS(($A398-1)/$B$6-D398)))</f>
        <v>0.0465589083221309</v>
      </c>
      <c r="I398" s="21" t="n">
        <f aca="false">IF(B398="","",MAX(ABS($A398/$B$6-E398),ABS(($A398-1)/$B$6-E398)))</f>
        <v>0.0340123276723208</v>
      </c>
      <c r="J398" s="21" t="n">
        <f aca="false">IF(B398="","",MAX(ABS($A398/$B$6-F398),ABS(($A398-1)/$B$6-F398)))</f>
        <v>0.00230412690435511</v>
      </c>
      <c r="K398" s="21" t="n">
        <f aca="false">IF(B398="","",MAX(ABS($A398/$B$6-G398),ABS(($A398-1)/$B$6-G398)))</f>
        <v>0.0345316025760872</v>
      </c>
    </row>
    <row r="399" customFormat="false" ht="15" hidden="false" customHeight="false" outlineLevel="0" collapsed="false">
      <c r="A399" s="11" t="n">
        <v>363</v>
      </c>
      <c r="B399" s="9" t="n">
        <f aca="false">IF(A399&gt;$B$6,"",SMALL(BTC_Data!$C$3:$C$1002,A399))</f>
        <v>-0.000294016554567178</v>
      </c>
      <c r="C399" s="21" t="n">
        <f aca="false">IF(B399="","",A399/$B$6)</f>
        <v>0.363</v>
      </c>
      <c r="D399" s="21" t="n">
        <f aca="false">IF(B399="","",NORMDIST(B399,$B$15,$B$16,TRUE()))</f>
        <v>0.412270024435727</v>
      </c>
      <c r="E399" s="21" t="n">
        <f aca="false">IF(B399="","",IF(B399&gt;=$B$15,1-TDIST((B399-$B$15)/$B$18,$B$17,1),TDIST(($B$15-B399)/$B$18,$B$17,1)))</f>
        <v>0.40030970920521</v>
      </c>
      <c r="F399" s="21" t="n">
        <f aca="false">IF(B399="","",IF(B399&lt;$B$19,0.5*EXP((B399-$B$19)/$B$20),1-0.5*EXP(-(B399-$B$19)/$B$20)))</f>
        <v>0.365839515242562</v>
      </c>
      <c r="G399" s="21" t="n">
        <f aca="false">IF(B399="","",1/(1+EXP(-(B399-$B$15)/$B$21)))</f>
        <v>0.400799127358998</v>
      </c>
      <c r="H399" s="21" t="n">
        <f aca="false">IF(B399="","",MAX(ABS($A399/$B$6-D399),ABS(($A399-1)/$B$6-D399)))</f>
        <v>0.0502700244357268</v>
      </c>
      <c r="I399" s="21" t="n">
        <f aca="false">IF(B399="","",MAX(ABS($A399/$B$6-E399),ABS(($A399-1)/$B$6-E399)))</f>
        <v>0.0383097092052098</v>
      </c>
      <c r="J399" s="21" t="n">
        <f aca="false">IF(B399="","",MAX(ABS($A399/$B$6-F399),ABS(($A399-1)/$B$6-F399)))</f>
        <v>0.00383951524256243</v>
      </c>
      <c r="K399" s="21" t="n">
        <f aca="false">IF(B399="","",MAX(ABS($A399/$B$6-G399),ABS(($A399-1)/$B$6-G399)))</f>
        <v>0.0387991273589982</v>
      </c>
    </row>
    <row r="400" customFormat="false" ht="15" hidden="false" customHeight="false" outlineLevel="0" collapsed="false">
      <c r="A400" s="11" t="n">
        <v>364</v>
      </c>
      <c r="B400" s="9" t="n">
        <f aca="false">IF(A400&gt;$B$6,"",SMALL(BTC_Data!$C$3:$C$1002,A400))</f>
        <v>-0.000291827880237738</v>
      </c>
      <c r="C400" s="21" t="n">
        <f aca="false">IF(B400="","",A400/$B$6)</f>
        <v>0.364</v>
      </c>
      <c r="D400" s="21" t="n">
        <f aca="false">IF(B400="","",NORMDIST(B400,$B$15,$B$16,TRUE()))</f>
        <v>0.412939272523603</v>
      </c>
      <c r="E400" s="21" t="n">
        <f aca="false">IF(B400="","",IF(B400&gt;=$B$15,1-TDIST((B400-$B$15)/$B$18,$B$17,1),TDIST(($B$15-B400)/$B$18,$B$17,1)))</f>
        <v>0.401062925130486</v>
      </c>
      <c r="F400" s="21" t="n">
        <f aca="false">IF(B400="","",IF(B400&lt;$B$19,0.5*EXP((B400-$B$19)/$B$20),1-0.5*EXP(-(B400-$B$19)/$B$20)))</f>
        <v>0.366719361591898</v>
      </c>
      <c r="G400" s="21" t="n">
        <f aca="false">IF(B400="","",1/(1+EXP(-(B400-$B$15)/$B$21)))</f>
        <v>0.401548142960636</v>
      </c>
      <c r="H400" s="21" t="n">
        <f aca="false">IF(B400="","",MAX(ABS($A400/$B$6-D400),ABS(($A400-1)/$B$6-D400)))</f>
        <v>0.0499392725236033</v>
      </c>
      <c r="I400" s="21" t="n">
        <f aca="false">IF(B400="","",MAX(ABS($A400/$B$6-E400),ABS(($A400-1)/$B$6-E400)))</f>
        <v>0.038062925130486</v>
      </c>
      <c r="J400" s="21" t="n">
        <f aca="false">IF(B400="","",MAX(ABS($A400/$B$6-F400),ABS(($A400-1)/$B$6-F400)))</f>
        <v>0.00371936159189845</v>
      </c>
      <c r="K400" s="21" t="n">
        <f aca="false">IF(B400="","",MAX(ABS($A400/$B$6-G400),ABS(($A400-1)/$B$6-G400)))</f>
        <v>0.0385481429606356</v>
      </c>
    </row>
    <row r="401" customFormat="false" ht="15" hidden="false" customHeight="false" outlineLevel="0" collapsed="false">
      <c r="A401" s="11" t="n">
        <v>365</v>
      </c>
      <c r="B401" s="9" t="n">
        <f aca="false">IF(A401&gt;$B$6,"",SMALL(BTC_Data!$C$3:$C$1002,A401))</f>
        <v>-0.000291130953869345</v>
      </c>
      <c r="C401" s="21" t="n">
        <f aca="false">IF(B401="","",A401/$B$6)</f>
        <v>0.365</v>
      </c>
      <c r="D401" s="21" t="n">
        <f aca="false">IF(B401="","",NORMDIST(B401,$B$15,$B$16,TRUE()))</f>
        <v>0.41315243038022</v>
      </c>
      <c r="E401" s="21" t="n">
        <f aca="false">IF(B401="","",IF(B401&gt;=$B$15,1-TDIST((B401-$B$15)/$B$18,$B$17,1),TDIST(($B$15-B401)/$B$18,$B$17,1)))</f>
        <v>0.401302862061596</v>
      </c>
      <c r="F401" s="21" t="n">
        <f aca="false">IF(B401="","",IF(B401&lt;$B$19,0.5*EXP((B401-$B$19)/$B$20),1-0.5*EXP(-(B401-$B$19)/$B$20)))</f>
        <v>0.366999969691533</v>
      </c>
      <c r="G401" s="21" t="n">
        <f aca="false">IF(B401="","",1/(1+EXP(-(B401-$B$15)/$B$21)))</f>
        <v>0.401786744188502</v>
      </c>
      <c r="H401" s="21" t="n">
        <f aca="false">IF(B401="","",MAX(ABS($A401/$B$6-D401),ABS(($A401-1)/$B$6-D401)))</f>
        <v>0.0491524303802203</v>
      </c>
      <c r="I401" s="21" t="n">
        <f aca="false">IF(B401="","",MAX(ABS($A401/$B$6-E401),ABS(($A401-1)/$B$6-E401)))</f>
        <v>0.0373028620615961</v>
      </c>
      <c r="J401" s="21" t="n">
        <f aca="false">IF(B401="","",MAX(ABS($A401/$B$6-F401),ABS(($A401-1)/$B$6-F401)))</f>
        <v>0.00299996969153288</v>
      </c>
      <c r="K401" s="21" t="n">
        <f aca="false">IF(B401="","",MAX(ABS($A401/$B$6-G401),ABS(($A401-1)/$B$6-G401)))</f>
        <v>0.0377867441885015</v>
      </c>
    </row>
    <row r="402" customFormat="false" ht="15" hidden="false" customHeight="false" outlineLevel="0" collapsed="false">
      <c r="A402" s="11" t="n">
        <v>366</v>
      </c>
      <c r="B402" s="9" t="n">
        <f aca="false">IF(A402&gt;$B$6,"",SMALL(BTC_Data!$C$3:$C$1002,A402))</f>
        <v>-0.000285230437424233</v>
      </c>
      <c r="C402" s="21" t="n">
        <f aca="false">IF(B402="","",A402/$B$6)</f>
        <v>0.366</v>
      </c>
      <c r="D402" s="21" t="n">
        <f aca="false">IF(B402="","",NORMDIST(B402,$B$15,$B$16,TRUE()))</f>
        <v>0.414958148137196</v>
      </c>
      <c r="E402" s="21" t="n">
        <f aca="false">IF(B402="","",IF(B402&gt;=$B$15,1-TDIST((B402-$B$15)/$B$18,$B$17,1),TDIST(($B$15-B402)/$B$18,$B$17,1)))</f>
        <v>0.403336104558229</v>
      </c>
      <c r="F402" s="21" t="n">
        <f aca="false">IF(B402="","",IF(B402&lt;$B$19,0.5*EXP((B402-$B$19)/$B$20),1-0.5*EXP(-(B402-$B$19)/$B$20)))</f>
        <v>0.369384354840187</v>
      </c>
      <c r="G402" s="21" t="n">
        <f aca="false">IF(B402="","",1/(1+EXP(-(B402-$B$15)/$B$21)))</f>
        <v>0.40380871228221</v>
      </c>
      <c r="H402" s="21" t="n">
        <f aca="false">IF(B402="","",MAX(ABS($A402/$B$6-D402),ABS(($A402-1)/$B$6-D402)))</f>
        <v>0.049958148137196</v>
      </c>
      <c r="I402" s="21" t="n">
        <f aca="false">IF(B402="","",MAX(ABS($A402/$B$6-E402),ABS(($A402-1)/$B$6-E402)))</f>
        <v>0.0383361045582291</v>
      </c>
      <c r="J402" s="21" t="n">
        <f aca="false">IF(B402="","",MAX(ABS($A402/$B$6-F402),ABS(($A402-1)/$B$6-F402)))</f>
        <v>0.0043843548401869</v>
      </c>
      <c r="K402" s="21" t="n">
        <f aca="false">IF(B402="","",MAX(ABS($A402/$B$6-G402),ABS(($A402-1)/$B$6-G402)))</f>
        <v>0.0388087122822104</v>
      </c>
    </row>
    <row r="403" customFormat="false" ht="15" hidden="false" customHeight="false" outlineLevel="0" collapsed="false">
      <c r="A403" s="11" t="n">
        <v>367</v>
      </c>
      <c r="B403" s="9" t="n">
        <f aca="false">IF(A403&gt;$B$6,"",SMALL(BTC_Data!$C$3:$C$1002,A403))</f>
        <v>-0.000283443494577651</v>
      </c>
      <c r="C403" s="21" t="n">
        <f aca="false">IF(B403="","",A403/$B$6)</f>
        <v>0.367</v>
      </c>
      <c r="D403" s="21" t="n">
        <f aca="false">IF(B403="","",NORMDIST(B403,$B$15,$B$16,TRUE()))</f>
        <v>0.415505357512873</v>
      </c>
      <c r="E403" s="21" t="n">
        <f aca="false">IF(B403="","",IF(B403&gt;=$B$15,1-TDIST((B403-$B$15)/$B$18,$B$17,1),TDIST(($B$15-B403)/$B$18,$B$17,1)))</f>
        <v>0.403952498633395</v>
      </c>
      <c r="F403" s="21" t="n">
        <f aca="false">IF(B403="","",IF(B403&lt;$B$19,0.5*EXP((B403-$B$19)/$B$20),1-0.5*EXP(-(B403-$B$19)/$B$20)))</f>
        <v>0.370109505859267</v>
      </c>
      <c r="G403" s="21" t="n">
        <f aca="false">IF(B403="","",1/(1+EXP(-(B403-$B$15)/$B$21)))</f>
        <v>0.404421704011085</v>
      </c>
      <c r="H403" s="21" t="n">
        <f aca="false">IF(B403="","",MAX(ABS($A403/$B$6-D403),ABS(($A403-1)/$B$6-D403)))</f>
        <v>0.0495053575128733</v>
      </c>
      <c r="I403" s="21" t="n">
        <f aca="false">IF(B403="","",MAX(ABS($A403/$B$6-E403),ABS(($A403-1)/$B$6-E403)))</f>
        <v>0.0379524986333947</v>
      </c>
      <c r="J403" s="21" t="n">
        <f aca="false">IF(B403="","",MAX(ABS($A403/$B$6-F403),ABS(($A403-1)/$B$6-F403)))</f>
        <v>0.00410950585926667</v>
      </c>
      <c r="K403" s="21" t="n">
        <f aca="false">IF(B403="","",MAX(ABS($A403/$B$6-G403),ABS(($A403-1)/$B$6-G403)))</f>
        <v>0.038421704011085</v>
      </c>
    </row>
    <row r="404" customFormat="false" ht="15" hidden="false" customHeight="false" outlineLevel="0" collapsed="false">
      <c r="A404" s="11" t="n">
        <v>368</v>
      </c>
      <c r="B404" s="9" t="n">
        <f aca="false">IF(A404&gt;$B$6,"",SMALL(BTC_Data!$C$3:$C$1002,A404))</f>
        <v>-0.000282308464410463</v>
      </c>
      <c r="C404" s="21" t="n">
        <f aca="false">IF(B404="","",A404/$B$6)</f>
        <v>0.368</v>
      </c>
      <c r="D404" s="21" t="n">
        <f aca="false">IF(B404="","",NORMDIST(B404,$B$15,$B$16,TRUE()))</f>
        <v>0.415853019095327</v>
      </c>
      <c r="E404" s="21" t="n">
        <f aca="false">IF(B404="","",IF(B404&gt;=$B$15,1-TDIST((B404-$B$15)/$B$18,$B$17,1),TDIST(($B$15-B404)/$B$18,$B$17,1)))</f>
        <v>0.404344171914653</v>
      </c>
      <c r="F404" s="21" t="n">
        <f aca="false">IF(B404="","",IF(B404&lt;$B$19,0.5*EXP((B404-$B$19)/$B$20),1-0.5*EXP(-(B404-$B$19)/$B$20)))</f>
        <v>0.370570846313035</v>
      </c>
      <c r="G404" s="21" t="n">
        <f aca="false">IF(B404="","",1/(1+EXP(-(B404-$B$15)/$B$21)))</f>
        <v>0.404811219085833</v>
      </c>
      <c r="H404" s="21" t="n">
        <f aca="false">IF(B404="","",MAX(ABS($A404/$B$6-D404),ABS(($A404-1)/$B$6-D404)))</f>
        <v>0.0488530190953271</v>
      </c>
      <c r="I404" s="21" t="n">
        <f aca="false">IF(B404="","",MAX(ABS($A404/$B$6-E404),ABS(($A404-1)/$B$6-E404)))</f>
        <v>0.0373441719146533</v>
      </c>
      <c r="J404" s="21" t="n">
        <f aca="false">IF(B404="","",MAX(ABS($A404/$B$6-F404),ABS(($A404-1)/$B$6-F404)))</f>
        <v>0.00357084631303473</v>
      </c>
      <c r="K404" s="21" t="n">
        <f aca="false">IF(B404="","",MAX(ABS($A404/$B$6-G404),ABS(($A404-1)/$B$6-G404)))</f>
        <v>0.0378112190858331</v>
      </c>
    </row>
    <row r="405" customFormat="false" ht="15" hidden="false" customHeight="false" outlineLevel="0" collapsed="false">
      <c r="A405" s="11" t="n">
        <v>369</v>
      </c>
      <c r="B405" s="9" t="n">
        <f aca="false">IF(A405&gt;$B$6,"",SMALL(BTC_Data!$C$3:$C$1002,A405))</f>
        <v>-0.000279811411952102</v>
      </c>
      <c r="C405" s="21" t="n">
        <f aca="false">IF(B405="","",A405/$B$6)</f>
        <v>0.369</v>
      </c>
      <c r="D405" s="21" t="n">
        <f aca="false">IF(B405="","",NORMDIST(B405,$B$15,$B$16,TRUE()))</f>
        <v>0.416618101800835</v>
      </c>
      <c r="E405" s="21" t="n">
        <f aca="false">IF(B405="","",IF(B405&gt;=$B$15,1-TDIST((B405-$B$15)/$B$18,$B$17,1),TDIST(($B$15-B405)/$B$18,$B$17,1)))</f>
        <v>0.405206261914413</v>
      </c>
      <c r="F405" s="21" t="n">
        <f aca="false">IF(B405="","",IF(B405&lt;$B$19,0.5*EXP((B405-$B$19)/$B$20),1-0.5*EXP(-(B405-$B$19)/$B$20)))</f>
        <v>0.371587814857717</v>
      </c>
      <c r="G405" s="21" t="n">
        <f aca="false">IF(B405="","",1/(1+EXP(-(B405-$B$15)/$B$21)))</f>
        <v>0.405668568950933</v>
      </c>
      <c r="H405" s="21" t="n">
        <f aca="false">IF(B405="","",MAX(ABS($A405/$B$6-D405),ABS(($A405-1)/$B$6-D405)))</f>
        <v>0.048618101800835</v>
      </c>
      <c r="I405" s="21" t="n">
        <f aca="false">IF(B405="","",MAX(ABS($A405/$B$6-E405),ABS(($A405-1)/$B$6-E405)))</f>
        <v>0.0372062619144135</v>
      </c>
      <c r="J405" s="21" t="n">
        <f aca="false">IF(B405="","",MAX(ABS($A405/$B$6-F405),ABS(($A405-1)/$B$6-F405)))</f>
        <v>0.00358781485771686</v>
      </c>
      <c r="K405" s="21" t="n">
        <f aca="false">IF(B405="","",MAX(ABS($A405/$B$6-G405),ABS(($A405-1)/$B$6-G405)))</f>
        <v>0.0376685689509327</v>
      </c>
    </row>
    <row r="406" customFormat="false" ht="15" hidden="false" customHeight="false" outlineLevel="0" collapsed="false">
      <c r="A406" s="11" t="n">
        <v>370</v>
      </c>
      <c r="B406" s="9" t="n">
        <f aca="false">IF(A406&gt;$B$6,"",SMALL(BTC_Data!$C$3:$C$1002,A406))</f>
        <v>-0.000279281839816958</v>
      </c>
      <c r="C406" s="21" t="n">
        <f aca="false">IF(B406="","",A406/$B$6)</f>
        <v>0.37</v>
      </c>
      <c r="D406" s="21" t="n">
        <f aca="false">IF(B406="","",NORMDIST(B406,$B$15,$B$16,TRUE()))</f>
        <v>0.416780400407002</v>
      </c>
      <c r="E406" s="21" t="n">
        <f aca="false">IF(B406="","",IF(B406&gt;=$B$15,1-TDIST((B406-$B$15)/$B$18,$B$17,1),TDIST(($B$15-B406)/$B$18,$B$17,1)))</f>
        <v>0.405389165760436</v>
      </c>
      <c r="F406" s="21" t="n">
        <f aca="false">IF(B406="","",IF(B406&lt;$B$19,0.5*EXP((B406-$B$19)/$B$20),1-0.5*EXP(-(B406-$B$19)/$B$20)))</f>
        <v>0.371803850877259</v>
      </c>
      <c r="G406" s="21" t="n">
        <f aca="false">IF(B406="","",1/(1+EXP(-(B406-$B$15)/$B$21)))</f>
        <v>0.405850468905933</v>
      </c>
      <c r="H406" s="21" t="n">
        <f aca="false">IF(B406="","",MAX(ABS($A406/$B$6-D406),ABS(($A406-1)/$B$6-D406)))</f>
        <v>0.0477804004070024</v>
      </c>
      <c r="I406" s="21" t="n">
        <f aca="false">IF(B406="","",MAX(ABS($A406/$B$6-E406),ABS(($A406-1)/$B$6-E406)))</f>
        <v>0.0363891657604357</v>
      </c>
      <c r="J406" s="21" t="n">
        <f aca="false">IF(B406="","",MAX(ABS($A406/$B$6-F406),ABS(($A406-1)/$B$6-F406)))</f>
        <v>0.0028038508772591</v>
      </c>
      <c r="K406" s="21" t="n">
        <f aca="false">IF(B406="","",MAX(ABS($A406/$B$6-G406),ABS(($A406-1)/$B$6-G406)))</f>
        <v>0.036850468905933</v>
      </c>
    </row>
    <row r="407" customFormat="false" ht="15" hidden="false" customHeight="false" outlineLevel="0" collapsed="false">
      <c r="A407" s="11" t="n">
        <v>371</v>
      </c>
      <c r="B407" s="9" t="n">
        <f aca="false">IF(A407&gt;$B$6,"",SMALL(BTC_Data!$C$3:$C$1002,A407))</f>
        <v>-0.000277067417919774</v>
      </c>
      <c r="C407" s="21" t="n">
        <f aca="false">IF(B407="","",A407/$B$6)</f>
        <v>0.371</v>
      </c>
      <c r="D407" s="21" t="n">
        <f aca="false">IF(B407="","",NORMDIST(B407,$B$15,$B$16,TRUE()))</f>
        <v>0.417459210306172</v>
      </c>
      <c r="E407" s="21" t="n">
        <f aca="false">IF(B407="","",IF(B407&gt;=$B$15,1-TDIST((B407-$B$15)/$B$18,$B$17,1),TDIST(($B$15-B407)/$B$18,$B$17,1)))</f>
        <v>0.406154257880476</v>
      </c>
      <c r="F407" s="21" t="n">
        <f aca="false">IF(B407="","",IF(B407&lt;$B$19,0.5*EXP((B407-$B$19)/$B$20),1-0.5*EXP(-(B407-$B$19)/$B$20)))</f>
        <v>0.37270857353925</v>
      </c>
      <c r="G407" s="21" t="n">
        <f aca="false">IF(B407="","",1/(1+EXP(-(B407-$B$15)/$B$21)))</f>
        <v>0.406611368484006</v>
      </c>
      <c r="H407" s="21" t="n">
        <f aca="false">IF(B407="","",MAX(ABS($A407/$B$6-D407),ABS(($A407-1)/$B$6-D407)))</f>
        <v>0.0474592103061718</v>
      </c>
      <c r="I407" s="21" t="n">
        <f aca="false">IF(B407="","",MAX(ABS($A407/$B$6-E407),ABS(($A407-1)/$B$6-E407)))</f>
        <v>0.0361542578804764</v>
      </c>
      <c r="J407" s="21" t="n">
        <f aca="false">IF(B407="","",MAX(ABS($A407/$B$6-F407),ABS(($A407-1)/$B$6-F407)))</f>
        <v>0.00270857353924975</v>
      </c>
      <c r="K407" s="21" t="n">
        <f aca="false">IF(B407="","",MAX(ABS($A407/$B$6-G407),ABS(($A407-1)/$B$6-G407)))</f>
        <v>0.036611368484006</v>
      </c>
    </row>
    <row r="408" customFormat="false" ht="15" hidden="false" customHeight="false" outlineLevel="0" collapsed="false">
      <c r="A408" s="11" t="n">
        <v>372</v>
      </c>
      <c r="B408" s="9" t="n">
        <f aca="false">IF(A408&gt;$B$6,"",SMALL(BTC_Data!$C$3:$C$1002,A408))</f>
        <v>-0.000269874158609573</v>
      </c>
      <c r="C408" s="21" t="n">
        <f aca="false">IF(B408="","",A408/$B$6)</f>
        <v>0.372</v>
      </c>
      <c r="D408" s="21" t="n">
        <f aca="false">IF(B408="","",NORMDIST(B408,$B$15,$B$16,TRUE()))</f>
        <v>0.419665923080949</v>
      </c>
      <c r="E408" s="21" t="n">
        <f aca="false">IF(B408="","",IF(B408&gt;=$B$15,1-TDIST((B408-$B$15)/$B$18,$B$17,1),TDIST(($B$15-B408)/$B$18,$B$17,1)))</f>
        <v>0.408642577964773</v>
      </c>
      <c r="F408" s="21" t="n">
        <f aca="false">IF(B408="","",IF(B408&lt;$B$19,0.5*EXP((B408-$B$19)/$B$20),1-0.5*EXP(-(B408-$B$19)/$B$20)))</f>
        <v>0.375662664846943</v>
      </c>
      <c r="G408" s="21" t="n">
        <f aca="false">IF(B408="","",1/(1+EXP(-(B408-$B$15)/$B$21)))</f>
        <v>0.40908612784821</v>
      </c>
      <c r="H408" s="21" t="n">
        <f aca="false">IF(B408="","",MAX(ABS($A408/$B$6-D408),ABS(($A408-1)/$B$6-D408)))</f>
        <v>0.0486659230809491</v>
      </c>
      <c r="I408" s="21" t="n">
        <f aca="false">IF(B408="","",MAX(ABS($A408/$B$6-E408),ABS(($A408-1)/$B$6-E408)))</f>
        <v>0.0376425779647734</v>
      </c>
      <c r="J408" s="21" t="n">
        <f aca="false">IF(B408="","",MAX(ABS($A408/$B$6-F408),ABS(($A408-1)/$B$6-F408)))</f>
        <v>0.00466266484694305</v>
      </c>
      <c r="K408" s="21" t="n">
        <f aca="false">IF(B408="","",MAX(ABS($A408/$B$6-G408),ABS(($A408-1)/$B$6-G408)))</f>
        <v>0.03808612784821</v>
      </c>
    </row>
    <row r="409" customFormat="false" ht="15" hidden="false" customHeight="false" outlineLevel="0" collapsed="false">
      <c r="A409" s="11" t="n">
        <v>373</v>
      </c>
      <c r="B409" s="9" t="n">
        <f aca="false">IF(A409&gt;$B$6,"",SMALL(BTC_Data!$C$3:$C$1002,A409))</f>
        <v>-0.000269055491459502</v>
      </c>
      <c r="C409" s="21" t="n">
        <f aca="false">IF(B409="","",A409/$B$6)</f>
        <v>0.373</v>
      </c>
      <c r="D409" s="21" t="n">
        <f aca="false">IF(B409="","",NORMDIST(B409,$B$15,$B$16,TRUE()))</f>
        <v>0.419917231332537</v>
      </c>
      <c r="E409" s="21" t="n">
        <f aca="false">IF(B409="","",IF(B409&gt;=$B$15,1-TDIST((B409-$B$15)/$B$18,$B$17,1),TDIST(($B$15-B409)/$B$18,$B$17,1)))</f>
        <v>0.40892606358416</v>
      </c>
      <c r="F409" s="21" t="n">
        <f aca="false">IF(B409="","",IF(B409&lt;$B$19,0.5*EXP((B409-$B$19)/$B$20),1-0.5*EXP(-(B409-$B$19)/$B$20)))</f>
        <v>0.376000351490262</v>
      </c>
      <c r="G409" s="21" t="n">
        <f aca="false">IF(B409="","",1/(1+EXP(-(B409-$B$15)/$B$21)))</f>
        <v>0.409368075721835</v>
      </c>
      <c r="H409" s="21" t="n">
        <f aca="false">IF(B409="","",MAX(ABS($A409/$B$6-D409),ABS(($A409-1)/$B$6-D409)))</f>
        <v>0.0479172313325373</v>
      </c>
      <c r="I409" s="21" t="n">
        <f aca="false">IF(B409="","",MAX(ABS($A409/$B$6-E409),ABS(($A409-1)/$B$6-E409)))</f>
        <v>0.0369260635841597</v>
      </c>
      <c r="J409" s="21" t="n">
        <f aca="false">IF(B409="","",MAX(ABS($A409/$B$6-F409),ABS(($A409-1)/$B$6-F409)))</f>
        <v>0.00400035149026223</v>
      </c>
      <c r="K409" s="21" t="n">
        <f aca="false">IF(B409="","",MAX(ABS($A409/$B$6-G409),ABS(($A409-1)/$B$6-G409)))</f>
        <v>0.0373680757218353</v>
      </c>
    </row>
    <row r="410" customFormat="false" ht="15" hidden="false" customHeight="false" outlineLevel="0" collapsed="false">
      <c r="A410" s="11" t="n">
        <v>374</v>
      </c>
      <c r="B410" s="9" t="n">
        <f aca="false">IF(A410&gt;$B$6,"",SMALL(BTC_Data!$C$3:$C$1002,A410))</f>
        <v>-0.000268758989859008</v>
      </c>
      <c r="C410" s="21" t="n">
        <f aca="false">IF(B410="","",A410/$B$6)</f>
        <v>0.374</v>
      </c>
      <c r="D410" s="21" t="n">
        <f aca="false">IF(B410="","",NORMDIST(B410,$B$15,$B$16,TRUE()))</f>
        <v>0.42000825721336</v>
      </c>
      <c r="E410" s="21" t="n">
        <f aca="false">IF(B410="","",IF(B410&gt;=$B$15,1-TDIST((B410-$B$15)/$B$18,$B$17,1),TDIST(($B$15-B410)/$B$18,$B$17,1)))</f>
        <v>0.409028749706209</v>
      </c>
      <c r="F410" s="21" t="n">
        <f aca="false">IF(B410="","",IF(B410&lt;$B$19,0.5*EXP((B410-$B$19)/$B$20),1-0.5*EXP(-(B410-$B$19)/$B$20)))</f>
        <v>0.376122728354197</v>
      </c>
      <c r="G410" s="21" t="n">
        <f aca="false">IF(B410="","",1/(1+EXP(-(B410-$B$15)/$B$21)))</f>
        <v>0.409470205190209</v>
      </c>
      <c r="H410" s="21" t="n">
        <f aca="false">IF(B410="","",MAX(ABS($A410/$B$6-D410),ABS(($A410-1)/$B$6-D410)))</f>
        <v>0.0470082572133598</v>
      </c>
      <c r="I410" s="21" t="n">
        <f aca="false">IF(B410="","",MAX(ABS($A410/$B$6-E410),ABS(($A410-1)/$B$6-E410)))</f>
        <v>0.0360287497062087</v>
      </c>
      <c r="J410" s="21" t="n">
        <f aca="false">IF(B410="","",MAX(ABS($A410/$B$6-F410),ABS(($A410-1)/$B$6-F410)))</f>
        <v>0.00312272835419714</v>
      </c>
      <c r="K410" s="21" t="n">
        <f aca="false">IF(B410="","",MAX(ABS($A410/$B$6-G410),ABS(($A410-1)/$B$6-G410)))</f>
        <v>0.0364702051902087</v>
      </c>
    </row>
    <row r="411" customFormat="false" ht="15" hidden="false" customHeight="false" outlineLevel="0" collapsed="false">
      <c r="A411" s="11" t="n">
        <v>375</v>
      </c>
      <c r="B411" s="9" t="n">
        <f aca="false">IF(A411&gt;$B$6,"",SMALL(BTC_Data!$C$3:$C$1002,A411))</f>
        <v>-0.000267958882026353</v>
      </c>
      <c r="C411" s="21" t="n">
        <f aca="false">IF(B411="","",A411/$B$6)</f>
        <v>0.375</v>
      </c>
      <c r="D411" s="21" t="n">
        <f aca="false">IF(B411="","",NORMDIST(B411,$B$15,$B$16,TRUE()))</f>
        <v>0.420253911360512</v>
      </c>
      <c r="E411" s="21" t="n">
        <f aca="false">IF(B411="","",IF(B411&gt;=$B$15,1-TDIST((B411-$B$15)/$B$18,$B$17,1),TDIST(($B$15-B411)/$B$18,$B$17,1)))</f>
        <v>0.40930588581456</v>
      </c>
      <c r="F411" s="21" t="n">
        <f aca="false">IF(B411="","",IF(B411&lt;$B$19,0.5*EXP((B411-$B$19)/$B$20),1-0.5*EXP(-(B411-$B$19)/$B$20)))</f>
        <v>0.376453160400531</v>
      </c>
      <c r="G411" s="21" t="n">
        <f aca="false">IF(B411="","",1/(1+EXP(-(B411-$B$15)/$B$21)))</f>
        <v>0.409745839916413</v>
      </c>
      <c r="H411" s="21" t="n">
        <f aca="false">IF(B411="","",MAX(ABS($A411/$B$6-D411),ABS(($A411-1)/$B$6-D411)))</f>
        <v>0.0462539113605122</v>
      </c>
      <c r="I411" s="21" t="n">
        <f aca="false">IF(B411="","",MAX(ABS($A411/$B$6-E411),ABS(($A411-1)/$B$6-E411)))</f>
        <v>0.0353058858145598</v>
      </c>
      <c r="J411" s="21" t="n">
        <f aca="false">IF(B411="","",MAX(ABS($A411/$B$6-F411),ABS(($A411-1)/$B$6-F411)))</f>
        <v>0.00245316040053062</v>
      </c>
      <c r="K411" s="21" t="n">
        <f aca="false">IF(B411="","",MAX(ABS($A411/$B$6-G411),ABS(($A411-1)/$B$6-G411)))</f>
        <v>0.0357458399164126</v>
      </c>
    </row>
    <row r="412" customFormat="false" ht="15" hidden="false" customHeight="false" outlineLevel="0" collapsed="false">
      <c r="A412" s="11" t="n">
        <v>376</v>
      </c>
      <c r="B412" s="9" t="n">
        <f aca="false">IF(A412&gt;$B$6,"",SMALL(BTC_Data!$C$3:$C$1002,A412))</f>
        <v>-0.000265506475789601</v>
      </c>
      <c r="C412" s="21" t="n">
        <f aca="false">IF(B412="","",A412/$B$6)</f>
        <v>0.376</v>
      </c>
      <c r="D412" s="21" t="n">
        <f aca="false">IF(B412="","",NORMDIST(B412,$B$15,$B$16,TRUE()))</f>
        <v>0.421007057723932</v>
      </c>
      <c r="E412" s="21" t="n">
        <f aca="false">IF(B412="","",IF(B412&gt;=$B$15,1-TDIST((B412-$B$15)/$B$18,$B$17,1),TDIST(($B$15-B412)/$B$18,$B$17,1)))</f>
        <v>0.410155680106149</v>
      </c>
      <c r="F412" s="21" t="n">
        <f aca="false">IF(B412="","",IF(B412&lt;$B$19,0.5*EXP((B412-$B$19)/$B$20),1-0.5*EXP(-(B412-$B$19)/$B$20)))</f>
        <v>0.377467775494919</v>
      </c>
      <c r="G412" s="21" t="n">
        <f aca="false">IF(B412="","",1/(1+EXP(-(B412-$B$15)/$B$21)))</f>
        <v>0.41059103908154</v>
      </c>
      <c r="H412" s="21" t="n">
        <f aca="false">IF(B412="","",MAX(ABS($A412/$B$6-D412),ABS(($A412-1)/$B$6-D412)))</f>
        <v>0.0460070577239319</v>
      </c>
      <c r="I412" s="21" t="n">
        <f aca="false">IF(B412="","",MAX(ABS($A412/$B$6-E412),ABS(($A412-1)/$B$6-E412)))</f>
        <v>0.0351556801061489</v>
      </c>
      <c r="J412" s="21" t="n">
        <f aca="false">IF(B412="","",MAX(ABS($A412/$B$6-F412),ABS(($A412-1)/$B$6-F412)))</f>
        <v>0.00246777549491894</v>
      </c>
      <c r="K412" s="21" t="n">
        <f aca="false">IF(B412="","",MAX(ABS($A412/$B$6-G412),ABS(($A412-1)/$B$6-G412)))</f>
        <v>0.0355910390815397</v>
      </c>
    </row>
    <row r="413" customFormat="false" ht="15" hidden="false" customHeight="false" outlineLevel="0" collapsed="false">
      <c r="A413" s="11" t="n">
        <v>377</v>
      </c>
      <c r="B413" s="9" t="n">
        <f aca="false">IF(A413&gt;$B$6,"",SMALL(BTC_Data!$C$3:$C$1002,A413))</f>
        <v>-0.000264438536576983</v>
      </c>
      <c r="C413" s="21" t="n">
        <f aca="false">IF(B413="","",A413/$B$6)</f>
        <v>0.377</v>
      </c>
      <c r="D413" s="21" t="n">
        <f aca="false">IF(B413="","",NORMDIST(B413,$B$15,$B$16,TRUE()))</f>
        <v>0.421335117804193</v>
      </c>
      <c r="E413" s="21" t="n">
        <f aca="false">IF(B413="","",IF(B413&gt;=$B$15,1-TDIST((B413-$B$15)/$B$18,$B$17,1),TDIST(($B$15-B413)/$B$18,$B$17,1)))</f>
        <v>0.410525898696173</v>
      </c>
      <c r="F413" s="21" t="n">
        <f aca="false">IF(B413="","",IF(B413&lt;$B$19,0.5*EXP((B413-$B$19)/$B$20),1-0.5*EXP(-(B413-$B$19)/$B$20)))</f>
        <v>0.377910459995631</v>
      </c>
      <c r="G413" s="21" t="n">
        <f aca="false">IF(B413="","",1/(1+EXP(-(B413-$B$15)/$B$21)))</f>
        <v>0.410959259823524</v>
      </c>
      <c r="H413" s="21" t="n">
        <f aca="false">IF(B413="","",MAX(ABS($A413/$B$6-D413),ABS(($A413-1)/$B$6-D413)))</f>
        <v>0.045335117804193</v>
      </c>
      <c r="I413" s="21" t="n">
        <f aca="false">IF(B413="","",MAX(ABS($A413/$B$6-E413),ABS(($A413-1)/$B$6-E413)))</f>
        <v>0.0345258986961728</v>
      </c>
      <c r="J413" s="21" t="n">
        <f aca="false">IF(B413="","",MAX(ABS($A413/$B$6-F413),ABS(($A413-1)/$B$6-F413)))</f>
        <v>0.00191045999563116</v>
      </c>
      <c r="K413" s="21" t="n">
        <f aca="false">IF(B413="","",MAX(ABS($A413/$B$6-G413),ABS(($A413-1)/$B$6-G413)))</f>
        <v>0.0349592598235244</v>
      </c>
    </row>
    <row r="414" customFormat="false" ht="15" hidden="false" customHeight="false" outlineLevel="0" collapsed="false">
      <c r="A414" s="11" t="n">
        <v>378</v>
      </c>
      <c r="B414" s="9" t="n">
        <f aca="false">IF(A414&gt;$B$6,"",SMALL(BTC_Data!$C$3:$C$1002,A414))</f>
        <v>-0.000262242757484321</v>
      </c>
      <c r="C414" s="21" t="n">
        <f aca="false">IF(B414="","",A414/$B$6)</f>
        <v>0.378</v>
      </c>
      <c r="D414" s="21" t="n">
        <f aca="false">IF(B414="","",NORMDIST(B414,$B$15,$B$16,TRUE()))</f>
        <v>0.42200981019575</v>
      </c>
      <c r="E414" s="21" t="n">
        <f aca="false">IF(B414="","",IF(B414&gt;=$B$15,1-TDIST((B414-$B$15)/$B$18,$B$17,1),TDIST(($B$15-B414)/$B$18,$B$17,1)))</f>
        <v>0.411287408435729</v>
      </c>
      <c r="F414" s="21" t="n">
        <f aca="false">IF(B414="","",IF(B414&lt;$B$19,0.5*EXP((B414-$B$19)/$B$20),1-0.5*EXP(-(B414-$B$19)/$B$20)))</f>
        <v>0.378822290950388</v>
      </c>
      <c r="G414" s="21" t="n">
        <f aca="false">IF(B414="","",1/(1+EXP(-(B414-$B$15)/$B$21)))</f>
        <v>0.411716667830888</v>
      </c>
      <c r="H414" s="21" t="n">
        <f aca="false">IF(B414="","",MAX(ABS($A414/$B$6-D414),ABS(($A414-1)/$B$6-D414)))</f>
        <v>0.0450098101957499</v>
      </c>
      <c r="I414" s="21" t="n">
        <f aca="false">IF(B414="","",MAX(ABS($A414/$B$6-E414),ABS(($A414-1)/$B$6-E414)))</f>
        <v>0.034287408435729</v>
      </c>
      <c r="J414" s="21" t="n">
        <f aca="false">IF(B414="","",MAX(ABS($A414/$B$6-F414),ABS(($A414-1)/$B$6-F414)))</f>
        <v>0.00182229095038788</v>
      </c>
      <c r="K414" s="21" t="n">
        <f aca="false">IF(B414="","",MAX(ABS($A414/$B$6-G414),ABS(($A414-1)/$B$6-G414)))</f>
        <v>0.0347166678308885</v>
      </c>
    </row>
    <row r="415" customFormat="false" ht="15" hidden="false" customHeight="false" outlineLevel="0" collapsed="false">
      <c r="A415" s="11" t="n">
        <v>379</v>
      </c>
      <c r="B415" s="9" t="n">
        <f aca="false">IF(A415&gt;$B$6,"",SMALL(BTC_Data!$C$3:$C$1002,A415))</f>
        <v>-0.00026214311822248</v>
      </c>
      <c r="C415" s="21" t="n">
        <f aca="false">IF(B415="","",A415/$B$6)</f>
        <v>0.379</v>
      </c>
      <c r="D415" s="21" t="n">
        <f aca="false">IF(B415="","",NORMDIST(B415,$B$15,$B$16,TRUE()))</f>
        <v>0.422040431586096</v>
      </c>
      <c r="E415" s="21" t="n">
        <f aca="false">IF(B415="","",IF(B415&gt;=$B$15,1-TDIST((B415-$B$15)/$B$18,$B$17,1),TDIST(($B$15-B415)/$B$18,$B$17,1)))</f>
        <v>0.41132197370471</v>
      </c>
      <c r="F415" s="21" t="n">
        <f aca="false">IF(B415="","",IF(B415&lt;$B$19,0.5*EXP((B415-$B$19)/$B$20),1-0.5*EXP(-(B415-$B$19)/$B$20)))</f>
        <v>0.378863719824957</v>
      </c>
      <c r="G415" s="21" t="n">
        <f aca="false">IF(B415="","",1/(1+EXP(-(B415-$B$15)/$B$21)))</f>
        <v>0.411751047164719</v>
      </c>
      <c r="H415" s="21" t="n">
        <f aca="false">IF(B415="","",MAX(ABS($A415/$B$6-D415),ABS(($A415-1)/$B$6-D415)))</f>
        <v>0.0440404315860964</v>
      </c>
      <c r="I415" s="21" t="n">
        <f aca="false">IF(B415="","",MAX(ABS($A415/$B$6-E415),ABS(($A415-1)/$B$6-E415)))</f>
        <v>0.0333219737047102</v>
      </c>
      <c r="J415" s="21" t="n">
        <f aca="false">IF(B415="","",MAX(ABS($A415/$B$6-F415),ABS(($A415-1)/$B$6-F415)))</f>
        <v>0.000863719824957088</v>
      </c>
      <c r="K415" s="21" t="n">
        <f aca="false">IF(B415="","",MAX(ABS($A415/$B$6-G415),ABS(($A415-1)/$B$6-G415)))</f>
        <v>0.0337510471647194</v>
      </c>
    </row>
    <row r="416" customFormat="false" ht="15" hidden="false" customHeight="false" outlineLevel="0" collapsed="false">
      <c r="A416" s="11" t="n">
        <v>380</v>
      </c>
      <c r="B416" s="9" t="n">
        <f aca="false">IF(A416&gt;$B$6,"",SMALL(BTC_Data!$C$3:$C$1002,A416))</f>
        <v>-0.000260879296305583</v>
      </c>
      <c r="C416" s="21" t="n">
        <f aca="false">IF(B416="","",A416/$B$6)</f>
        <v>0.38</v>
      </c>
      <c r="D416" s="21" t="n">
        <f aca="false">IF(B416="","",NORMDIST(B416,$B$15,$B$16,TRUE()))</f>
        <v>0.422428873379227</v>
      </c>
      <c r="E416" s="21" t="n">
        <f aca="false">IF(B416="","",IF(B416&gt;=$B$15,1-TDIST((B416-$B$15)/$B$18,$B$17,1),TDIST(($B$15-B416)/$B$18,$B$17,1)))</f>
        <v>0.411760471914814</v>
      </c>
      <c r="F416" s="21" t="n">
        <f aca="false">IF(B416="","",IF(B416&lt;$B$19,0.5*EXP((B416-$B$19)/$B$20),1-0.5*EXP(-(B416-$B$19)/$B$20)))</f>
        <v>0.379389596001615</v>
      </c>
      <c r="G416" s="21" t="n">
        <f aca="false">IF(B416="","",1/(1+EXP(-(B416-$B$15)/$B$21)))</f>
        <v>0.412187188418942</v>
      </c>
      <c r="H416" s="21" t="n">
        <f aca="false">IF(B416="","",MAX(ABS($A416/$B$6-D416),ABS(($A416-1)/$B$6-D416)))</f>
        <v>0.0434288733792267</v>
      </c>
      <c r="I416" s="21" t="n">
        <f aca="false">IF(B416="","",MAX(ABS($A416/$B$6-E416),ABS(($A416-1)/$B$6-E416)))</f>
        <v>0.0327604719148135</v>
      </c>
      <c r="J416" s="21" t="n">
        <f aca="false">IF(B416="","",MAX(ABS($A416/$B$6-F416),ABS(($A416-1)/$B$6-F416)))</f>
        <v>0.000610403998385412</v>
      </c>
      <c r="K416" s="21" t="n">
        <f aca="false">IF(B416="","",MAX(ABS($A416/$B$6-G416),ABS(($A416-1)/$B$6-G416)))</f>
        <v>0.0331871884189416</v>
      </c>
    </row>
    <row r="417" customFormat="false" ht="15" hidden="false" customHeight="false" outlineLevel="0" collapsed="false">
      <c r="A417" s="11" t="n">
        <v>381</v>
      </c>
      <c r="B417" s="9" t="n">
        <f aca="false">IF(A417&gt;$B$6,"",SMALL(BTC_Data!$C$3:$C$1002,A417))</f>
        <v>-0.000255661746834002</v>
      </c>
      <c r="C417" s="21" t="n">
        <f aca="false">IF(B417="","",A417/$B$6)</f>
        <v>0.381</v>
      </c>
      <c r="D417" s="21" t="n">
        <f aca="false">IF(B417="","",NORMDIST(B417,$B$15,$B$16,TRUE()))</f>
        <v>0.424033307218749</v>
      </c>
      <c r="E417" s="21" t="n">
        <f aca="false">IF(B417="","",IF(B417&gt;=$B$15,1-TDIST((B417-$B$15)/$B$18,$B$17,1),TDIST(($B$15-B417)/$B$18,$B$17,1)))</f>
        <v>0.413572188293164</v>
      </c>
      <c r="F417" s="21" t="n">
        <f aca="false">IF(B417="","",IF(B417&lt;$B$19,0.5*EXP((B417-$B$19)/$B$20),1-0.5*EXP(-(B417-$B$19)/$B$20)))</f>
        <v>0.381568356106974</v>
      </c>
      <c r="G417" s="21" t="n">
        <f aca="false">IF(B417="","",1/(1+EXP(-(B417-$B$15)/$B$21)))</f>
        <v>0.413989202502683</v>
      </c>
      <c r="H417" s="21" t="n">
        <f aca="false">IF(B417="","",MAX(ABS($A417/$B$6-D417),ABS(($A417-1)/$B$6-D417)))</f>
        <v>0.0440333072187492</v>
      </c>
      <c r="I417" s="21" t="n">
        <f aca="false">IF(B417="","",MAX(ABS($A417/$B$6-E417),ABS(($A417-1)/$B$6-E417)))</f>
        <v>0.0335721882931638</v>
      </c>
      <c r="J417" s="21" t="n">
        <f aca="false">IF(B417="","",MAX(ABS($A417/$B$6-F417),ABS(($A417-1)/$B$6-F417)))</f>
        <v>0.00156835610697409</v>
      </c>
      <c r="K417" s="21" t="n">
        <f aca="false">IF(B417="","",MAX(ABS($A417/$B$6-G417),ABS(($A417-1)/$B$6-G417)))</f>
        <v>0.033989202502683</v>
      </c>
    </row>
    <row r="418" customFormat="false" ht="15" hidden="false" customHeight="false" outlineLevel="0" collapsed="false">
      <c r="A418" s="11" t="n">
        <v>382</v>
      </c>
      <c r="B418" s="9" t="n">
        <f aca="false">IF(A418&gt;$B$6,"",SMALL(BTC_Data!$C$3:$C$1002,A418))</f>
        <v>-0.000253780977195306</v>
      </c>
      <c r="C418" s="21" t="n">
        <f aca="false">IF(B418="","",A418/$B$6)</f>
        <v>0.382</v>
      </c>
      <c r="D418" s="21" t="n">
        <f aca="false">IF(B418="","",NORMDIST(B418,$B$15,$B$16,TRUE()))</f>
        <v>0.424611967698091</v>
      </c>
      <c r="E418" s="21" t="n">
        <f aca="false">IF(B418="","",IF(B418&gt;=$B$15,1-TDIST((B418-$B$15)/$B$18,$B$17,1),TDIST(($B$15-B418)/$B$18,$B$17,1)))</f>
        <v>0.41422581419886</v>
      </c>
      <c r="F418" s="21" t="n">
        <f aca="false">IF(B418="","",IF(B418&lt;$B$19,0.5*EXP((B418-$B$19)/$B$20),1-0.5*EXP(-(B418-$B$19)/$B$20)))</f>
        <v>0.382356797882498</v>
      </c>
      <c r="G418" s="21" t="n">
        <f aca="false">IF(B418="","",1/(1+EXP(-(B418-$B$15)/$B$21)))</f>
        <v>0.414639342059829</v>
      </c>
      <c r="H418" s="21" t="n">
        <f aca="false">IF(B418="","",MAX(ABS($A418/$B$6-D418),ABS(($A418-1)/$B$6-D418)))</f>
        <v>0.0436119676980913</v>
      </c>
      <c r="I418" s="21" t="n">
        <f aca="false">IF(B418="","",MAX(ABS($A418/$B$6-E418),ABS(($A418-1)/$B$6-E418)))</f>
        <v>0.0332258141988597</v>
      </c>
      <c r="J418" s="21" t="n">
        <f aca="false">IF(B418="","",MAX(ABS($A418/$B$6-F418),ABS(($A418-1)/$B$6-F418)))</f>
        <v>0.00135679788249804</v>
      </c>
      <c r="K418" s="21" t="n">
        <f aca="false">IF(B418="","",MAX(ABS($A418/$B$6-G418),ABS(($A418-1)/$B$6-G418)))</f>
        <v>0.0336393420598293</v>
      </c>
    </row>
    <row r="419" customFormat="false" ht="15" hidden="false" customHeight="false" outlineLevel="0" collapsed="false">
      <c r="A419" s="11" t="n">
        <v>383</v>
      </c>
      <c r="B419" s="9" t="n">
        <f aca="false">IF(A419&gt;$B$6,"",SMALL(BTC_Data!$C$3:$C$1002,A419))</f>
        <v>-0.000253637390058348</v>
      </c>
      <c r="C419" s="21" t="n">
        <f aca="false">IF(B419="","",A419/$B$6)</f>
        <v>0.383</v>
      </c>
      <c r="D419" s="21" t="n">
        <f aca="false">IF(B419="","",NORMDIST(B419,$B$15,$B$16,TRUE()))</f>
        <v>0.424656152157211</v>
      </c>
      <c r="E419" s="21" t="n">
        <f aca="false">IF(B419="","",IF(B419&gt;=$B$15,1-TDIST((B419-$B$15)/$B$18,$B$17,1),TDIST(($B$15-B419)/$B$18,$B$17,1)))</f>
        <v>0.41427572720081</v>
      </c>
      <c r="F419" s="21" t="n">
        <f aca="false">IF(B419="","",IF(B419&lt;$B$19,0.5*EXP((B419-$B$19)/$B$20),1-0.5*EXP(-(B419-$B$19)/$B$20)))</f>
        <v>0.382417058271932</v>
      </c>
      <c r="G419" s="21" t="n">
        <f aca="false">IF(B419="","",1/(1+EXP(-(B419-$B$15)/$B$21)))</f>
        <v>0.414688989135837</v>
      </c>
      <c r="H419" s="21" t="n">
        <f aca="false">IF(B419="","",MAX(ABS($A419/$B$6-D419),ABS(($A419-1)/$B$6-D419)))</f>
        <v>0.042656152157211</v>
      </c>
      <c r="I419" s="21" t="n">
        <f aca="false">IF(B419="","",MAX(ABS($A419/$B$6-E419),ABS(($A419-1)/$B$6-E419)))</f>
        <v>0.0322757272008104</v>
      </c>
      <c r="J419" s="21" t="n">
        <f aca="false">IF(B419="","",MAX(ABS($A419/$B$6-F419),ABS(($A419-1)/$B$6-F419)))</f>
        <v>0.000582941728068165</v>
      </c>
      <c r="K419" s="21" t="n">
        <f aca="false">IF(B419="","",MAX(ABS($A419/$B$6-G419),ABS(($A419-1)/$B$6-G419)))</f>
        <v>0.0326889891358371</v>
      </c>
    </row>
    <row r="420" customFormat="false" ht="15" hidden="false" customHeight="false" outlineLevel="0" collapsed="false">
      <c r="A420" s="11" t="n">
        <v>384</v>
      </c>
      <c r="B420" s="9" t="n">
        <f aca="false">IF(A420&gt;$B$6,"",SMALL(BTC_Data!$C$3:$C$1002,A420))</f>
        <v>-0.000249245461221848</v>
      </c>
      <c r="C420" s="21" t="n">
        <f aca="false">IF(B420="","",A420/$B$6)</f>
        <v>0.384</v>
      </c>
      <c r="D420" s="21" t="n">
        <f aca="false">IF(B420="","",NORMDIST(B420,$B$15,$B$16,TRUE()))</f>
        <v>0.42600808591765</v>
      </c>
      <c r="E420" s="21" t="n">
        <f aca="false">IF(B420="","",IF(B420&gt;=$B$15,1-TDIST((B420-$B$15)/$B$18,$B$17,1),TDIST(($B$15-B420)/$B$18,$B$17,1)))</f>
        <v>0.415803242536065</v>
      </c>
      <c r="F420" s="21" t="n">
        <f aca="false">IF(B420="","",IF(B420&lt;$B$19,0.5*EXP((B420-$B$19)/$B$20),1-0.5*EXP(-(B420-$B$19)/$B$20)))</f>
        <v>0.384264850067836</v>
      </c>
      <c r="G420" s="21" t="n">
        <f aca="false">IF(B420="","",1/(1+EXP(-(B420-$B$15)/$B$21)))</f>
        <v>0.41620838682869</v>
      </c>
      <c r="H420" s="21" t="n">
        <f aca="false">IF(B420="","",MAX(ABS($A420/$B$6-D420),ABS(($A420-1)/$B$6-D420)))</f>
        <v>0.04300808591765</v>
      </c>
      <c r="I420" s="21" t="n">
        <f aca="false">IF(B420="","",MAX(ABS($A420/$B$6-E420),ABS(($A420-1)/$B$6-E420)))</f>
        <v>0.0328032425360653</v>
      </c>
      <c r="J420" s="21" t="n">
        <f aca="false">IF(B420="","",MAX(ABS($A420/$B$6-F420),ABS(($A420-1)/$B$6-F420)))</f>
        <v>0.001264850067836</v>
      </c>
      <c r="K420" s="21" t="n">
        <f aca="false">IF(B420="","",MAX(ABS($A420/$B$6-G420),ABS(($A420-1)/$B$6-G420)))</f>
        <v>0.0332083868286903</v>
      </c>
    </row>
    <row r="421" customFormat="false" ht="15" hidden="false" customHeight="false" outlineLevel="0" collapsed="false">
      <c r="A421" s="11" t="n">
        <v>385</v>
      </c>
      <c r="B421" s="9" t="n">
        <f aca="false">IF(A421&gt;$B$6,"",SMALL(BTC_Data!$C$3:$C$1002,A421))</f>
        <v>-0.000248265277308368</v>
      </c>
      <c r="C421" s="21" t="n">
        <f aca="false">IF(B421="","",A421/$B$6)</f>
        <v>0.385</v>
      </c>
      <c r="D421" s="21" t="n">
        <f aca="false">IF(B421="","",NORMDIST(B421,$B$15,$B$16,TRUE()))</f>
        <v>0.42630992773927</v>
      </c>
      <c r="E421" s="21" t="n">
        <f aca="false">IF(B421="","",IF(B421&gt;=$B$15,1-TDIST((B421-$B$15)/$B$18,$B$17,1),TDIST(($B$15-B421)/$B$18,$B$17,1)))</f>
        <v>0.416144365289764</v>
      </c>
      <c r="F421" s="21" t="n">
        <f aca="false">IF(B421="","",IF(B421&lt;$B$19,0.5*EXP((B421-$B$19)/$B$20),1-0.5*EXP(-(B421-$B$19)/$B$20)))</f>
        <v>0.384678454528882</v>
      </c>
      <c r="G421" s="21" t="n">
        <f aca="false">IF(B421="","",1/(1+EXP(-(B421-$B$15)/$B$21)))</f>
        <v>0.416547702185489</v>
      </c>
      <c r="H421" s="21" t="n">
        <f aca="false">IF(B421="","",MAX(ABS($A421/$B$6-D421),ABS(($A421-1)/$B$6-D421)))</f>
        <v>0.04230992773927</v>
      </c>
      <c r="I421" s="21" t="n">
        <f aca="false">IF(B421="","",MAX(ABS($A421/$B$6-E421),ABS(($A421-1)/$B$6-E421)))</f>
        <v>0.0321443652897635</v>
      </c>
      <c r="J421" s="21" t="n">
        <f aca="false">IF(B421="","",MAX(ABS($A421/$B$6-F421),ABS(($A421-1)/$B$6-F421)))</f>
        <v>0.000678454528882433</v>
      </c>
      <c r="K421" s="21" t="n">
        <f aca="false">IF(B421="","",MAX(ABS($A421/$B$6-G421),ABS(($A421-1)/$B$6-G421)))</f>
        <v>0.0325477021854891</v>
      </c>
    </row>
    <row r="422" customFormat="false" ht="15" hidden="false" customHeight="false" outlineLevel="0" collapsed="false">
      <c r="A422" s="11" t="n">
        <v>386</v>
      </c>
      <c r="B422" s="9" t="n">
        <f aca="false">IF(A422&gt;$B$6,"",SMALL(BTC_Data!$C$3:$C$1002,A422))</f>
        <v>-0.000244577366435017</v>
      </c>
      <c r="C422" s="21" t="n">
        <f aca="false">IF(B422="","",A422/$B$6)</f>
        <v>0.386</v>
      </c>
      <c r="D422" s="21" t="n">
        <f aca="false">IF(B422="","",NORMDIST(B422,$B$15,$B$16,TRUE()))</f>
        <v>0.427445983376896</v>
      </c>
      <c r="E422" s="21" t="n">
        <f aca="false">IF(B422="","",IF(B422&gt;=$B$15,1-TDIST((B422-$B$15)/$B$18,$B$17,1),TDIST(($B$15-B422)/$B$18,$B$17,1)))</f>
        <v>0.417428520985981</v>
      </c>
      <c r="F422" s="21" t="n">
        <f aca="false">IF(B422="","",IF(B422&lt;$B$19,0.5*EXP((B422-$B$19)/$B$20),1-0.5*EXP(-(B422-$B$19)/$B$20)))</f>
        <v>0.386238620691997</v>
      </c>
      <c r="G422" s="21" t="n">
        <f aca="false">IF(B422="","",1/(1+EXP(-(B422-$B$15)/$B$21)))</f>
        <v>0.417825071513319</v>
      </c>
      <c r="H422" s="21" t="n">
        <f aca="false">IF(B422="","",MAX(ABS($A422/$B$6-D422),ABS(($A422-1)/$B$6-D422)))</f>
        <v>0.0424459833768956</v>
      </c>
      <c r="I422" s="21" t="n">
        <f aca="false">IF(B422="","",MAX(ABS($A422/$B$6-E422),ABS(($A422-1)/$B$6-E422)))</f>
        <v>0.0324285209859806</v>
      </c>
      <c r="J422" s="21" t="n">
        <f aca="false">IF(B422="","",MAX(ABS($A422/$B$6-F422),ABS(($A422-1)/$B$6-F422)))</f>
        <v>0.00123862069199709</v>
      </c>
      <c r="K422" s="21" t="n">
        <f aca="false">IF(B422="","",MAX(ABS($A422/$B$6-G422),ABS(($A422-1)/$B$6-G422)))</f>
        <v>0.0328250715133188</v>
      </c>
    </row>
    <row r="423" customFormat="false" ht="15" hidden="false" customHeight="false" outlineLevel="0" collapsed="false">
      <c r="A423" s="11" t="n">
        <v>387</v>
      </c>
      <c r="B423" s="9" t="n">
        <f aca="false">IF(A423&gt;$B$6,"",SMALL(BTC_Data!$C$3:$C$1002,A423))</f>
        <v>-0.000239167240592475</v>
      </c>
      <c r="C423" s="21" t="n">
        <f aca="false">IF(B423="","",A423/$B$6)</f>
        <v>0.387</v>
      </c>
      <c r="D423" s="21" t="n">
        <f aca="false">IF(B423="","",NORMDIST(B423,$B$15,$B$16,TRUE()))</f>
        <v>0.42911365147412</v>
      </c>
      <c r="E423" s="21" t="n">
        <f aca="false">IF(B423="","",IF(B423&gt;=$B$15,1-TDIST((B423-$B$15)/$B$18,$B$17,1),TDIST(($B$15-B423)/$B$18,$B$17,1)))</f>
        <v>0.419314316305366</v>
      </c>
      <c r="F423" s="21" t="n">
        <f aca="false">IF(B423="","",IF(B423&lt;$B$19,0.5*EXP((B423-$B$19)/$B$20),1-0.5*EXP(-(B423-$B$19)/$B$20)))</f>
        <v>0.38853882507451</v>
      </c>
      <c r="G423" s="21" t="n">
        <f aca="false">IF(B423="","",1/(1+EXP(-(B423-$B$15)/$B$21)))</f>
        <v>0.419700950707637</v>
      </c>
      <c r="H423" s="21" t="n">
        <f aca="false">IF(B423="","",MAX(ABS($A423/$B$6-D423),ABS(($A423-1)/$B$6-D423)))</f>
        <v>0.0431136514741201</v>
      </c>
      <c r="I423" s="21" t="n">
        <f aca="false">IF(B423="","",MAX(ABS($A423/$B$6-E423),ABS(($A423-1)/$B$6-E423)))</f>
        <v>0.0333143163053664</v>
      </c>
      <c r="J423" s="21" t="n">
        <f aca="false">IF(B423="","",MAX(ABS($A423/$B$6-F423),ABS(($A423-1)/$B$6-F423)))</f>
        <v>0.00253882507450998</v>
      </c>
      <c r="K423" s="21" t="n">
        <f aca="false">IF(B423="","",MAX(ABS($A423/$B$6-G423),ABS(($A423-1)/$B$6-G423)))</f>
        <v>0.0337009507076368</v>
      </c>
    </row>
    <row r="424" customFormat="false" ht="15" hidden="false" customHeight="false" outlineLevel="0" collapsed="false">
      <c r="A424" s="11" t="n">
        <v>388</v>
      </c>
      <c r="B424" s="9" t="n">
        <f aca="false">IF(A424&gt;$B$6,"",SMALL(BTC_Data!$C$3:$C$1002,A424))</f>
        <v>-0.000236391787201695</v>
      </c>
      <c r="C424" s="21" t="n">
        <f aca="false">IF(B424="","",A424/$B$6)</f>
        <v>0.388</v>
      </c>
      <c r="D424" s="21" t="n">
        <f aca="false">IF(B424="","",NORMDIST(B424,$B$15,$B$16,TRUE()))</f>
        <v>0.429969676614026</v>
      </c>
      <c r="E424" s="21" t="n">
        <f aca="false">IF(B424="","",IF(B424&gt;=$B$15,1-TDIST((B424-$B$15)/$B$18,$B$17,1),TDIST(($B$15-B424)/$B$18,$B$17,1)))</f>
        <v>0.420282636704836</v>
      </c>
      <c r="F424" s="21" t="n">
        <f aca="false">IF(B424="","",IF(B424&lt;$B$19,0.5*EXP((B424-$B$19)/$B$20),1-0.5*EXP(-(B424-$B$19)/$B$20)))</f>
        <v>0.389724166185725</v>
      </c>
      <c r="G424" s="21" t="n">
        <f aca="false">IF(B424="","",1/(1+EXP(-(B424-$B$15)/$B$21)))</f>
        <v>0.420664202019033</v>
      </c>
      <c r="H424" s="21" t="n">
        <f aca="false">IF(B424="","",MAX(ABS($A424/$B$6-D424),ABS(($A424-1)/$B$6-D424)))</f>
        <v>0.0429696766140261</v>
      </c>
      <c r="I424" s="21" t="n">
        <f aca="false">IF(B424="","",MAX(ABS($A424/$B$6-E424),ABS(($A424-1)/$B$6-E424)))</f>
        <v>0.0332826367048364</v>
      </c>
      <c r="J424" s="21" t="n">
        <f aca="false">IF(B424="","",MAX(ABS($A424/$B$6-F424),ABS(($A424-1)/$B$6-F424)))</f>
        <v>0.00272416618572524</v>
      </c>
      <c r="K424" s="21" t="n">
        <f aca="false">IF(B424="","",MAX(ABS($A424/$B$6-G424),ABS(($A424-1)/$B$6-G424)))</f>
        <v>0.0336642020190333</v>
      </c>
    </row>
    <row r="425" customFormat="false" ht="15" hidden="false" customHeight="false" outlineLevel="0" collapsed="false">
      <c r="A425" s="11" t="n">
        <v>389</v>
      </c>
      <c r="B425" s="9" t="n">
        <f aca="false">IF(A425&gt;$B$6,"",SMALL(BTC_Data!$C$3:$C$1002,A425))</f>
        <v>-0.000235019994889285</v>
      </c>
      <c r="C425" s="21" t="n">
        <f aca="false">IF(B425="","",A425/$B$6)</f>
        <v>0.389</v>
      </c>
      <c r="D425" s="21" t="n">
        <f aca="false">IF(B425="","",NORMDIST(B425,$B$15,$B$16,TRUE()))</f>
        <v>0.430392896442471</v>
      </c>
      <c r="E425" s="21" t="n">
        <f aca="false">IF(B425="","",IF(B425&gt;=$B$15,1-TDIST((B425-$B$15)/$B$18,$B$17,1),TDIST(($B$15-B425)/$B$18,$B$17,1)))</f>
        <v>0.420761456790493</v>
      </c>
      <c r="F425" s="21" t="n">
        <f aca="false">IF(B425="","",IF(B425&lt;$B$19,0.5*EXP((B425-$B$19)/$B$20),1-0.5*EXP(-(B425-$B$19)/$B$20)))</f>
        <v>0.39031136616913</v>
      </c>
      <c r="G425" s="21" t="n">
        <f aca="false">IF(B425="","",1/(1+EXP(-(B425-$B$15)/$B$21)))</f>
        <v>0.42114052112831</v>
      </c>
      <c r="H425" s="21" t="n">
        <f aca="false">IF(B425="","",MAX(ABS($A425/$B$6-D425),ABS(($A425-1)/$B$6-D425)))</f>
        <v>0.0423928964424707</v>
      </c>
      <c r="I425" s="21" t="n">
        <f aca="false">IF(B425="","",MAX(ABS($A425/$B$6-E425),ABS(($A425-1)/$B$6-E425)))</f>
        <v>0.0327614567904932</v>
      </c>
      <c r="J425" s="21" t="n">
        <f aca="false">IF(B425="","",MAX(ABS($A425/$B$6-F425),ABS(($A425-1)/$B$6-F425)))</f>
        <v>0.00231136616912975</v>
      </c>
      <c r="K425" s="21" t="n">
        <f aca="false">IF(B425="","",MAX(ABS($A425/$B$6-G425),ABS(($A425-1)/$B$6-G425)))</f>
        <v>0.0331405211283097</v>
      </c>
    </row>
    <row r="426" customFormat="false" ht="15" hidden="false" customHeight="false" outlineLevel="0" collapsed="false">
      <c r="A426" s="11" t="n">
        <v>390</v>
      </c>
      <c r="B426" s="9" t="n">
        <f aca="false">IF(A426&gt;$B$6,"",SMALL(BTC_Data!$C$3:$C$1002,A426))</f>
        <v>-0.000229457042205783</v>
      </c>
      <c r="C426" s="21" t="n">
        <f aca="false">IF(B426="","",A426/$B$6)</f>
        <v>0.39</v>
      </c>
      <c r="D426" s="21" t="n">
        <f aca="false">IF(B426="","",NORMDIST(B426,$B$15,$B$16,TRUE()))</f>
        <v>0.432109970922991</v>
      </c>
      <c r="E426" s="21" t="n">
        <f aca="false">IF(B426="","",IF(B426&gt;=$B$15,1-TDIST((B426-$B$15)/$B$18,$B$17,1),TDIST(($B$15-B426)/$B$18,$B$17,1)))</f>
        <v>0.422704655349946</v>
      </c>
      <c r="F426" s="21" t="n">
        <f aca="false">IF(B426="","",IF(B426&lt;$B$19,0.5*EXP((B426-$B$19)/$B$20),1-0.5*EXP(-(B426-$B$19)/$B$20)))</f>
        <v>0.392701688040163</v>
      </c>
      <c r="G426" s="21" t="n">
        <f aca="false">IF(B426="","",1/(1+EXP(-(B426-$B$15)/$B$21)))</f>
        <v>0.423073607609953</v>
      </c>
      <c r="H426" s="21" t="n">
        <f aca="false">IF(B426="","",MAX(ABS($A426/$B$6-D426),ABS(($A426-1)/$B$6-D426)))</f>
        <v>0.0431099709229912</v>
      </c>
      <c r="I426" s="21" t="n">
        <f aca="false">IF(B426="","",MAX(ABS($A426/$B$6-E426),ABS(($A426-1)/$B$6-E426)))</f>
        <v>0.0337046553499456</v>
      </c>
      <c r="J426" s="21" t="n">
        <f aca="false">IF(B426="","",MAX(ABS($A426/$B$6-F426),ABS(($A426-1)/$B$6-F426)))</f>
        <v>0.0037016880401628</v>
      </c>
      <c r="K426" s="21" t="n">
        <f aca="false">IF(B426="","",MAX(ABS($A426/$B$6-G426),ABS(($A426-1)/$B$6-G426)))</f>
        <v>0.0340736076099526</v>
      </c>
    </row>
    <row r="427" customFormat="false" ht="15" hidden="false" customHeight="false" outlineLevel="0" collapsed="false">
      <c r="A427" s="11" t="n">
        <v>391</v>
      </c>
      <c r="B427" s="9" t="n">
        <f aca="false">IF(A427&gt;$B$6,"",SMALL(BTC_Data!$C$3:$C$1002,A427))</f>
        <v>-0.000228611534596301</v>
      </c>
      <c r="C427" s="21" t="n">
        <f aca="false">IF(B427="","",A427/$B$6)</f>
        <v>0.391</v>
      </c>
      <c r="D427" s="21" t="n">
        <f aca="false">IF(B427="","",NORMDIST(B427,$B$15,$B$16,TRUE()))</f>
        <v>0.432371060494526</v>
      </c>
      <c r="E427" s="21" t="n">
        <f aca="false">IF(B427="","",IF(B427&gt;=$B$15,1-TDIST((B427-$B$15)/$B$18,$B$17,1),TDIST(($B$15-B427)/$B$18,$B$17,1)))</f>
        <v>0.423000203828405</v>
      </c>
      <c r="F427" s="21" t="n">
        <f aca="false">IF(B427="","",IF(B427&lt;$B$19,0.5*EXP((B427-$B$19)/$B$20),1-0.5*EXP(-(B427-$B$19)/$B$20)))</f>
        <v>0.39306626999593</v>
      </c>
      <c r="G427" s="21" t="n">
        <f aca="false">IF(B427="","",1/(1+EXP(-(B427-$B$15)/$B$21)))</f>
        <v>0.423367623343628</v>
      </c>
      <c r="H427" s="21" t="n">
        <f aca="false">IF(B427="","",MAX(ABS($A427/$B$6-D427),ABS(($A427-1)/$B$6-D427)))</f>
        <v>0.0423710604945261</v>
      </c>
      <c r="I427" s="21" t="n">
        <f aca="false">IF(B427="","",MAX(ABS($A427/$B$6-E427),ABS(($A427-1)/$B$6-E427)))</f>
        <v>0.0330002038284051</v>
      </c>
      <c r="J427" s="21" t="n">
        <f aca="false">IF(B427="","",MAX(ABS($A427/$B$6-F427),ABS(($A427-1)/$B$6-F427)))</f>
        <v>0.00306626999593029</v>
      </c>
      <c r="K427" s="21" t="n">
        <f aca="false">IF(B427="","",MAX(ABS($A427/$B$6-G427),ABS(($A427-1)/$B$6-G427)))</f>
        <v>0.0333676233436283</v>
      </c>
    </row>
    <row r="428" customFormat="false" ht="15" hidden="false" customHeight="false" outlineLevel="0" collapsed="false">
      <c r="A428" s="11" t="n">
        <v>392</v>
      </c>
      <c r="B428" s="9" t="n">
        <f aca="false">IF(A428&gt;$B$6,"",SMALL(BTC_Data!$C$3:$C$1002,A428))</f>
        <v>-0.000218157718534173</v>
      </c>
      <c r="C428" s="21" t="n">
        <f aca="false">IF(B428="","",A428/$B$6)</f>
        <v>0.392</v>
      </c>
      <c r="D428" s="21" t="n">
        <f aca="false">IF(B428="","",NORMDIST(B428,$B$15,$B$16,TRUE()))</f>
        <v>0.435601564630686</v>
      </c>
      <c r="E428" s="21" t="n">
        <f aca="false">IF(B428="","",IF(B428&gt;=$B$15,1-TDIST((B428-$B$15)/$B$18,$B$17,1),TDIST(($B$15-B428)/$B$18,$B$17,1)))</f>
        <v>0.426658683957058</v>
      </c>
      <c r="F428" s="21" t="n">
        <f aca="false">IF(B428="","",IF(B428&lt;$B$19,0.5*EXP((B428-$B$19)/$B$20),1-0.5*EXP(-(B428-$B$19)/$B$20)))</f>
        <v>0.397602006008085</v>
      </c>
      <c r="G428" s="21" t="n">
        <f aca="false">IF(B428="","",1/(1+EXP(-(B428-$B$15)/$B$21)))</f>
        <v>0.427007242217842</v>
      </c>
      <c r="H428" s="21" t="n">
        <f aca="false">IF(B428="","",MAX(ABS($A428/$B$6-D428),ABS(($A428-1)/$B$6-D428)))</f>
        <v>0.0446015646306864</v>
      </c>
      <c r="I428" s="21" t="n">
        <f aca="false">IF(B428="","",MAX(ABS($A428/$B$6-E428),ABS(($A428-1)/$B$6-E428)))</f>
        <v>0.0356586839570585</v>
      </c>
      <c r="J428" s="21" t="n">
        <f aca="false">IF(B428="","",MAX(ABS($A428/$B$6-F428),ABS(($A428-1)/$B$6-F428)))</f>
        <v>0.0066020060080853</v>
      </c>
      <c r="K428" s="21" t="n">
        <f aca="false">IF(B428="","",MAX(ABS($A428/$B$6-G428),ABS(($A428-1)/$B$6-G428)))</f>
        <v>0.0360072422178421</v>
      </c>
    </row>
    <row r="429" customFormat="false" ht="15" hidden="false" customHeight="false" outlineLevel="0" collapsed="false">
      <c r="A429" s="11" t="n">
        <v>393</v>
      </c>
      <c r="B429" s="9" t="n">
        <f aca="false">IF(A429&gt;$B$6,"",SMALL(BTC_Data!$C$3:$C$1002,A429))</f>
        <v>-0.000217697599548483</v>
      </c>
      <c r="C429" s="21" t="n">
        <f aca="false">IF(B429="","",A429/$B$6)</f>
        <v>0.393</v>
      </c>
      <c r="D429" s="21" t="n">
        <f aca="false">IF(B429="","",NORMDIST(B429,$B$15,$B$16,TRUE()))</f>
        <v>0.435743853921578</v>
      </c>
      <c r="E429" s="21" t="n">
        <f aca="false">IF(B429="","",IF(B429&gt;=$B$15,1-TDIST((B429-$B$15)/$B$18,$B$17,1),TDIST(($B$15-B429)/$B$18,$B$17,1)))</f>
        <v>0.426819890958971</v>
      </c>
      <c r="F429" s="21" t="n">
        <f aca="false">IF(B429="","",IF(B429&lt;$B$19,0.5*EXP((B429-$B$19)/$B$20),1-0.5*EXP(-(B429-$B$19)/$B$20)))</f>
        <v>0.397802842091752</v>
      </c>
      <c r="G429" s="21" t="n">
        <f aca="false">IF(B429="","",1/(1+EXP(-(B429-$B$15)/$B$21)))</f>
        <v>0.427167622809762</v>
      </c>
      <c r="H429" s="21" t="n">
        <f aca="false">IF(B429="","",MAX(ABS($A429/$B$6-D429),ABS(($A429-1)/$B$6-D429)))</f>
        <v>0.043743853921578</v>
      </c>
      <c r="I429" s="21" t="n">
        <f aca="false">IF(B429="","",MAX(ABS($A429/$B$6-E429),ABS(($A429-1)/$B$6-E429)))</f>
        <v>0.0348198909589708</v>
      </c>
      <c r="J429" s="21" t="n">
        <f aca="false">IF(B429="","",MAX(ABS($A429/$B$6-F429),ABS(($A429-1)/$B$6-F429)))</f>
        <v>0.00580284209175191</v>
      </c>
      <c r="K429" s="21" t="n">
        <f aca="false">IF(B429="","",MAX(ABS($A429/$B$6-G429),ABS(($A429-1)/$B$6-G429)))</f>
        <v>0.0351676228097616</v>
      </c>
    </row>
    <row r="430" customFormat="false" ht="15" hidden="false" customHeight="false" outlineLevel="0" collapsed="false">
      <c r="A430" s="11" t="n">
        <v>394</v>
      </c>
      <c r="B430" s="9" t="n">
        <f aca="false">IF(A430&gt;$B$6,"",SMALL(BTC_Data!$C$3:$C$1002,A430))</f>
        <v>-0.000215270150935476</v>
      </c>
      <c r="C430" s="21" t="n">
        <f aca="false">IF(B430="","",A430/$B$6)</f>
        <v>0.394</v>
      </c>
      <c r="D430" s="21" t="n">
        <f aca="false">IF(B430="","",NORMDIST(B430,$B$15,$B$16,TRUE()))</f>
        <v>0.436494666465197</v>
      </c>
      <c r="E430" s="21" t="n">
        <f aca="false">IF(B430="","",IF(B430&gt;=$B$15,1-TDIST((B430-$B$15)/$B$18,$B$17,1),TDIST(($B$15-B430)/$B$18,$B$17,1)))</f>
        <v>0.42767061792259</v>
      </c>
      <c r="F430" s="21" t="n">
        <f aca="false">IF(B430="","",IF(B430&lt;$B$19,0.5*EXP((B430-$B$19)/$B$20),1-0.5*EXP(-(B430-$B$19)/$B$20)))</f>
        <v>0.398864073110744</v>
      </c>
      <c r="G430" s="21" t="n">
        <f aca="false">IF(B430="","",1/(1+EXP(-(B430-$B$15)/$B$21)))</f>
        <v>0.428013995051137</v>
      </c>
      <c r="H430" s="21" t="n">
        <f aca="false">IF(B430="","",MAX(ABS($A430/$B$6-D430),ABS(($A430-1)/$B$6-D430)))</f>
        <v>0.0434946664651968</v>
      </c>
      <c r="I430" s="21" t="n">
        <f aca="false">IF(B430="","",MAX(ABS($A430/$B$6-E430),ABS(($A430-1)/$B$6-E430)))</f>
        <v>0.0346706179225903</v>
      </c>
      <c r="J430" s="21" t="n">
        <f aca="false">IF(B430="","",MAX(ABS($A430/$B$6-F430),ABS(($A430-1)/$B$6-F430)))</f>
        <v>0.00586407311074411</v>
      </c>
      <c r="K430" s="21" t="n">
        <f aca="false">IF(B430="","",MAX(ABS($A430/$B$6-G430),ABS(($A430-1)/$B$6-G430)))</f>
        <v>0.0350139950511368</v>
      </c>
    </row>
    <row r="431" customFormat="false" ht="15" hidden="false" customHeight="false" outlineLevel="0" collapsed="false">
      <c r="A431" s="11" t="n">
        <v>395</v>
      </c>
      <c r="B431" s="9" t="n">
        <f aca="false">IF(A431&gt;$B$6,"",SMALL(BTC_Data!$C$3:$C$1002,A431))</f>
        <v>-0.000214182461022783</v>
      </c>
      <c r="C431" s="21" t="n">
        <f aca="false">IF(B431="","",A431/$B$6)</f>
        <v>0.395</v>
      </c>
      <c r="D431" s="21" t="n">
        <f aca="false">IF(B431="","",NORMDIST(B431,$B$15,$B$16,TRUE()))</f>
        <v>0.43683116456868</v>
      </c>
      <c r="E431" s="21" t="n">
        <f aca="false">IF(B431="","",IF(B431&gt;=$B$15,1-TDIST((B431-$B$15)/$B$18,$B$17,1),TDIST(($B$15-B431)/$B$18,$B$17,1)))</f>
        <v>0.428051945434847</v>
      </c>
      <c r="F431" s="21" t="n">
        <f aca="false">IF(B431="","",IF(B431&lt;$B$19,0.5*EXP((B431-$B$19)/$B$20),1-0.5*EXP(-(B431-$B$19)/$B$20)))</f>
        <v>0.399340506983236</v>
      </c>
      <c r="G431" s="21" t="n">
        <f aca="false">IF(B431="","",1/(1+EXP(-(B431-$B$15)/$B$21)))</f>
        <v>0.428393374107105</v>
      </c>
      <c r="H431" s="21" t="n">
        <f aca="false">IF(B431="","",MAX(ABS($A431/$B$6-D431),ABS(($A431-1)/$B$6-D431)))</f>
        <v>0.0428311645686801</v>
      </c>
      <c r="I431" s="21" t="n">
        <f aca="false">IF(B431="","",MAX(ABS($A431/$B$6-E431),ABS(($A431-1)/$B$6-E431)))</f>
        <v>0.034051945434847</v>
      </c>
      <c r="J431" s="21" t="n">
        <f aca="false">IF(B431="","",MAX(ABS($A431/$B$6-F431),ABS(($A431-1)/$B$6-F431)))</f>
        <v>0.0053405069832359</v>
      </c>
      <c r="K431" s="21" t="n">
        <f aca="false">IF(B431="","",MAX(ABS($A431/$B$6-G431),ABS(($A431-1)/$B$6-G431)))</f>
        <v>0.034393374107105</v>
      </c>
    </row>
    <row r="432" customFormat="false" ht="15" hidden="false" customHeight="false" outlineLevel="0" collapsed="false">
      <c r="A432" s="11" t="n">
        <v>396</v>
      </c>
      <c r="B432" s="9" t="n">
        <f aca="false">IF(A432&gt;$B$6,"",SMALL(BTC_Data!$C$3:$C$1002,A432))</f>
        <v>-0.000214146272785709</v>
      </c>
      <c r="C432" s="21" t="n">
        <f aca="false">IF(B432="","",A432/$B$6)</f>
        <v>0.396</v>
      </c>
      <c r="D432" s="21" t="n">
        <f aca="false">IF(B432="","",NORMDIST(B432,$B$15,$B$16,TRUE()))</f>
        <v>0.436842360893174</v>
      </c>
      <c r="E432" s="21" t="n">
        <f aca="false">IF(B432="","",IF(B432&gt;=$B$15,1-TDIST((B432-$B$15)/$B$18,$B$17,1),TDIST(($B$15-B432)/$B$18,$B$17,1)))</f>
        <v>0.428064633899295</v>
      </c>
      <c r="F432" s="21" t="n">
        <f aca="false">IF(B432="","",IF(B432&lt;$B$19,0.5*EXP((B432-$B$19)/$B$20),1-0.5*EXP(-(B432-$B$19)/$B$20)))</f>
        <v>0.399356368064041</v>
      </c>
      <c r="G432" s="21" t="n">
        <f aca="false">IF(B432="","",1/(1+EXP(-(B432-$B$15)/$B$21)))</f>
        <v>0.428405997774708</v>
      </c>
      <c r="H432" s="21" t="n">
        <f aca="false">IF(B432="","",MAX(ABS($A432/$B$6-D432),ABS(($A432-1)/$B$6-D432)))</f>
        <v>0.0418423608931741</v>
      </c>
      <c r="I432" s="21" t="n">
        <f aca="false">IF(B432="","",MAX(ABS($A432/$B$6-E432),ABS(($A432-1)/$B$6-E432)))</f>
        <v>0.0330646338992953</v>
      </c>
      <c r="J432" s="21" t="n">
        <f aca="false">IF(B432="","",MAX(ABS($A432/$B$6-F432),ABS(($A432-1)/$B$6-F432)))</f>
        <v>0.00435636806404122</v>
      </c>
      <c r="K432" s="21" t="n">
        <f aca="false">IF(B432="","",MAX(ABS($A432/$B$6-G432),ABS(($A432-1)/$B$6-G432)))</f>
        <v>0.0334059977747084</v>
      </c>
    </row>
    <row r="433" customFormat="false" ht="15" hidden="false" customHeight="false" outlineLevel="0" collapsed="false">
      <c r="A433" s="11" t="n">
        <v>397</v>
      </c>
      <c r="B433" s="9" t="n">
        <f aca="false">IF(A433&gt;$B$6,"",SMALL(BTC_Data!$C$3:$C$1002,A433))</f>
        <v>-0.000212989290938048</v>
      </c>
      <c r="C433" s="21" t="n">
        <f aca="false">IF(B433="","",A433/$B$6)</f>
        <v>0.397</v>
      </c>
      <c r="D433" s="21" t="n">
        <f aca="false">IF(B433="","",NORMDIST(B433,$B$15,$B$16,TRUE()))</f>
        <v>0.437200347588894</v>
      </c>
      <c r="E433" s="21" t="n">
        <f aca="false">IF(B433="","",IF(B433&gt;=$B$15,1-TDIST((B433-$B$15)/$B$18,$B$17,1),TDIST(($B$15-B433)/$B$18,$B$17,1)))</f>
        <v>0.428470347524966</v>
      </c>
      <c r="F433" s="21" t="n">
        <f aca="false">IF(B433="","",IF(B433&lt;$B$19,0.5*EXP((B433-$B$19)/$B$20),1-0.5*EXP(-(B433-$B$19)/$B$20)))</f>
        <v>0.399863798235181</v>
      </c>
      <c r="G433" s="21" t="n">
        <f aca="false">IF(B433="","",1/(1+EXP(-(B433-$B$15)/$B$21)))</f>
        <v>0.428809640772634</v>
      </c>
      <c r="H433" s="21" t="n">
        <f aca="false">IF(B433="","",MAX(ABS($A433/$B$6-D433),ABS(($A433-1)/$B$6-D433)))</f>
        <v>0.0412003475888939</v>
      </c>
      <c r="I433" s="21" t="n">
        <f aca="false">IF(B433="","",MAX(ABS($A433/$B$6-E433),ABS(($A433-1)/$B$6-E433)))</f>
        <v>0.0324703475249663</v>
      </c>
      <c r="J433" s="21" t="n">
        <f aca="false">IF(B433="","",MAX(ABS($A433/$B$6-F433),ABS(($A433-1)/$B$6-F433)))</f>
        <v>0.00386379823518063</v>
      </c>
      <c r="K433" s="21" t="n">
        <f aca="false">IF(B433="","",MAX(ABS($A433/$B$6-G433),ABS(($A433-1)/$B$6-G433)))</f>
        <v>0.0328096407726343</v>
      </c>
    </row>
    <row r="434" customFormat="false" ht="15" hidden="false" customHeight="false" outlineLevel="0" collapsed="false">
      <c r="A434" s="11" t="n">
        <v>398</v>
      </c>
      <c r="B434" s="9" t="n">
        <f aca="false">IF(A434&gt;$B$6,"",SMALL(BTC_Data!$C$3:$C$1002,A434))</f>
        <v>-0.000212139313625626</v>
      </c>
      <c r="C434" s="21" t="n">
        <f aca="false">IF(B434="","",A434/$B$6)</f>
        <v>0.398</v>
      </c>
      <c r="D434" s="21" t="n">
        <f aca="false">IF(B434="","",NORMDIST(B434,$B$15,$B$16,TRUE()))</f>
        <v>0.437463375482491</v>
      </c>
      <c r="E434" s="21" t="n">
        <f aca="false">IF(B434="","",IF(B434&gt;=$B$15,1-TDIST((B434-$B$15)/$B$18,$B$17,1),TDIST(($B$15-B434)/$B$18,$B$17,1)))</f>
        <v>0.428768464400959</v>
      </c>
      <c r="F434" s="21" t="n">
        <f aca="false">IF(B434="","",IF(B434&lt;$B$19,0.5*EXP((B434-$B$19)/$B$20),1-0.5*EXP(-(B434-$B$19)/$B$20)))</f>
        <v>0.400236992849536</v>
      </c>
      <c r="G434" s="21" t="n">
        <f aca="false">IF(B434="","",1/(1+EXP(-(B434-$B$15)/$B$21)))</f>
        <v>0.429106237700965</v>
      </c>
      <c r="H434" s="21" t="n">
        <f aca="false">IF(B434="","",MAX(ABS($A434/$B$6-D434),ABS(($A434-1)/$B$6-D434)))</f>
        <v>0.0404633754824911</v>
      </c>
      <c r="I434" s="21" t="n">
        <f aca="false">IF(B434="","",MAX(ABS($A434/$B$6-E434),ABS(($A434-1)/$B$6-E434)))</f>
        <v>0.0317684644009593</v>
      </c>
      <c r="J434" s="21" t="n">
        <f aca="false">IF(B434="","",MAX(ABS($A434/$B$6-F434),ABS(($A434-1)/$B$6-F434)))</f>
        <v>0.00323699284953627</v>
      </c>
      <c r="K434" s="21" t="n">
        <f aca="false">IF(B434="","",MAX(ABS($A434/$B$6-G434),ABS(($A434-1)/$B$6-G434)))</f>
        <v>0.032106237700965</v>
      </c>
    </row>
    <row r="435" customFormat="false" ht="15" hidden="false" customHeight="false" outlineLevel="0" collapsed="false">
      <c r="A435" s="11" t="n">
        <v>399</v>
      </c>
      <c r="B435" s="9" t="n">
        <f aca="false">IF(A435&gt;$B$6,"",SMALL(BTC_Data!$C$3:$C$1002,A435))</f>
        <v>-0.000209502091760738</v>
      </c>
      <c r="C435" s="21" t="n">
        <f aca="false">IF(B435="","",A435/$B$6)</f>
        <v>0.399</v>
      </c>
      <c r="D435" s="21" t="n">
        <f aca="false">IF(B435="","",NORMDIST(B435,$B$15,$B$16,TRUE()))</f>
        <v>0.438279646688208</v>
      </c>
      <c r="E435" s="21" t="n">
        <f aca="false">IF(B435="","",IF(B435&gt;=$B$15,1-TDIST((B435-$B$15)/$B$18,$B$17,1),TDIST(($B$15-B435)/$B$18,$B$17,1)))</f>
        <v>0.429693747229194</v>
      </c>
      <c r="F435" s="21" t="n">
        <f aca="false">IF(B435="","",IF(B435&lt;$B$19,0.5*EXP((B435-$B$19)/$B$20),1-0.5*EXP(-(B435-$B$19)/$B$20)))</f>
        <v>0.401397120881564</v>
      </c>
      <c r="G435" s="21" t="n">
        <f aca="false">IF(B435="","",1/(1+EXP(-(B435-$B$15)/$B$21)))</f>
        <v>0.430026811240565</v>
      </c>
      <c r="H435" s="21" t="n">
        <f aca="false">IF(B435="","",MAX(ABS($A435/$B$6-D435),ABS(($A435-1)/$B$6-D435)))</f>
        <v>0.0402796466882081</v>
      </c>
      <c r="I435" s="21" t="n">
        <f aca="false">IF(B435="","",MAX(ABS($A435/$B$6-E435),ABS(($A435-1)/$B$6-E435)))</f>
        <v>0.0316937472291941</v>
      </c>
      <c r="J435" s="21" t="n">
        <f aca="false">IF(B435="","",MAX(ABS($A435/$B$6-F435),ABS(($A435-1)/$B$6-F435)))</f>
        <v>0.00339712088156391</v>
      </c>
      <c r="K435" s="21" t="n">
        <f aca="false">IF(B435="","",MAX(ABS($A435/$B$6-G435),ABS(($A435-1)/$B$6-G435)))</f>
        <v>0.0320268112405649</v>
      </c>
    </row>
    <row r="436" customFormat="false" ht="15" hidden="false" customHeight="false" outlineLevel="0" collapsed="false">
      <c r="A436" s="11" t="n">
        <v>400</v>
      </c>
      <c r="B436" s="9" t="n">
        <f aca="false">IF(A436&gt;$B$6,"",SMALL(BTC_Data!$C$3:$C$1002,A436))</f>
        <v>-0.000207746351190474</v>
      </c>
      <c r="C436" s="21" t="n">
        <f aca="false">IF(B436="","",A436/$B$6)</f>
        <v>0.4</v>
      </c>
      <c r="D436" s="21" t="n">
        <f aca="false">IF(B436="","",NORMDIST(B436,$B$15,$B$16,TRUE()))</f>
        <v>0.438823228229673</v>
      </c>
      <c r="E436" s="21" t="n">
        <f aca="false">IF(B436="","",IF(B436&gt;=$B$15,1-TDIST((B436-$B$15)/$B$18,$B$17,1),TDIST(($B$15-B436)/$B$18,$B$17,1)))</f>
        <v>0.43031002110124</v>
      </c>
      <c r="F436" s="21" t="n">
        <f aca="false">IF(B436="","",IF(B436&lt;$B$19,0.5*EXP((B436-$B$19)/$B$20),1-0.5*EXP(-(B436-$B$19)/$B$20)))</f>
        <v>0.402171344581129</v>
      </c>
      <c r="G436" s="21" t="n">
        <f aca="false">IF(B436="","",1/(1+EXP(-(B436-$B$15)/$B$21)))</f>
        <v>0.430639955425585</v>
      </c>
      <c r="H436" s="21" t="n">
        <f aca="false">IF(B436="","",MAX(ABS($A436/$B$6-D436),ABS(($A436-1)/$B$6-D436)))</f>
        <v>0.0398232282296731</v>
      </c>
      <c r="I436" s="21" t="n">
        <f aca="false">IF(B436="","",MAX(ABS($A436/$B$6-E436),ABS(($A436-1)/$B$6-E436)))</f>
        <v>0.0313100211012403</v>
      </c>
      <c r="J436" s="21" t="n">
        <f aca="false">IF(B436="","",MAX(ABS($A436/$B$6-F436),ABS(($A436-1)/$B$6-F436)))</f>
        <v>0.00317134458112917</v>
      </c>
      <c r="K436" s="21" t="n">
        <f aca="false">IF(B436="","",MAX(ABS($A436/$B$6-G436),ABS(($A436-1)/$B$6-G436)))</f>
        <v>0.0316399554255853</v>
      </c>
    </row>
    <row r="437" customFormat="false" ht="15" hidden="false" customHeight="false" outlineLevel="0" collapsed="false">
      <c r="A437" s="11" t="n">
        <v>401</v>
      </c>
      <c r="B437" s="9" t="n">
        <f aca="false">IF(A437&gt;$B$6,"",SMALL(BTC_Data!$C$3:$C$1002,A437))</f>
        <v>-0.000206291998777974</v>
      </c>
      <c r="C437" s="21" t="n">
        <f aca="false">IF(B437="","",A437/$B$6)</f>
        <v>0.401</v>
      </c>
      <c r="D437" s="21" t="n">
        <f aca="false">IF(B437="","",NORMDIST(B437,$B$15,$B$16,TRUE()))</f>
        <v>0.439273586704346</v>
      </c>
      <c r="E437" s="21" t="n">
        <f aca="false">IF(B437="","",IF(B437&gt;=$B$15,1-TDIST((B437-$B$15)/$B$18,$B$17,1),TDIST(($B$15-B437)/$B$18,$B$17,1)))</f>
        <v>0.430820664066374</v>
      </c>
      <c r="F437" s="21" t="n">
        <f aca="false">IF(B437="","",IF(B437&lt;$B$19,0.5*EXP((B437-$B$19)/$B$20),1-0.5*EXP(-(B437-$B$19)/$B$20)))</f>
        <v>0.402813796740651</v>
      </c>
      <c r="G437" s="21" t="n">
        <f aca="false">IF(B437="","",1/(1+EXP(-(B437-$B$15)/$B$21)))</f>
        <v>0.431148009270767</v>
      </c>
      <c r="H437" s="21" t="n">
        <f aca="false">IF(B437="","",MAX(ABS($A437/$B$6-D437),ABS(($A437-1)/$B$6-D437)))</f>
        <v>0.0392735867043464</v>
      </c>
      <c r="I437" s="21" t="n">
        <f aca="false">IF(B437="","",MAX(ABS($A437/$B$6-E437),ABS(($A437-1)/$B$6-E437)))</f>
        <v>0.0308206640663742</v>
      </c>
      <c r="J437" s="21" t="n">
        <f aca="false">IF(B437="","",MAX(ABS($A437/$B$6-F437),ABS(($A437-1)/$B$6-F437)))</f>
        <v>0.00281379674065124</v>
      </c>
      <c r="K437" s="21" t="n">
        <f aca="false">IF(B437="","",MAX(ABS($A437/$B$6-G437),ABS(($A437-1)/$B$6-G437)))</f>
        <v>0.0311480092707674</v>
      </c>
    </row>
    <row r="438" customFormat="false" ht="15" hidden="false" customHeight="false" outlineLevel="0" collapsed="false">
      <c r="A438" s="11" t="n">
        <v>402</v>
      </c>
      <c r="B438" s="9" t="n">
        <f aca="false">IF(A438&gt;$B$6,"",SMALL(BTC_Data!$C$3:$C$1002,A438))</f>
        <v>-0.000204092382026566</v>
      </c>
      <c r="C438" s="21" t="n">
        <f aca="false">IF(B438="","",A438/$B$6)</f>
        <v>0.402</v>
      </c>
      <c r="D438" s="21" t="n">
        <f aca="false">IF(B438="","",NORMDIST(B438,$B$15,$B$16,TRUE()))</f>
        <v>0.43995487481302</v>
      </c>
      <c r="E438" s="21" t="n">
        <f aca="false">IF(B438="","",IF(B438&gt;=$B$15,1-TDIST((B438-$B$15)/$B$18,$B$17,1),TDIST(($B$15-B438)/$B$18,$B$17,1)))</f>
        <v>0.431593248905266</v>
      </c>
      <c r="F438" s="21" t="n">
        <f aca="false">IF(B438="","",IF(B438&lt;$B$19,0.5*EXP((B438-$B$19)/$B$20),1-0.5*EXP(-(B438-$B$19)/$B$20)))</f>
        <v>0.403787415747968</v>
      </c>
      <c r="G438" s="21" t="n">
        <f aca="false">IF(B438="","",1/(1+EXP(-(B438-$B$15)/$B$21)))</f>
        <v>0.431916683920334</v>
      </c>
      <c r="H438" s="21" t="n">
        <f aca="false">IF(B438="","",MAX(ABS($A438/$B$6-D438),ABS(($A438-1)/$B$6-D438)))</f>
        <v>0.0389548748130202</v>
      </c>
      <c r="I438" s="21" t="n">
        <f aca="false">IF(B438="","",MAX(ABS($A438/$B$6-E438),ABS(($A438-1)/$B$6-E438)))</f>
        <v>0.0305932489052655</v>
      </c>
      <c r="J438" s="21" t="n">
        <f aca="false">IF(B438="","",MAX(ABS($A438/$B$6-F438),ABS(($A438-1)/$B$6-F438)))</f>
        <v>0.00278741574796793</v>
      </c>
      <c r="K438" s="21" t="n">
        <f aca="false">IF(B438="","",MAX(ABS($A438/$B$6-G438),ABS(($A438-1)/$B$6-G438)))</f>
        <v>0.0309166839203341</v>
      </c>
    </row>
    <row r="439" customFormat="false" ht="15" hidden="false" customHeight="false" outlineLevel="0" collapsed="false">
      <c r="A439" s="11" t="n">
        <v>403</v>
      </c>
      <c r="B439" s="9" t="n">
        <f aca="false">IF(A439&gt;$B$6,"",SMALL(BTC_Data!$C$3:$C$1002,A439))</f>
        <v>-0.000199814029335332</v>
      </c>
      <c r="C439" s="21" t="n">
        <f aca="false">IF(B439="","",A439/$B$6)</f>
        <v>0.403</v>
      </c>
      <c r="D439" s="21" t="n">
        <f aca="false">IF(B439="","",NORMDIST(B439,$B$15,$B$16,TRUE()))</f>
        <v>0.441280518145051</v>
      </c>
      <c r="E439" s="21" t="n">
        <f aca="false">IF(B439="","",IF(B439&gt;=$B$15,1-TDIST((B439-$B$15)/$B$18,$B$17,1),TDIST(($B$15-B439)/$B$18,$B$17,1)))</f>
        <v>0.433096877781157</v>
      </c>
      <c r="F439" s="21" t="n">
        <f aca="false">IF(B439="","",IF(B439&lt;$B$19,0.5*EXP((B439-$B$19)/$B$20),1-0.5*EXP(-(B439-$B$19)/$B$20)))</f>
        <v>0.405687893357644</v>
      </c>
      <c r="G439" s="21" t="n">
        <f aca="false">IF(B439="","",1/(1+EXP(-(B439-$B$15)/$B$21)))</f>
        <v>0.433412726731659</v>
      </c>
      <c r="H439" s="21" t="n">
        <f aca="false">IF(B439="","",MAX(ABS($A439/$B$6-D439),ABS(($A439-1)/$B$6-D439)))</f>
        <v>0.0392805181450513</v>
      </c>
      <c r="I439" s="21" t="n">
        <f aca="false">IF(B439="","",MAX(ABS($A439/$B$6-E439),ABS(($A439-1)/$B$6-E439)))</f>
        <v>0.0310968777811571</v>
      </c>
      <c r="J439" s="21" t="n">
        <f aca="false">IF(B439="","",MAX(ABS($A439/$B$6-F439),ABS(($A439-1)/$B$6-F439)))</f>
        <v>0.00368789335764391</v>
      </c>
      <c r="K439" s="21" t="n">
        <f aca="false">IF(B439="","",MAX(ABS($A439/$B$6-G439),ABS(($A439-1)/$B$6-G439)))</f>
        <v>0.0314127267316593</v>
      </c>
    </row>
    <row r="440" customFormat="false" ht="15" hidden="false" customHeight="false" outlineLevel="0" collapsed="false">
      <c r="A440" s="11" t="n">
        <v>404</v>
      </c>
      <c r="B440" s="9" t="n">
        <f aca="false">IF(A440&gt;$B$6,"",SMALL(BTC_Data!$C$3:$C$1002,A440))</f>
        <v>-0.000197788010791844</v>
      </c>
      <c r="C440" s="21" t="n">
        <f aca="false">IF(B440="","",A440/$B$6)</f>
        <v>0.404</v>
      </c>
      <c r="D440" s="21" t="n">
        <f aca="false">IF(B440="","",NORMDIST(B440,$B$15,$B$16,TRUE()))</f>
        <v>0.441908508516231</v>
      </c>
      <c r="E440" s="21" t="n">
        <f aca="false">IF(B440="","",IF(B440&gt;=$B$15,1-TDIST((B440-$B$15)/$B$18,$B$17,1),TDIST(($B$15-B440)/$B$18,$B$17,1)))</f>
        <v>0.433809339453258</v>
      </c>
      <c r="F440" s="21" t="n">
        <f aca="false">IF(B440="","",IF(B440&lt;$B$19,0.5*EXP((B440-$B$19)/$B$20),1-0.5*EXP(-(B440-$B$19)/$B$20)))</f>
        <v>0.406590984875305</v>
      </c>
      <c r="G440" s="21" t="n">
        <f aca="false">IF(B440="","",1/(1+EXP(-(B440-$B$15)/$B$21)))</f>
        <v>0.434121604868289</v>
      </c>
      <c r="H440" s="21" t="n">
        <f aca="false">IF(B440="","",MAX(ABS($A440/$B$6-D440),ABS(($A440-1)/$B$6-D440)))</f>
        <v>0.0389085085162311</v>
      </c>
      <c r="I440" s="21" t="n">
        <f aca="false">IF(B440="","",MAX(ABS($A440/$B$6-E440),ABS(($A440-1)/$B$6-E440)))</f>
        <v>0.0308093394532576</v>
      </c>
      <c r="J440" s="21" t="n">
        <f aca="false">IF(B440="","",MAX(ABS($A440/$B$6-F440),ABS(($A440-1)/$B$6-F440)))</f>
        <v>0.00359098487530452</v>
      </c>
      <c r="K440" s="21" t="n">
        <f aca="false">IF(B440="","",MAX(ABS($A440/$B$6-G440),ABS(($A440-1)/$B$6-G440)))</f>
        <v>0.031121604868289</v>
      </c>
    </row>
    <row r="441" customFormat="false" ht="15" hidden="false" customHeight="false" outlineLevel="0" collapsed="false">
      <c r="A441" s="11" t="n">
        <v>405</v>
      </c>
      <c r="B441" s="9" t="n">
        <f aca="false">IF(A441&gt;$B$6,"",SMALL(BTC_Data!$C$3:$C$1002,A441))</f>
        <v>-0.000191799937306225</v>
      </c>
      <c r="C441" s="21" t="n">
        <f aca="false">IF(B441="","",A441/$B$6)</f>
        <v>0.405</v>
      </c>
      <c r="D441" s="21" t="n">
        <f aca="false">IF(B441="","",NORMDIST(B441,$B$15,$B$16,TRUE()))</f>
        <v>0.443765436278099</v>
      </c>
      <c r="E441" s="21" t="n">
        <f aca="false">IF(B441="","",IF(B441&gt;=$B$15,1-TDIST((B441-$B$15)/$B$18,$B$17,1),TDIST(($B$15-B441)/$B$18,$B$17,1)))</f>
        <v>0.435916614369483</v>
      </c>
      <c r="F441" s="21" t="n">
        <f aca="false">IF(B441="","",IF(B441&lt;$B$19,0.5*EXP((B441-$B$19)/$B$20),1-0.5*EXP(-(B441-$B$19)/$B$20)))</f>
        <v>0.409271918802</v>
      </c>
      <c r="G441" s="21" t="n">
        <f aca="false">IF(B441="","",1/(1+EXP(-(B441-$B$15)/$B$21)))</f>
        <v>0.436218321046012</v>
      </c>
      <c r="H441" s="21" t="n">
        <f aca="false">IF(B441="","",MAX(ABS($A441/$B$6-D441),ABS(($A441-1)/$B$6-D441)))</f>
        <v>0.0397654362780992</v>
      </c>
      <c r="I441" s="21" t="n">
        <f aca="false">IF(B441="","",MAX(ABS($A441/$B$6-E441),ABS(($A441-1)/$B$6-E441)))</f>
        <v>0.0319166143694826</v>
      </c>
      <c r="J441" s="21" t="n">
        <f aca="false">IF(B441="","",MAX(ABS($A441/$B$6-F441),ABS(($A441-1)/$B$6-F441)))</f>
        <v>0.00527191880200001</v>
      </c>
      <c r="K441" s="21" t="n">
        <f aca="false">IF(B441="","",MAX(ABS($A441/$B$6-G441),ABS(($A441-1)/$B$6-G441)))</f>
        <v>0.0322183210460123</v>
      </c>
    </row>
    <row r="442" customFormat="false" ht="15" hidden="false" customHeight="false" outlineLevel="0" collapsed="false">
      <c r="A442" s="11" t="n">
        <v>406</v>
      </c>
      <c r="B442" s="9" t="n">
        <f aca="false">IF(A442&gt;$B$6,"",SMALL(BTC_Data!$C$3:$C$1002,A442))</f>
        <v>-0.000189972496003055</v>
      </c>
      <c r="C442" s="21" t="n">
        <f aca="false">IF(B442="","",A442/$B$6)</f>
        <v>0.406</v>
      </c>
      <c r="D442" s="21" t="n">
        <f aca="false">IF(B442="","",NORMDIST(B442,$B$15,$B$16,TRUE()))</f>
        <v>0.444332381735998</v>
      </c>
      <c r="E442" s="21" t="n">
        <f aca="false">IF(B442="","",IF(B442&gt;=$B$15,1-TDIST((B442-$B$15)/$B$18,$B$17,1),TDIST(($B$15-B442)/$B$18,$B$17,1)))</f>
        <v>0.436560161273352</v>
      </c>
      <c r="F442" s="21" t="n">
        <f aca="false">IF(B442="","",IF(B442&lt;$B$19,0.5*EXP((B442-$B$19)/$B$20),1-0.5*EXP(-(B442-$B$19)/$B$20)))</f>
        <v>0.410093601876584</v>
      </c>
      <c r="G442" s="21" t="n">
        <f aca="false">IF(B442="","",1/(1+EXP(-(B442-$B$15)/$B$21)))</f>
        <v>0.436858655233801</v>
      </c>
      <c r="H442" s="21" t="n">
        <f aca="false">IF(B442="","",MAX(ABS($A442/$B$6-D442),ABS(($A442-1)/$B$6-D442)))</f>
        <v>0.0393323817359978</v>
      </c>
      <c r="I442" s="21" t="n">
        <f aca="false">IF(B442="","",MAX(ABS($A442/$B$6-E442),ABS(($A442-1)/$B$6-E442)))</f>
        <v>0.0315601612733518</v>
      </c>
      <c r="J442" s="21" t="n">
        <f aca="false">IF(B442="","",MAX(ABS($A442/$B$6-F442),ABS(($A442-1)/$B$6-F442)))</f>
        <v>0.00509360187658403</v>
      </c>
      <c r="K442" s="21" t="n">
        <f aca="false">IF(B442="","",MAX(ABS($A442/$B$6-G442),ABS(($A442-1)/$B$6-G442)))</f>
        <v>0.0318586552338012</v>
      </c>
    </row>
    <row r="443" customFormat="false" ht="15" hidden="false" customHeight="false" outlineLevel="0" collapsed="false">
      <c r="A443" s="11" t="n">
        <v>407</v>
      </c>
      <c r="B443" s="9" t="n">
        <f aca="false">IF(A443&gt;$B$6,"",SMALL(BTC_Data!$C$3:$C$1002,A443))</f>
        <v>-0.000186575050907578</v>
      </c>
      <c r="C443" s="21" t="n">
        <f aca="false">IF(B443="","",A443/$B$6)</f>
        <v>0.407</v>
      </c>
      <c r="D443" s="21" t="n">
        <f aca="false">IF(B443="","",NORMDIST(B443,$B$15,$B$16,TRUE()))</f>
        <v>0.44538670714407</v>
      </c>
      <c r="E443" s="21" t="n">
        <f aca="false">IF(B443="","",IF(B443&gt;=$B$15,1-TDIST((B443-$B$15)/$B$18,$B$17,1),TDIST(($B$15-B443)/$B$18,$B$17,1)))</f>
        <v>0.437757142821833</v>
      </c>
      <c r="F443" s="21" t="n">
        <f aca="false">IF(B443="","",IF(B443&lt;$B$19,0.5*EXP((B443-$B$19)/$B$20),1-0.5*EXP(-(B443-$B$19)/$B$20)))</f>
        <v>0.411625601809136</v>
      </c>
      <c r="G443" s="21" t="n">
        <f aca="false">IF(B443="","",1/(1+EXP(-(B443-$B$15)/$B$21)))</f>
        <v>0.438049675676774</v>
      </c>
      <c r="H443" s="21" t="n">
        <f aca="false">IF(B443="","",MAX(ABS($A443/$B$6-D443),ABS(($A443-1)/$B$6-D443)))</f>
        <v>0.0393867071440703</v>
      </c>
      <c r="I443" s="21" t="n">
        <f aca="false">IF(B443="","",MAX(ABS($A443/$B$6-E443),ABS(($A443-1)/$B$6-E443)))</f>
        <v>0.031757142821833</v>
      </c>
      <c r="J443" s="21" t="n">
        <f aca="false">IF(B443="","",MAX(ABS($A443/$B$6-F443),ABS(($A443-1)/$B$6-F443)))</f>
        <v>0.00562560180913579</v>
      </c>
      <c r="K443" s="21" t="n">
        <f aca="false">IF(B443="","",MAX(ABS($A443/$B$6-G443),ABS(($A443-1)/$B$6-G443)))</f>
        <v>0.0320496756767744</v>
      </c>
    </row>
    <row r="444" customFormat="false" ht="15" hidden="false" customHeight="false" outlineLevel="0" collapsed="false">
      <c r="A444" s="11" t="n">
        <v>408</v>
      </c>
      <c r="B444" s="9" t="n">
        <f aca="false">IF(A444&gt;$B$6,"",SMALL(BTC_Data!$C$3:$C$1002,A444))</f>
        <v>-0.000183136972180087</v>
      </c>
      <c r="C444" s="21" t="n">
        <f aca="false">IF(B444="","",A444/$B$6)</f>
        <v>0.408</v>
      </c>
      <c r="D444" s="21" t="n">
        <f aca="false">IF(B444="","",NORMDIST(B444,$B$15,$B$16,TRUE()))</f>
        <v>0.446454035679766</v>
      </c>
      <c r="E444" s="21" t="n">
        <f aca="false">IF(B444="","",IF(B444&gt;=$B$15,1-TDIST((B444-$B$15)/$B$18,$B$17,1),TDIST(($B$15-B444)/$B$18,$B$17,1)))</f>
        <v>0.438969152221821</v>
      </c>
      <c r="F444" s="21" t="n">
        <f aca="false">IF(B444="","",IF(B444&lt;$B$19,0.5*EXP((B444-$B$19)/$B$20),1-0.5*EXP(-(B444-$B$19)/$B$20)))</f>
        <v>0.413181750857315</v>
      </c>
      <c r="G444" s="21" t="n">
        <f aca="false">IF(B444="","",1/(1+EXP(-(B444-$B$15)/$B$21)))</f>
        <v>0.439255668020073</v>
      </c>
      <c r="H444" s="21" t="n">
        <f aca="false">IF(B444="","",MAX(ABS($A444/$B$6-D444),ABS(($A444-1)/$B$6-D444)))</f>
        <v>0.0394540356797661</v>
      </c>
      <c r="I444" s="21" t="n">
        <f aca="false">IF(B444="","",MAX(ABS($A444/$B$6-E444),ABS(($A444-1)/$B$6-E444)))</f>
        <v>0.0319691522218212</v>
      </c>
      <c r="J444" s="21" t="n">
        <f aca="false">IF(B444="","",MAX(ABS($A444/$B$6-F444),ABS(($A444-1)/$B$6-F444)))</f>
        <v>0.00618175085731487</v>
      </c>
      <c r="K444" s="21" t="n">
        <f aca="false">IF(B444="","",MAX(ABS($A444/$B$6-G444),ABS(($A444-1)/$B$6-G444)))</f>
        <v>0.0322556680200727</v>
      </c>
    </row>
    <row r="445" customFormat="false" ht="15" hidden="false" customHeight="false" outlineLevel="0" collapsed="false">
      <c r="A445" s="11" t="n">
        <v>409</v>
      </c>
      <c r="B445" s="9" t="n">
        <f aca="false">IF(A445&gt;$B$6,"",SMALL(BTC_Data!$C$3:$C$1002,A445))</f>
        <v>-0.000183093618883579</v>
      </c>
      <c r="C445" s="21" t="n">
        <f aca="false">IF(B445="","",A445/$B$6)</f>
        <v>0.409</v>
      </c>
      <c r="D445" s="21" t="n">
        <f aca="false">IF(B445="","",NORMDIST(B445,$B$15,$B$16,TRUE()))</f>
        <v>0.446467496914202</v>
      </c>
      <c r="E445" s="21" t="n">
        <f aca="false">IF(B445="","",IF(B445&gt;=$B$15,1-TDIST((B445-$B$15)/$B$18,$B$17,1),TDIST(($B$15-B445)/$B$18,$B$17,1)))</f>
        <v>0.438984439865679</v>
      </c>
      <c r="F445" s="21" t="n">
        <f aca="false">IF(B445="","",IF(B445&lt;$B$19,0.5*EXP((B445-$B$19)/$B$20),1-0.5*EXP(-(B445-$B$19)/$B$20)))</f>
        <v>0.413201411012939</v>
      </c>
      <c r="G445" s="21" t="n">
        <f aca="false">IF(B445="","",1/(1+EXP(-(B445-$B$15)/$B$21)))</f>
        <v>0.439270879887892</v>
      </c>
      <c r="H445" s="21" t="n">
        <f aca="false">IF(B445="","",MAX(ABS($A445/$B$6-D445),ABS(($A445-1)/$B$6-D445)))</f>
        <v>0.0384674969142023</v>
      </c>
      <c r="I445" s="21" t="n">
        <f aca="false">IF(B445="","",MAX(ABS($A445/$B$6-E445),ABS(($A445-1)/$B$6-E445)))</f>
        <v>0.0309844398656788</v>
      </c>
      <c r="J445" s="21" t="n">
        <f aca="false">IF(B445="","",MAX(ABS($A445/$B$6-F445),ABS(($A445-1)/$B$6-F445)))</f>
        <v>0.00520141101293858</v>
      </c>
      <c r="K445" s="21" t="n">
        <f aca="false">IF(B445="","",MAX(ABS($A445/$B$6-G445),ABS(($A445-1)/$B$6-G445)))</f>
        <v>0.0312708798878923</v>
      </c>
    </row>
    <row r="446" customFormat="false" ht="15" hidden="false" customHeight="false" outlineLevel="0" collapsed="false">
      <c r="A446" s="11" t="n">
        <v>410</v>
      </c>
      <c r="B446" s="9" t="n">
        <f aca="false">IF(A446&gt;$B$6,"",SMALL(BTC_Data!$C$3:$C$1002,A446))</f>
        <v>-0.000181847660803314</v>
      </c>
      <c r="C446" s="21" t="n">
        <f aca="false">IF(B446="","",A446/$B$6)</f>
        <v>0.41</v>
      </c>
      <c r="D446" s="21" t="n">
        <f aca="false">IF(B446="","",NORMDIST(B446,$B$15,$B$16,TRUE()))</f>
        <v>0.446854394231741</v>
      </c>
      <c r="E446" s="21" t="n">
        <f aca="false">IF(B446="","",IF(B446&gt;=$B$15,1-TDIST((B446-$B$15)/$B$18,$B$17,1),TDIST(($B$15-B446)/$B$18,$B$17,1)))</f>
        <v>0.439423848851315</v>
      </c>
      <c r="F446" s="21" t="n">
        <f aca="false">IF(B446="","",IF(B446&lt;$B$19,0.5*EXP((B446-$B$19)/$B$20),1-0.5*EXP(-(B446-$B$19)/$B$20)))</f>
        <v>0.413766836738086</v>
      </c>
      <c r="G446" s="21" t="n">
        <f aca="false">IF(B446="","",1/(1+EXP(-(B446-$B$15)/$B$21)))</f>
        <v>0.43970811212787</v>
      </c>
      <c r="H446" s="21" t="n">
        <f aca="false">IF(B446="","",MAX(ABS($A446/$B$6-D446),ABS(($A446-1)/$B$6-D446)))</f>
        <v>0.0378543942317406</v>
      </c>
      <c r="I446" s="21" t="n">
        <f aca="false">IF(B446="","",MAX(ABS($A446/$B$6-E446),ABS(($A446-1)/$B$6-E446)))</f>
        <v>0.0304238488513148</v>
      </c>
      <c r="J446" s="21" t="n">
        <f aca="false">IF(B446="","",MAX(ABS($A446/$B$6-F446),ABS(($A446-1)/$B$6-F446)))</f>
        <v>0.00476683673808609</v>
      </c>
      <c r="K446" s="21" t="n">
        <f aca="false">IF(B446="","",MAX(ABS($A446/$B$6-G446),ABS(($A446-1)/$B$6-G446)))</f>
        <v>0.0307081121278702</v>
      </c>
    </row>
    <row r="447" customFormat="false" ht="15" hidden="false" customHeight="false" outlineLevel="0" collapsed="false">
      <c r="A447" s="11" t="n">
        <v>411</v>
      </c>
      <c r="B447" s="9" t="n">
        <f aca="false">IF(A447&gt;$B$6,"",SMALL(BTC_Data!$C$3:$C$1002,A447))</f>
        <v>-0.000181279649976607</v>
      </c>
      <c r="C447" s="21" t="n">
        <f aca="false">IF(B447="","",A447/$B$6)</f>
        <v>0.411</v>
      </c>
      <c r="D447" s="21" t="n">
        <f aca="false">IF(B447="","",NORMDIST(B447,$B$15,$B$16,TRUE()))</f>
        <v>0.447030790864779</v>
      </c>
      <c r="E447" s="21" t="n">
        <f aca="false">IF(B447="","",IF(B447&gt;=$B$15,1-TDIST((B447-$B$15)/$B$18,$B$17,1),TDIST(($B$15-B447)/$B$18,$B$17,1)))</f>
        <v>0.439624198277897</v>
      </c>
      <c r="F447" s="21" t="n">
        <f aca="false">IF(B447="","",IF(B447&lt;$B$19,0.5*EXP((B447-$B$19)/$B$20),1-0.5*EXP(-(B447-$B$19)/$B$20)))</f>
        <v>0.414024861289656</v>
      </c>
      <c r="G447" s="21" t="n">
        <f aca="false">IF(B447="","",1/(1+EXP(-(B447-$B$15)/$B$21)))</f>
        <v>0.439907469872493</v>
      </c>
      <c r="H447" s="21" t="n">
        <f aca="false">IF(B447="","",MAX(ABS($A447/$B$6-D447),ABS(($A447-1)/$B$6-D447)))</f>
        <v>0.0370307908647789</v>
      </c>
      <c r="I447" s="21" t="n">
        <f aca="false">IF(B447="","",MAX(ABS($A447/$B$6-E447),ABS(($A447-1)/$B$6-E447)))</f>
        <v>0.0296241982778969</v>
      </c>
      <c r="J447" s="21" t="n">
        <f aca="false">IF(B447="","",MAX(ABS($A447/$B$6-F447),ABS(($A447-1)/$B$6-F447)))</f>
        <v>0.00402486128965568</v>
      </c>
      <c r="K447" s="21" t="n">
        <f aca="false">IF(B447="","",MAX(ABS($A447/$B$6-G447),ABS(($A447-1)/$B$6-G447)))</f>
        <v>0.0299074698724926</v>
      </c>
    </row>
    <row r="448" customFormat="false" ht="15" hidden="false" customHeight="false" outlineLevel="0" collapsed="false">
      <c r="A448" s="11" t="n">
        <v>412</v>
      </c>
      <c r="B448" s="9" t="n">
        <f aca="false">IF(A448&gt;$B$6,"",SMALL(BTC_Data!$C$3:$C$1002,A448))</f>
        <v>-0.000180496649826667</v>
      </c>
      <c r="C448" s="21" t="n">
        <f aca="false">IF(B448="","",A448/$B$6)</f>
        <v>0.412</v>
      </c>
      <c r="D448" s="21" t="n">
        <f aca="false">IF(B448="","",NORMDIST(B448,$B$15,$B$16,TRUE()))</f>
        <v>0.447273969934487</v>
      </c>
      <c r="E448" s="21" t="n">
        <f aca="false">IF(B448="","",IF(B448&gt;=$B$15,1-TDIST((B448-$B$15)/$B$18,$B$17,1),TDIST(($B$15-B448)/$B$18,$B$17,1)))</f>
        <v>0.439900410081634</v>
      </c>
      <c r="F448" s="21" t="n">
        <f aca="false">IF(B448="","",IF(B448&lt;$B$19,0.5*EXP((B448-$B$19)/$B$20),1-0.5*EXP(-(B448-$B$19)/$B$20)))</f>
        <v>0.414380810675549</v>
      </c>
      <c r="G448" s="21" t="n">
        <f aca="false">IF(B448="","",1/(1+EXP(-(B448-$B$15)/$B$21)))</f>
        <v>0.440182315321192</v>
      </c>
      <c r="H448" s="21" t="n">
        <f aca="false">IF(B448="","",MAX(ABS($A448/$B$6-D448),ABS(($A448-1)/$B$6-D448)))</f>
        <v>0.036273969934487</v>
      </c>
      <c r="I448" s="21" t="n">
        <f aca="false">IF(B448="","",MAX(ABS($A448/$B$6-E448),ABS(($A448-1)/$B$6-E448)))</f>
        <v>0.0289004100816344</v>
      </c>
      <c r="J448" s="21" t="n">
        <f aca="false">IF(B448="","",MAX(ABS($A448/$B$6-F448),ABS(($A448-1)/$B$6-F448)))</f>
        <v>0.0033808106755488</v>
      </c>
      <c r="K448" s="21" t="n">
        <f aca="false">IF(B448="","",MAX(ABS($A448/$B$6-G448),ABS(($A448-1)/$B$6-G448)))</f>
        <v>0.0291823153211919</v>
      </c>
    </row>
    <row r="449" customFormat="false" ht="15" hidden="false" customHeight="false" outlineLevel="0" collapsed="false">
      <c r="A449" s="11" t="n">
        <v>413</v>
      </c>
      <c r="B449" s="9" t="n">
        <f aca="false">IF(A449&gt;$B$6,"",SMALL(BTC_Data!$C$3:$C$1002,A449))</f>
        <v>-0.000175145839282798</v>
      </c>
      <c r="C449" s="21" t="n">
        <f aca="false">IF(B449="","",A449/$B$6)</f>
        <v>0.413</v>
      </c>
      <c r="D449" s="21" t="n">
        <f aca="false">IF(B449="","",NORMDIST(B449,$B$15,$B$16,TRUE()))</f>
        <v>0.448936315610001</v>
      </c>
      <c r="E449" s="21" t="n">
        <f aca="false">IF(B449="","",IF(B449&gt;=$B$15,1-TDIST((B449-$B$15)/$B$18,$B$17,1),TDIST(($B$15-B449)/$B$18,$B$17,1)))</f>
        <v>0.441788919163595</v>
      </c>
      <c r="F449" s="21" t="n">
        <f aca="false">IF(B449="","",IF(B449&lt;$B$19,0.5*EXP((B449-$B$19)/$B$20),1-0.5*EXP(-(B449-$B$19)/$B$20)))</f>
        <v>0.416821477071367</v>
      </c>
      <c r="G449" s="21" t="n">
        <f aca="false">IF(B449="","",1/(1+EXP(-(B449-$B$15)/$B$21)))</f>
        <v>0.442061507782204</v>
      </c>
      <c r="H449" s="21" t="n">
        <f aca="false">IF(B449="","",MAX(ABS($A449/$B$6-D449),ABS(($A449-1)/$B$6-D449)))</f>
        <v>0.0369363156100007</v>
      </c>
      <c r="I449" s="21" t="n">
        <f aca="false">IF(B449="","",MAX(ABS($A449/$B$6-E449),ABS(($A449-1)/$B$6-E449)))</f>
        <v>0.0297889191635951</v>
      </c>
      <c r="J449" s="21" t="n">
        <f aca="false">IF(B449="","",MAX(ABS($A449/$B$6-F449),ABS(($A449-1)/$B$6-F449)))</f>
        <v>0.00482147707136665</v>
      </c>
      <c r="K449" s="21" t="n">
        <f aca="false">IF(B449="","",MAX(ABS($A449/$B$6-G449),ABS(($A449-1)/$B$6-G449)))</f>
        <v>0.030061507782204</v>
      </c>
    </row>
    <row r="450" customFormat="false" ht="15" hidden="false" customHeight="false" outlineLevel="0" collapsed="false">
      <c r="A450" s="11" t="n">
        <v>414</v>
      </c>
      <c r="B450" s="9" t="n">
        <f aca="false">IF(A450&gt;$B$6,"",SMALL(BTC_Data!$C$3:$C$1002,A450))</f>
        <v>-0.000174640673465398</v>
      </c>
      <c r="C450" s="21" t="n">
        <f aca="false">IF(B450="","",A450/$B$6)</f>
        <v>0.414</v>
      </c>
      <c r="D450" s="21" t="n">
        <f aca="false">IF(B450="","",NORMDIST(B450,$B$15,$B$16,TRUE()))</f>
        <v>0.449093303143191</v>
      </c>
      <c r="E450" s="21" t="n">
        <f aca="false">IF(B450="","",IF(B450&gt;=$B$15,1-TDIST((B450-$B$15)/$B$18,$B$17,1),TDIST(($B$15-B450)/$B$18,$B$17,1)))</f>
        <v>0.441967296581722</v>
      </c>
      <c r="F450" s="21" t="n">
        <f aca="false">IF(B450="","",IF(B450&lt;$B$19,0.5*EXP((B450-$B$19)/$B$20),1-0.5*EXP(-(B450-$B$19)/$B$20)))</f>
        <v>0.417052639795722</v>
      </c>
      <c r="G450" s="21" t="n">
        <f aca="false">IF(B450="","",1/(1+EXP(-(B450-$B$15)/$B$21)))</f>
        <v>0.442239007469172</v>
      </c>
      <c r="H450" s="21" t="n">
        <f aca="false">IF(B450="","",MAX(ABS($A450/$B$6-D450),ABS(($A450-1)/$B$6-D450)))</f>
        <v>0.0360933031431911</v>
      </c>
      <c r="I450" s="21" t="n">
        <f aca="false">IF(B450="","",MAX(ABS($A450/$B$6-E450),ABS(($A450-1)/$B$6-E450)))</f>
        <v>0.0289672965817215</v>
      </c>
      <c r="J450" s="21" t="n">
        <f aca="false">IF(B450="","",MAX(ABS($A450/$B$6-F450),ABS(($A450-1)/$B$6-F450)))</f>
        <v>0.00405263979572162</v>
      </c>
      <c r="K450" s="21" t="n">
        <f aca="false">IF(B450="","",MAX(ABS($A450/$B$6-G450),ABS(($A450-1)/$B$6-G450)))</f>
        <v>0.0292390074691724</v>
      </c>
    </row>
    <row r="451" customFormat="false" ht="15" hidden="false" customHeight="false" outlineLevel="0" collapsed="false">
      <c r="A451" s="11" t="n">
        <v>415</v>
      </c>
      <c r="B451" s="9" t="n">
        <f aca="false">IF(A451&gt;$B$6,"",SMALL(BTC_Data!$C$3:$C$1002,A451))</f>
        <v>-0.000172970214511015</v>
      </c>
      <c r="C451" s="21" t="n">
        <f aca="false">IF(B451="","",A451/$B$6)</f>
        <v>0.415</v>
      </c>
      <c r="D451" s="21" t="n">
        <f aca="false">IF(B451="","",NORMDIST(B451,$B$15,$B$16,TRUE()))</f>
        <v>0.449612478872355</v>
      </c>
      <c r="E451" s="21" t="n">
        <f aca="false">IF(B451="","",IF(B451&gt;=$B$15,1-TDIST((B451-$B$15)/$B$18,$B$17,1),TDIST(($B$15-B451)/$B$18,$B$17,1)))</f>
        <v>0.442557249375427</v>
      </c>
      <c r="F451" s="21" t="n">
        <f aca="false">IF(B451="","",IF(B451&lt;$B$19,0.5*EXP((B451-$B$19)/$B$20),1-0.5*EXP(-(B451-$B$19)/$B$20)))</f>
        <v>0.417817951254442</v>
      </c>
      <c r="G451" s="21" t="n">
        <f aca="false">IF(B451="","",1/(1+EXP(-(B451-$B$15)/$B$21)))</f>
        <v>0.442826060058889</v>
      </c>
      <c r="H451" s="21" t="n">
        <f aca="false">IF(B451="","",MAX(ABS($A451/$B$6-D451),ABS(($A451-1)/$B$6-D451)))</f>
        <v>0.0356124788723551</v>
      </c>
      <c r="I451" s="21" t="n">
        <f aca="false">IF(B451="","",MAX(ABS($A451/$B$6-E451),ABS(($A451-1)/$B$6-E451)))</f>
        <v>0.028557249375427</v>
      </c>
      <c r="J451" s="21" t="n">
        <f aca="false">IF(B451="","",MAX(ABS($A451/$B$6-F451),ABS(($A451-1)/$B$6-F451)))</f>
        <v>0.00381795125444173</v>
      </c>
      <c r="K451" s="21" t="n">
        <f aca="false">IF(B451="","",MAX(ABS($A451/$B$6-G451),ABS(($A451-1)/$B$6-G451)))</f>
        <v>0.0288260600588894</v>
      </c>
    </row>
    <row r="452" customFormat="false" ht="15" hidden="false" customHeight="false" outlineLevel="0" collapsed="false">
      <c r="A452" s="11" t="n">
        <v>416</v>
      </c>
      <c r="B452" s="9" t="n">
        <f aca="false">IF(A452&gt;$B$6,"",SMALL(BTC_Data!$C$3:$C$1002,A452))</f>
        <v>-0.000170811271693383</v>
      </c>
      <c r="C452" s="21" t="n">
        <f aca="false">IF(B452="","",A452/$B$6)</f>
        <v>0.416</v>
      </c>
      <c r="D452" s="21" t="n">
        <f aca="false">IF(B452="","",NORMDIST(B452,$B$15,$B$16,TRUE()))</f>
        <v>0.450283602202902</v>
      </c>
      <c r="E452" s="21" t="n">
        <f aca="false">IF(B452="","",IF(B452&gt;=$B$15,1-TDIST((B452-$B$15)/$B$18,$B$17,1),TDIST(($B$15-B452)/$B$18,$B$17,1)))</f>
        <v>0.443319950470988</v>
      </c>
      <c r="F452" s="21" t="n">
        <f aca="false">IF(B452="","",IF(B452&lt;$B$19,0.5*EXP((B452-$B$19)/$B$20),1-0.5*EXP(-(B452-$B$19)/$B$20)))</f>
        <v>0.418809139688223</v>
      </c>
      <c r="G452" s="21" t="n">
        <f aca="false">IF(B452="","",1/(1+EXP(-(B452-$B$15)/$B$21)))</f>
        <v>0.44358501790949</v>
      </c>
      <c r="H452" s="21" t="n">
        <f aca="false">IF(B452="","",MAX(ABS($A452/$B$6-D452),ABS(($A452-1)/$B$6-D452)))</f>
        <v>0.0352836022029021</v>
      </c>
      <c r="I452" s="21" t="n">
        <f aca="false">IF(B452="","",MAX(ABS($A452/$B$6-E452),ABS(($A452-1)/$B$6-E452)))</f>
        <v>0.0283199504709882</v>
      </c>
      <c r="J452" s="21" t="n">
        <f aca="false">IF(B452="","",MAX(ABS($A452/$B$6-F452),ABS(($A452-1)/$B$6-F452)))</f>
        <v>0.00380913968822277</v>
      </c>
      <c r="K452" s="21" t="n">
        <f aca="false">IF(B452="","",MAX(ABS($A452/$B$6-G452),ABS(($A452-1)/$B$6-G452)))</f>
        <v>0.0285850179094903</v>
      </c>
    </row>
    <row r="453" customFormat="false" ht="15" hidden="false" customHeight="false" outlineLevel="0" collapsed="false">
      <c r="A453" s="11" t="n">
        <v>417</v>
      </c>
      <c r="B453" s="9" t="n">
        <f aca="false">IF(A453&gt;$B$6,"",SMALL(BTC_Data!$C$3:$C$1002,A453))</f>
        <v>-0.000169807771439823</v>
      </c>
      <c r="C453" s="21" t="n">
        <f aca="false">IF(B453="","",A453/$B$6)</f>
        <v>0.417</v>
      </c>
      <c r="D453" s="21" t="n">
        <f aca="false">IF(B453="","",NORMDIST(B453,$B$15,$B$16,TRUE()))</f>
        <v>0.450595596197126</v>
      </c>
      <c r="E453" s="21" t="n">
        <f aca="false">IF(B453="","",IF(B453&gt;=$B$15,1-TDIST((B453-$B$15)/$B$18,$B$17,1),TDIST(($B$15-B453)/$B$18,$B$17,1)))</f>
        <v>0.443674550248934</v>
      </c>
      <c r="F453" s="21" t="n">
        <f aca="false">IF(B453="","",IF(B453&lt;$B$19,0.5*EXP((B453-$B$19)/$B$20),1-0.5*EXP(-(B453-$B$19)/$B$20)))</f>
        <v>0.419270655068549</v>
      </c>
      <c r="G453" s="21" t="n">
        <f aca="false">IF(B453="","",1/(1+EXP(-(B453-$B$15)/$B$21)))</f>
        <v>0.443937879708995</v>
      </c>
      <c r="H453" s="21" t="n">
        <f aca="false">IF(B453="","",MAX(ABS($A453/$B$6-D453),ABS(($A453-1)/$B$6-D453)))</f>
        <v>0.0345955961971256</v>
      </c>
      <c r="I453" s="21" t="n">
        <f aca="false">IF(B453="","",MAX(ABS($A453/$B$6-E453),ABS(($A453-1)/$B$6-E453)))</f>
        <v>0.0276745502489336</v>
      </c>
      <c r="J453" s="21" t="n">
        <f aca="false">IF(B453="","",MAX(ABS($A453/$B$6-F453),ABS(($A453-1)/$B$6-F453)))</f>
        <v>0.00327065506854896</v>
      </c>
      <c r="K453" s="21" t="n">
        <f aca="false">IF(B453="","",MAX(ABS($A453/$B$6-G453),ABS(($A453-1)/$B$6-G453)))</f>
        <v>0.0279378797089953</v>
      </c>
    </row>
    <row r="454" customFormat="false" ht="15" hidden="false" customHeight="false" outlineLevel="0" collapsed="false">
      <c r="A454" s="11" t="n">
        <v>418</v>
      </c>
      <c r="B454" s="9" t="n">
        <f aca="false">IF(A454&gt;$B$6,"",SMALL(BTC_Data!$C$3:$C$1002,A454))</f>
        <v>-0.000165952471834707</v>
      </c>
      <c r="C454" s="21" t="n">
        <f aca="false">IF(B454="","",A454/$B$6)</f>
        <v>0.418</v>
      </c>
      <c r="D454" s="21" t="n">
        <f aca="false">IF(B454="","",NORMDIST(B454,$B$15,$B$16,TRUE()))</f>
        <v>0.45179451327728</v>
      </c>
      <c r="E454" s="21" t="n">
        <f aca="false">IF(B454="","",IF(B454&gt;=$B$15,1-TDIST((B454-$B$15)/$B$18,$B$17,1),TDIST(($B$15-B454)/$B$18,$B$17,1)))</f>
        <v>0.445037381981982</v>
      </c>
      <c r="F454" s="21" t="n">
        <f aca="false">IF(B454="","",IF(B454&lt;$B$19,0.5*EXP((B454-$B$19)/$B$20),1-0.5*EXP(-(B454-$B$19)/$B$20)))</f>
        <v>0.421048464052033</v>
      </c>
      <c r="G454" s="21" t="n">
        <f aca="false">IF(B454="","",1/(1+EXP(-(B454-$B$15)/$B$21)))</f>
        <v>0.445294045596542</v>
      </c>
      <c r="H454" s="21" t="n">
        <f aca="false">IF(B454="","",MAX(ABS($A454/$B$6-D454),ABS(($A454-1)/$B$6-D454)))</f>
        <v>0.0347945132772803</v>
      </c>
      <c r="I454" s="21" t="n">
        <f aca="false">IF(B454="","",MAX(ABS($A454/$B$6-E454),ABS(($A454-1)/$B$6-E454)))</f>
        <v>0.0280373819819825</v>
      </c>
      <c r="J454" s="21" t="n">
        <f aca="false">IF(B454="","",MAX(ABS($A454/$B$6-F454),ABS(($A454-1)/$B$6-F454)))</f>
        <v>0.00404846405203341</v>
      </c>
      <c r="K454" s="21" t="n">
        <f aca="false">IF(B454="","",MAX(ABS($A454/$B$6-G454),ABS(($A454-1)/$B$6-G454)))</f>
        <v>0.0282940455965422</v>
      </c>
    </row>
    <row r="455" customFormat="false" ht="15" hidden="false" customHeight="false" outlineLevel="0" collapsed="false">
      <c r="A455" s="11" t="n">
        <v>419</v>
      </c>
      <c r="B455" s="9" t="n">
        <f aca="false">IF(A455&gt;$B$6,"",SMALL(BTC_Data!$C$3:$C$1002,A455))</f>
        <v>-0.000164957781747077</v>
      </c>
      <c r="C455" s="21" t="n">
        <f aca="false">IF(B455="","",A455/$B$6)</f>
        <v>0.419</v>
      </c>
      <c r="D455" s="21" t="n">
        <f aca="false">IF(B455="","",NORMDIST(B455,$B$15,$B$16,TRUE()))</f>
        <v>0.452103912780446</v>
      </c>
      <c r="E455" s="21" t="n">
        <f aca="false">IF(B455="","",IF(B455&gt;=$B$15,1-TDIST((B455-$B$15)/$B$18,$B$17,1),TDIST(($B$15-B455)/$B$18,$B$17,1)))</f>
        <v>0.445389130848816</v>
      </c>
      <c r="F455" s="21" t="n">
        <f aca="false">IF(B455="","",IF(B455&lt;$B$19,0.5*EXP((B455-$B$19)/$B$20),1-0.5*EXP(-(B455-$B$19)/$B$20)))</f>
        <v>0.421508371368828</v>
      </c>
      <c r="G455" s="21" t="n">
        <f aca="false">IF(B455="","",1/(1+EXP(-(B455-$B$15)/$B$21)))</f>
        <v>0.44564407749297</v>
      </c>
      <c r="H455" s="21" t="n">
        <f aca="false">IF(B455="","",MAX(ABS($A455/$B$6-D455),ABS(($A455-1)/$B$6-D455)))</f>
        <v>0.0341039127804459</v>
      </c>
      <c r="I455" s="21" t="n">
        <f aca="false">IF(B455="","",MAX(ABS($A455/$B$6-E455),ABS(($A455-1)/$B$6-E455)))</f>
        <v>0.0273891308488162</v>
      </c>
      <c r="J455" s="21" t="n">
        <f aca="false">IF(B455="","",MAX(ABS($A455/$B$6-F455),ABS(($A455-1)/$B$6-F455)))</f>
        <v>0.00350837136882753</v>
      </c>
      <c r="K455" s="21" t="n">
        <f aca="false">IF(B455="","",MAX(ABS($A455/$B$6-G455),ABS(($A455-1)/$B$6-G455)))</f>
        <v>0.0276440774929696</v>
      </c>
    </row>
    <row r="456" customFormat="false" ht="15" hidden="false" customHeight="false" outlineLevel="0" collapsed="false">
      <c r="A456" s="11" t="n">
        <v>420</v>
      </c>
      <c r="B456" s="9" t="n">
        <f aca="false">IF(A456&gt;$B$6,"",SMALL(BTC_Data!$C$3:$C$1002,A456))</f>
        <v>-0.000164212977358136</v>
      </c>
      <c r="C456" s="21" t="n">
        <f aca="false">IF(B456="","",A456/$B$6)</f>
        <v>0.42</v>
      </c>
      <c r="D456" s="21" t="n">
        <f aca="false">IF(B456="","",NORMDIST(B456,$B$15,$B$16,TRUE()))</f>
        <v>0.452335604104346</v>
      </c>
      <c r="E456" s="21" t="n">
        <f aca="false">IF(B456="","",IF(B456&gt;=$B$15,1-TDIST((B456-$B$15)/$B$18,$B$17,1),TDIST(($B$15-B456)/$B$18,$B$17,1)))</f>
        <v>0.445652548051871</v>
      </c>
      <c r="F456" s="21" t="n">
        <f aca="false">IF(B456="","",IF(B456&lt;$B$19,0.5*EXP((B456-$B$19)/$B$20),1-0.5*EXP(-(B456-$B$19)/$B$20)))</f>
        <v>0.421853069802315</v>
      </c>
      <c r="G456" s="21" t="n">
        <f aca="false">IF(B456="","",1/(1+EXP(-(B456-$B$15)/$B$21)))</f>
        <v>0.445906209821874</v>
      </c>
      <c r="H456" s="21" t="n">
        <f aca="false">IF(B456="","",MAX(ABS($A456/$B$6-D456),ABS(($A456-1)/$B$6-D456)))</f>
        <v>0.0333356041043464</v>
      </c>
      <c r="I456" s="21" t="n">
        <f aca="false">IF(B456="","",MAX(ABS($A456/$B$6-E456),ABS(($A456-1)/$B$6-E456)))</f>
        <v>0.0266525480518713</v>
      </c>
      <c r="J456" s="21" t="n">
        <f aca="false">IF(B456="","",MAX(ABS($A456/$B$6-F456),ABS(($A456-1)/$B$6-F456)))</f>
        <v>0.00285306980231465</v>
      </c>
      <c r="K456" s="21" t="n">
        <f aca="false">IF(B456="","",MAX(ABS($A456/$B$6-G456),ABS(($A456-1)/$B$6-G456)))</f>
        <v>0.0269062098218739</v>
      </c>
    </row>
    <row r="457" customFormat="false" ht="15" hidden="false" customHeight="false" outlineLevel="0" collapsed="false">
      <c r="A457" s="11" t="n">
        <v>421</v>
      </c>
      <c r="B457" s="9" t="n">
        <f aca="false">IF(A457&gt;$B$6,"",SMALL(BTC_Data!$C$3:$C$1002,A457))</f>
        <v>-0.000163608087910938</v>
      </c>
      <c r="C457" s="21" t="n">
        <f aca="false">IF(B457="","",A457/$B$6)</f>
        <v>0.421</v>
      </c>
      <c r="D457" s="21" t="n">
        <f aca="false">IF(B457="","",NORMDIST(B457,$B$15,$B$16,TRUE()))</f>
        <v>0.45252378309202</v>
      </c>
      <c r="E457" s="21" t="n">
        <f aca="false">IF(B457="","",IF(B457&gt;=$B$15,1-TDIST((B457-$B$15)/$B$18,$B$17,1),TDIST(($B$15-B457)/$B$18,$B$17,1)))</f>
        <v>0.445866502790751</v>
      </c>
      <c r="F457" s="21" t="n">
        <f aca="false">IF(B457="","",IF(B457&lt;$B$19,0.5*EXP((B457-$B$19)/$B$20),1-0.5*EXP(-(B457-$B$19)/$B$20)))</f>
        <v>0.422133222462552</v>
      </c>
      <c r="G457" s="21" t="n">
        <f aca="false">IF(B457="","",1/(1+EXP(-(B457-$B$15)/$B$21)))</f>
        <v>0.446119121532712</v>
      </c>
      <c r="H457" s="21" t="n">
        <f aca="false">IF(B457="","",MAX(ABS($A457/$B$6-D457),ABS(($A457-1)/$B$6-D457)))</f>
        <v>0.03252378309202</v>
      </c>
      <c r="I457" s="21" t="n">
        <f aca="false">IF(B457="","",MAX(ABS($A457/$B$6-E457),ABS(($A457-1)/$B$6-E457)))</f>
        <v>0.0258665027907509</v>
      </c>
      <c r="J457" s="21" t="n">
        <f aca="false">IF(B457="","",MAX(ABS($A457/$B$6-F457),ABS(($A457-1)/$B$6-F457)))</f>
        <v>0.00213322246255182</v>
      </c>
      <c r="K457" s="21" t="n">
        <f aca="false">IF(B457="","",MAX(ABS($A457/$B$6-G457),ABS(($A457-1)/$B$6-G457)))</f>
        <v>0.0261191215327121</v>
      </c>
    </row>
    <row r="458" customFormat="false" ht="15" hidden="false" customHeight="false" outlineLevel="0" collapsed="false">
      <c r="A458" s="11" t="n">
        <v>422</v>
      </c>
      <c r="B458" s="9" t="n">
        <f aca="false">IF(A458&gt;$B$6,"",SMALL(BTC_Data!$C$3:$C$1002,A458))</f>
        <v>-0.000160347754356582</v>
      </c>
      <c r="C458" s="21" t="n">
        <f aca="false">IF(B458="","",A458/$B$6)</f>
        <v>0.422</v>
      </c>
      <c r="D458" s="21" t="n">
        <f aca="false">IF(B458="","",NORMDIST(B458,$B$15,$B$16,TRUE()))</f>
        <v>0.453538244034524</v>
      </c>
      <c r="E458" s="21" t="n">
        <f aca="false">IF(B458="","",IF(B458&gt;=$B$15,1-TDIST((B458-$B$15)/$B$18,$B$17,1),TDIST(($B$15-B458)/$B$18,$B$17,1)))</f>
        <v>0.447020042821884</v>
      </c>
      <c r="F458" s="21" t="n">
        <f aca="false">IF(B458="","",IF(B458&lt;$B$19,0.5*EXP((B458-$B$19)/$B$20),1-0.5*EXP(-(B458-$B$19)/$B$20)))</f>
        <v>0.423646442820304</v>
      </c>
      <c r="G458" s="21" t="n">
        <f aca="false">IF(B458="","",1/(1+EXP(-(B458-$B$15)/$B$21)))</f>
        <v>0.447267046971508</v>
      </c>
      <c r="H458" s="21" t="n">
        <f aca="false">IF(B458="","",MAX(ABS($A458/$B$6-D458),ABS(($A458-1)/$B$6-D458)))</f>
        <v>0.0325382440345238</v>
      </c>
      <c r="I458" s="21" t="n">
        <f aca="false">IF(B458="","",MAX(ABS($A458/$B$6-E458),ABS(($A458-1)/$B$6-E458)))</f>
        <v>0.0260200428218842</v>
      </c>
      <c r="J458" s="21" t="n">
        <f aca="false">IF(B458="","",MAX(ABS($A458/$B$6-F458),ABS(($A458-1)/$B$6-F458)))</f>
        <v>0.0026464428203038</v>
      </c>
      <c r="K458" s="21" t="n">
        <f aca="false">IF(B458="","",MAX(ABS($A458/$B$6-G458),ABS(($A458-1)/$B$6-G458)))</f>
        <v>0.0262670469715077</v>
      </c>
    </row>
    <row r="459" customFormat="false" ht="15" hidden="false" customHeight="false" outlineLevel="0" collapsed="false">
      <c r="A459" s="11" t="n">
        <v>423</v>
      </c>
      <c r="B459" s="9" t="n">
        <f aca="false">IF(A459&gt;$B$6,"",SMALL(BTC_Data!$C$3:$C$1002,A459))</f>
        <v>-0.000159900180559225</v>
      </c>
      <c r="C459" s="21" t="n">
        <f aca="false">IF(B459="","",A459/$B$6)</f>
        <v>0.423</v>
      </c>
      <c r="D459" s="21" t="n">
        <f aca="false">IF(B459="","",NORMDIST(B459,$B$15,$B$16,TRUE()))</f>
        <v>0.453677531562022</v>
      </c>
      <c r="E459" s="21" t="n">
        <f aca="false">IF(B459="","",IF(B459&gt;=$B$15,1-TDIST((B459-$B$15)/$B$18,$B$17,1),TDIST(($B$15-B459)/$B$18,$B$17,1)))</f>
        <v>0.447178442322141</v>
      </c>
      <c r="F459" s="21" t="n">
        <f aca="false">IF(B459="","",IF(B459&lt;$B$19,0.5*EXP((B459-$B$19)/$B$20),1-0.5*EXP(-(B459-$B$19)/$B$20)))</f>
        <v>0.423854598493002</v>
      </c>
      <c r="G459" s="21" t="n">
        <f aca="false">IF(B459="","",1/(1+EXP(-(B459-$B$15)/$B$21)))</f>
        <v>0.447424676661476</v>
      </c>
      <c r="H459" s="21" t="n">
        <f aca="false">IF(B459="","",MAX(ABS($A459/$B$6-D459),ABS(($A459-1)/$B$6-D459)))</f>
        <v>0.0316775315620217</v>
      </c>
      <c r="I459" s="21" t="n">
        <f aca="false">IF(B459="","",MAX(ABS($A459/$B$6-E459),ABS(($A459-1)/$B$6-E459)))</f>
        <v>0.0251784423221411</v>
      </c>
      <c r="J459" s="21" t="n">
        <f aca="false">IF(B459="","",MAX(ABS($A459/$B$6-F459),ABS(($A459-1)/$B$6-F459)))</f>
        <v>0.00185459849300179</v>
      </c>
      <c r="K459" s="21" t="n">
        <f aca="false">IF(B459="","",MAX(ABS($A459/$B$6-G459),ABS(($A459-1)/$B$6-G459)))</f>
        <v>0.0254246766614756</v>
      </c>
    </row>
    <row r="460" customFormat="false" ht="15" hidden="false" customHeight="false" outlineLevel="0" collapsed="false">
      <c r="A460" s="11" t="n">
        <v>424</v>
      </c>
      <c r="B460" s="9" t="n">
        <f aca="false">IF(A460&gt;$B$6,"",SMALL(BTC_Data!$C$3:$C$1002,A460))</f>
        <v>-0.000158819845446301</v>
      </c>
      <c r="C460" s="21" t="n">
        <f aca="false">IF(B460="","",A460/$B$6)</f>
        <v>0.424</v>
      </c>
      <c r="D460" s="21" t="n">
        <f aca="false">IF(B460="","",NORMDIST(B460,$B$15,$B$16,TRUE()))</f>
        <v>0.454013761476025</v>
      </c>
      <c r="E460" s="21" t="n">
        <f aca="false">IF(B460="","",IF(B460&gt;=$B$15,1-TDIST((B460-$B$15)/$B$18,$B$17,1),TDIST(($B$15-B460)/$B$18,$B$17,1)))</f>
        <v>0.447560823024088</v>
      </c>
      <c r="F460" s="21" t="n">
        <f aca="false">IF(B460="","",IF(B460&lt;$B$19,0.5*EXP((B460-$B$19)/$B$20),1-0.5*EXP(-(B460-$B$19)/$B$20)))</f>
        <v>0.424357457516334</v>
      </c>
      <c r="G460" s="21" t="n">
        <f aca="false">IF(B460="","",1/(1+EXP(-(B460-$B$15)/$B$21)))</f>
        <v>0.44780520016616</v>
      </c>
      <c r="H460" s="21" t="n">
        <f aca="false">IF(B460="","",MAX(ABS($A460/$B$6-D460),ABS(($A460-1)/$B$6-D460)))</f>
        <v>0.0310137614760254</v>
      </c>
      <c r="I460" s="21" t="n">
        <f aca="false">IF(B460="","",MAX(ABS($A460/$B$6-E460),ABS(($A460-1)/$B$6-E460)))</f>
        <v>0.0245608230240884</v>
      </c>
      <c r="J460" s="21" t="n">
        <f aca="false">IF(B460="","",MAX(ABS($A460/$B$6-F460),ABS(($A460-1)/$B$6-F460)))</f>
        <v>0.00135745751633376</v>
      </c>
      <c r="K460" s="21" t="n">
        <f aca="false">IF(B460="","",MAX(ABS($A460/$B$6-G460),ABS(($A460-1)/$B$6-G460)))</f>
        <v>0.0248052001661595</v>
      </c>
    </row>
    <row r="461" customFormat="false" ht="15" hidden="false" customHeight="false" outlineLevel="0" collapsed="false">
      <c r="A461" s="11" t="n">
        <v>425</v>
      </c>
      <c r="B461" s="9" t="n">
        <f aca="false">IF(A461&gt;$B$6,"",SMALL(BTC_Data!$C$3:$C$1002,A461))</f>
        <v>-0.00015847545466019</v>
      </c>
      <c r="C461" s="21" t="n">
        <f aca="false">IF(B461="","",A461/$B$6)</f>
        <v>0.425</v>
      </c>
      <c r="D461" s="21" t="n">
        <f aca="false">IF(B461="","",NORMDIST(B461,$B$15,$B$16,TRUE()))</f>
        <v>0.454120952272787</v>
      </c>
      <c r="E461" s="21" t="n">
        <f aca="false">IF(B461="","",IF(B461&gt;=$B$15,1-TDIST((B461-$B$15)/$B$18,$B$17,1),TDIST(($B$15-B461)/$B$18,$B$17,1)))</f>
        <v>0.447682731489919</v>
      </c>
      <c r="F461" s="21" t="n">
        <f aca="false">IF(B461="","",IF(B461&lt;$B$19,0.5*EXP((B461-$B$19)/$B$20),1-0.5*EXP(-(B461-$B$19)/$B$20)))</f>
        <v>0.424517885011619</v>
      </c>
      <c r="G461" s="21" t="n">
        <f aca="false">IF(B461="","",1/(1+EXP(-(B461-$B$15)/$B$21)))</f>
        <v>0.447926516870069</v>
      </c>
      <c r="H461" s="21" t="n">
        <f aca="false">IF(B461="","",MAX(ABS($A461/$B$6-D461),ABS(($A461-1)/$B$6-D461)))</f>
        <v>0.0301209522727867</v>
      </c>
      <c r="I461" s="21" t="n">
        <f aca="false">IF(B461="","",MAX(ABS($A461/$B$6-E461),ABS(($A461-1)/$B$6-E461)))</f>
        <v>0.0236827314899195</v>
      </c>
      <c r="J461" s="21" t="n">
        <f aca="false">IF(B461="","",MAX(ABS($A461/$B$6-F461),ABS(($A461-1)/$B$6-F461)))</f>
        <v>0.000517885011619257</v>
      </c>
      <c r="K461" s="21" t="n">
        <f aca="false">IF(B461="","",MAX(ABS($A461/$B$6-G461),ABS(($A461-1)/$B$6-G461)))</f>
        <v>0.023926516870069</v>
      </c>
    </row>
    <row r="462" customFormat="false" ht="15" hidden="false" customHeight="false" outlineLevel="0" collapsed="false">
      <c r="A462" s="11" t="n">
        <v>426</v>
      </c>
      <c r="B462" s="9" t="n">
        <f aca="false">IF(A462&gt;$B$6,"",SMALL(BTC_Data!$C$3:$C$1002,A462))</f>
        <v>-0.000156097000261424</v>
      </c>
      <c r="C462" s="21" t="n">
        <f aca="false">IF(B462="","",A462/$B$6)</f>
        <v>0.426</v>
      </c>
      <c r="D462" s="21" t="n">
        <f aca="false">IF(B462="","",NORMDIST(B462,$B$15,$B$16,TRUE()))</f>
        <v>0.45486133125199</v>
      </c>
      <c r="E462" s="21" t="n">
        <f aca="false">IF(B462="","",IF(B462&gt;=$B$15,1-TDIST((B462-$B$15)/$B$18,$B$17,1),TDIST(($B$15-B462)/$B$18,$B$17,1)))</f>
        <v>0.448524828622725</v>
      </c>
      <c r="F462" s="21" t="n">
        <f aca="false">IF(B462="","",IF(B462&lt;$B$19,0.5*EXP((B462-$B$19)/$B$20),1-0.5*EXP(-(B462-$B$19)/$B$20)))</f>
        <v>0.425627497020961</v>
      </c>
      <c r="G462" s="21" t="n">
        <f aca="false">IF(B462="","",1/(1+EXP(-(B462-$B$15)/$B$21)))</f>
        <v>0.4487645307811</v>
      </c>
      <c r="H462" s="21" t="n">
        <f aca="false">IF(B462="","",MAX(ABS($A462/$B$6-D462),ABS(($A462-1)/$B$6-D462)))</f>
        <v>0.02986133125199</v>
      </c>
      <c r="I462" s="21" t="n">
        <f aca="false">IF(B462="","",MAX(ABS($A462/$B$6-E462),ABS(($A462-1)/$B$6-E462)))</f>
        <v>0.0235248286227255</v>
      </c>
      <c r="J462" s="21" t="n">
        <f aca="false">IF(B462="","",MAX(ABS($A462/$B$6-F462),ABS(($A462-1)/$B$6-F462)))</f>
        <v>0.000627497020961265</v>
      </c>
      <c r="K462" s="21" t="n">
        <f aca="false">IF(B462="","",MAX(ABS($A462/$B$6-G462),ABS(($A462-1)/$B$6-G462)))</f>
        <v>0.0237645307811001</v>
      </c>
    </row>
    <row r="463" customFormat="false" ht="15" hidden="false" customHeight="false" outlineLevel="0" collapsed="false">
      <c r="A463" s="11" t="n">
        <v>427</v>
      </c>
      <c r="B463" s="9" t="n">
        <f aca="false">IF(A463&gt;$B$6,"",SMALL(BTC_Data!$C$3:$C$1002,A463))</f>
        <v>-0.00014439906864061</v>
      </c>
      <c r="C463" s="21" t="n">
        <f aca="false">IF(B463="","",A463/$B$6)</f>
        <v>0.427</v>
      </c>
      <c r="D463" s="21" t="n">
        <f aca="false">IF(B463="","",NORMDIST(B463,$B$15,$B$16,TRUE()))</f>
        <v>0.458504964842947</v>
      </c>
      <c r="E463" s="21" t="n">
        <f aca="false">IF(B463="","",IF(B463&gt;=$B$15,1-TDIST((B463-$B$15)/$B$18,$B$17,1),TDIST(($B$15-B463)/$B$18,$B$17,1)))</f>
        <v>0.452670564169555</v>
      </c>
      <c r="F463" s="21" t="n">
        <f aca="false">IF(B463="","",IF(B463&lt;$B$19,0.5*EXP((B463-$B$19)/$B$20),1-0.5*EXP(-(B463-$B$19)/$B$20)))</f>
        <v>0.431127247635059</v>
      </c>
      <c r="G463" s="21" t="n">
        <f aca="false">IF(B463="","",1/(1+EXP(-(B463-$B$15)/$B$21)))</f>
        <v>0.452890273849717</v>
      </c>
      <c r="H463" s="21" t="n">
        <f aca="false">IF(B463="","",MAX(ABS($A463/$B$6-D463),ABS(($A463-1)/$B$6-D463)))</f>
        <v>0.0325049648429469</v>
      </c>
      <c r="I463" s="21" t="n">
        <f aca="false">IF(B463="","",MAX(ABS($A463/$B$6-E463),ABS(($A463-1)/$B$6-E463)))</f>
        <v>0.0266705641695554</v>
      </c>
      <c r="J463" s="21" t="n">
        <f aca="false">IF(B463="","",MAX(ABS($A463/$B$6-F463),ABS(($A463-1)/$B$6-F463)))</f>
        <v>0.00512724763505912</v>
      </c>
      <c r="K463" s="21" t="n">
        <f aca="false">IF(B463="","",MAX(ABS($A463/$B$6-G463),ABS(($A463-1)/$B$6-G463)))</f>
        <v>0.0268902738497167</v>
      </c>
    </row>
    <row r="464" customFormat="false" ht="15" hidden="false" customHeight="false" outlineLevel="0" collapsed="false">
      <c r="A464" s="11" t="n">
        <v>428</v>
      </c>
      <c r="B464" s="9" t="n">
        <f aca="false">IF(A464&gt;$B$6,"",SMALL(BTC_Data!$C$3:$C$1002,A464))</f>
        <v>-0.000140144829489541</v>
      </c>
      <c r="C464" s="21" t="n">
        <f aca="false">IF(B464="","",A464/$B$6)</f>
        <v>0.428</v>
      </c>
      <c r="D464" s="21" t="n">
        <f aca="false">IF(B464="","",NORMDIST(B464,$B$15,$B$16,TRUE()))</f>
        <v>0.459830942759998</v>
      </c>
      <c r="E464" s="21" t="n">
        <f aca="false">IF(B464="","",IF(B464&gt;=$B$15,1-TDIST((B464-$B$15)/$B$18,$B$17,1),TDIST(($B$15-B464)/$B$18,$B$17,1)))</f>
        <v>0.454179863561197</v>
      </c>
      <c r="F464" s="21" t="n">
        <f aca="false">IF(B464="","",IF(B464&lt;$B$19,0.5*EXP((B464-$B$19)/$B$20),1-0.5*EXP(-(B464-$B$19)/$B$20)))</f>
        <v>0.433144940296777</v>
      </c>
      <c r="G464" s="21" t="n">
        <f aca="false">IF(B464="","",1/(1+EXP(-(B464-$B$15)/$B$21)))</f>
        <v>0.45439233817205</v>
      </c>
      <c r="H464" s="21" t="n">
        <f aca="false">IF(B464="","",MAX(ABS($A464/$B$6-D464),ABS(($A464-1)/$B$6-D464)))</f>
        <v>0.0328309427599981</v>
      </c>
      <c r="I464" s="21" t="n">
        <f aca="false">IF(B464="","",MAX(ABS($A464/$B$6-E464),ABS(($A464-1)/$B$6-E464)))</f>
        <v>0.0271798635611974</v>
      </c>
      <c r="J464" s="21" t="n">
        <f aca="false">IF(B464="","",MAX(ABS($A464/$B$6-F464),ABS(($A464-1)/$B$6-F464)))</f>
        <v>0.00614494029677676</v>
      </c>
      <c r="K464" s="21" t="n">
        <f aca="false">IF(B464="","",MAX(ABS($A464/$B$6-G464),ABS(($A464-1)/$B$6-G464)))</f>
        <v>0.02739233817205</v>
      </c>
    </row>
    <row r="465" customFormat="false" ht="15" hidden="false" customHeight="false" outlineLevel="0" collapsed="false">
      <c r="A465" s="11" t="n">
        <v>429</v>
      </c>
      <c r="B465" s="9" t="n">
        <f aca="false">IF(A465&gt;$B$6,"",SMALL(BTC_Data!$C$3:$C$1002,A465))</f>
        <v>-0.000132964488624543</v>
      </c>
      <c r="C465" s="21" t="n">
        <f aca="false">IF(B465="","",A465/$B$6)</f>
        <v>0.429</v>
      </c>
      <c r="D465" s="21" t="n">
        <f aca="false">IF(B465="","",NORMDIST(B465,$B$15,$B$16,TRUE()))</f>
        <v>0.46206994563386</v>
      </c>
      <c r="E465" s="21" t="n">
        <f aca="false">IF(B465="","",IF(B465&gt;=$B$15,1-TDIST((B465-$B$15)/$B$18,$B$17,1),TDIST(($B$15-B465)/$B$18,$B$17,1)))</f>
        <v>0.456729100797918</v>
      </c>
      <c r="F465" s="21" t="n">
        <f aca="false">IF(B465="","",IF(B465&lt;$B$19,0.5*EXP((B465-$B$19)/$B$20),1-0.5*EXP(-(B465-$B$19)/$B$20)))</f>
        <v>0.436571860875977</v>
      </c>
      <c r="G465" s="21" t="n">
        <f aca="false">IF(B465="","",1/(1+EXP(-(B465-$B$15)/$B$21)))</f>
        <v>0.456929404982333</v>
      </c>
      <c r="H465" s="21" t="n">
        <f aca="false">IF(B465="","",MAX(ABS($A465/$B$6-D465),ABS(($A465-1)/$B$6-D465)))</f>
        <v>0.0340699456338597</v>
      </c>
      <c r="I465" s="21" t="n">
        <f aca="false">IF(B465="","",MAX(ABS($A465/$B$6-E465),ABS(($A465-1)/$B$6-E465)))</f>
        <v>0.028729100797918</v>
      </c>
      <c r="J465" s="21" t="n">
        <f aca="false">IF(B465="","",MAX(ABS($A465/$B$6-F465),ABS(($A465-1)/$B$6-F465)))</f>
        <v>0.00857186087597722</v>
      </c>
      <c r="K465" s="21" t="n">
        <f aca="false">IF(B465="","",MAX(ABS($A465/$B$6-G465),ABS(($A465-1)/$B$6-G465)))</f>
        <v>0.0289294049823333</v>
      </c>
    </row>
    <row r="466" customFormat="false" ht="15" hidden="false" customHeight="false" outlineLevel="0" collapsed="false">
      <c r="A466" s="11" t="n">
        <v>430</v>
      </c>
      <c r="B466" s="9" t="n">
        <f aca="false">IF(A466&gt;$B$6,"",SMALL(BTC_Data!$C$3:$C$1002,A466))</f>
        <v>-0.000132770390916082</v>
      </c>
      <c r="C466" s="21" t="n">
        <f aca="false">IF(B466="","",A466/$B$6)</f>
        <v>0.43</v>
      </c>
      <c r="D466" s="21" t="n">
        <f aca="false">IF(B466="","",NORMDIST(B466,$B$15,$B$16,TRUE()))</f>
        <v>0.462130486976615</v>
      </c>
      <c r="E466" s="21" t="n">
        <f aca="false">IF(B466="","",IF(B466&gt;=$B$15,1-TDIST((B466-$B$15)/$B$18,$B$17,1),TDIST(($B$15-B466)/$B$18,$B$17,1)))</f>
        <v>0.456798042263225</v>
      </c>
      <c r="F466" s="21" t="n">
        <f aca="false">IF(B466="","",IF(B466&lt;$B$19,0.5*EXP((B466-$B$19)/$B$20),1-0.5*EXP(-(B466-$B$19)/$B$20)))</f>
        <v>0.436664872187523</v>
      </c>
      <c r="G466" s="21" t="n">
        <f aca="false">IF(B466="","",1/(1+EXP(-(B466-$B$15)/$B$21)))</f>
        <v>0.456998018153837</v>
      </c>
      <c r="H466" s="21" t="n">
        <f aca="false">IF(B466="","",MAX(ABS($A466/$B$6-D466),ABS(($A466-1)/$B$6-D466)))</f>
        <v>0.0331304869766154</v>
      </c>
      <c r="I466" s="21" t="n">
        <f aca="false">IF(B466="","",MAX(ABS($A466/$B$6-E466),ABS(($A466-1)/$B$6-E466)))</f>
        <v>0.0277980422632249</v>
      </c>
      <c r="J466" s="21" t="n">
        <f aca="false">IF(B466="","",MAX(ABS($A466/$B$6-F466),ABS(($A466-1)/$B$6-F466)))</f>
        <v>0.00766487218752293</v>
      </c>
      <c r="K466" s="21" t="n">
        <f aca="false">IF(B466="","",MAX(ABS($A466/$B$6-G466),ABS(($A466-1)/$B$6-G466)))</f>
        <v>0.0279980181538365</v>
      </c>
    </row>
    <row r="467" customFormat="false" ht="15" hidden="false" customHeight="false" outlineLevel="0" collapsed="false">
      <c r="A467" s="11" t="n">
        <v>431</v>
      </c>
      <c r="B467" s="9" t="n">
        <f aca="false">IF(A467&gt;$B$6,"",SMALL(BTC_Data!$C$3:$C$1002,A467))</f>
        <v>-0.000131377508983066</v>
      </c>
      <c r="C467" s="21" t="n">
        <f aca="false">IF(B467="","",A467/$B$6)</f>
        <v>0.431</v>
      </c>
      <c r="D467" s="21" t="n">
        <f aca="false">IF(B467="","",NORMDIST(B467,$B$15,$B$16,TRUE()))</f>
        <v>0.46256496877938</v>
      </c>
      <c r="E467" s="21" t="n">
        <f aca="false">IF(B467="","",IF(B467&gt;=$B$15,1-TDIST((B467-$B$15)/$B$18,$B$17,1),TDIST(($B$15-B467)/$B$18,$B$17,1)))</f>
        <v>0.457292825943478</v>
      </c>
      <c r="F467" s="21" t="n">
        <f aca="false">IF(B467="","",IF(B467&lt;$B$19,0.5*EXP((B467-$B$19)/$B$20),1-0.5*EXP(-(B467-$B$19)/$B$20)))</f>
        <v>0.437332920578342</v>
      </c>
      <c r="G467" s="21" t="n">
        <f aca="false">IF(B467="","",1/(1+EXP(-(B467-$B$15)/$B$21)))</f>
        <v>0.45749044698599</v>
      </c>
      <c r="H467" s="21" t="n">
        <f aca="false">IF(B467="","",MAX(ABS($A467/$B$6-D467),ABS(($A467-1)/$B$6-D467)))</f>
        <v>0.0325649687793804</v>
      </c>
      <c r="I467" s="21" t="n">
        <f aca="false">IF(B467="","",MAX(ABS($A467/$B$6-E467),ABS(($A467-1)/$B$6-E467)))</f>
        <v>0.0272928259434779</v>
      </c>
      <c r="J467" s="21" t="n">
        <f aca="false">IF(B467="","",MAX(ABS($A467/$B$6-F467),ABS(($A467-1)/$B$6-F467)))</f>
        <v>0.00733292057834201</v>
      </c>
      <c r="K467" s="21" t="n">
        <f aca="false">IF(B467="","",MAX(ABS($A467/$B$6-G467),ABS(($A467-1)/$B$6-G467)))</f>
        <v>0.0274904469859901</v>
      </c>
    </row>
    <row r="468" customFormat="false" ht="15" hidden="false" customHeight="false" outlineLevel="0" collapsed="false">
      <c r="A468" s="11" t="n">
        <v>432</v>
      </c>
      <c r="B468" s="9" t="n">
        <f aca="false">IF(A468&gt;$B$6,"",SMALL(BTC_Data!$C$3:$C$1002,A468))</f>
        <v>-0.000129543122637688</v>
      </c>
      <c r="C468" s="21" t="n">
        <f aca="false">IF(B468="","",A468/$B$6)</f>
        <v>0.432</v>
      </c>
      <c r="D468" s="21" t="n">
        <f aca="false">IF(B468="","",NORMDIST(B468,$B$15,$B$16,TRUE()))</f>
        <v>0.463137237165824</v>
      </c>
      <c r="E468" s="21" t="n">
        <f aca="false">IF(B468="","",IF(B468&gt;=$B$15,1-TDIST((B468-$B$15)/$B$18,$B$17,1),TDIST(($B$15-B468)/$B$18,$B$17,1)))</f>
        <v>0.457944565949533</v>
      </c>
      <c r="F468" s="21" t="n">
        <f aca="false">IF(B468="","",IF(B468&lt;$B$19,0.5*EXP((B468-$B$19)/$B$20),1-0.5*EXP(-(B468-$B$19)/$B$20)))</f>
        <v>0.438214281097689</v>
      </c>
      <c r="G468" s="21" t="n">
        <f aca="false">IF(B468="","",1/(1+EXP(-(B468-$B$15)/$B$21)))</f>
        <v>0.458139088512478</v>
      </c>
      <c r="H468" s="21" t="n">
        <f aca="false">IF(B468="","",MAX(ABS($A468/$B$6-D468),ABS(($A468-1)/$B$6-D468)))</f>
        <v>0.0321372371658242</v>
      </c>
      <c r="I468" s="21" t="n">
        <f aca="false">IF(B468="","",MAX(ABS($A468/$B$6-E468),ABS(($A468-1)/$B$6-E468)))</f>
        <v>0.0269445659495329</v>
      </c>
      <c r="J468" s="21" t="n">
        <f aca="false">IF(B468="","",MAX(ABS($A468/$B$6-F468),ABS(($A468-1)/$B$6-F468)))</f>
        <v>0.0072142810976889</v>
      </c>
      <c r="K468" s="21" t="n">
        <f aca="false">IF(B468="","",MAX(ABS($A468/$B$6-G468),ABS(($A468-1)/$B$6-G468)))</f>
        <v>0.0271390885124782</v>
      </c>
    </row>
    <row r="469" customFormat="false" ht="15" hidden="false" customHeight="false" outlineLevel="0" collapsed="false">
      <c r="A469" s="11" t="n">
        <v>433</v>
      </c>
      <c r="B469" s="9" t="n">
        <f aca="false">IF(A469&gt;$B$6,"",SMALL(BTC_Data!$C$3:$C$1002,A469))</f>
        <v>-0.000127857958503674</v>
      </c>
      <c r="C469" s="21" t="n">
        <f aca="false">IF(B469="","",A469/$B$6)</f>
        <v>0.433</v>
      </c>
      <c r="D469" s="21" t="n">
        <f aca="false">IF(B469="","",NORMDIST(B469,$B$15,$B$16,TRUE()))</f>
        <v>0.463663020382849</v>
      </c>
      <c r="E469" s="21" t="n">
        <f aca="false">IF(B469="","",IF(B469&gt;=$B$15,1-TDIST((B469-$B$15)/$B$18,$B$17,1),TDIST(($B$15-B469)/$B$18,$B$17,1)))</f>
        <v>0.45854341109319</v>
      </c>
      <c r="F469" s="21" t="n">
        <f aca="false">IF(B469="","",IF(B469&lt;$B$19,0.5*EXP((B469-$B$19)/$B$20),1-0.5*EXP(-(B469-$B$19)/$B$20)))</f>
        <v>0.439025510667098</v>
      </c>
      <c r="G469" s="21" t="n">
        <f aca="false">IF(B469="","",1/(1+EXP(-(B469-$B$15)/$B$21)))</f>
        <v>0.458735089988811</v>
      </c>
      <c r="H469" s="21" t="n">
        <f aca="false">IF(B469="","",MAX(ABS($A469/$B$6-D469),ABS(($A469-1)/$B$6-D469)))</f>
        <v>0.0316630203828488</v>
      </c>
      <c r="I469" s="21" t="n">
        <f aca="false">IF(B469="","",MAX(ABS($A469/$B$6-E469),ABS(($A469-1)/$B$6-E469)))</f>
        <v>0.0265434110931905</v>
      </c>
      <c r="J469" s="21" t="n">
        <f aca="false">IF(B469="","",MAX(ABS($A469/$B$6-F469),ABS(($A469-1)/$B$6-F469)))</f>
        <v>0.00702551066709845</v>
      </c>
      <c r="K469" s="21" t="n">
        <f aca="false">IF(B469="","",MAX(ABS($A469/$B$6-G469),ABS(($A469-1)/$B$6-G469)))</f>
        <v>0.0267350899888114</v>
      </c>
    </row>
    <row r="470" customFormat="false" ht="15" hidden="false" customHeight="false" outlineLevel="0" collapsed="false">
      <c r="A470" s="11" t="n">
        <v>434</v>
      </c>
      <c r="B470" s="9" t="n">
        <f aca="false">IF(A470&gt;$B$6,"",SMALL(BTC_Data!$C$3:$C$1002,A470))</f>
        <v>-0.00012623806572043</v>
      </c>
      <c r="C470" s="21" t="n">
        <f aca="false">IF(B470="","",A470/$B$6)</f>
        <v>0.434</v>
      </c>
      <c r="D470" s="21" t="n">
        <f aca="false">IF(B470="","",NORMDIST(B470,$B$15,$B$16,TRUE()))</f>
        <v>0.464168498319263</v>
      </c>
      <c r="E470" s="21" t="n">
        <f aca="false">IF(B470="","",IF(B470&gt;=$B$15,1-TDIST((B470-$B$15)/$B$18,$B$17,1),TDIST(($B$15-B470)/$B$18,$B$17,1)))</f>
        <v>0.459119170089324</v>
      </c>
      <c r="F470" s="21" t="n">
        <f aca="false">IF(B470="","",IF(B470&lt;$B$19,0.5*EXP((B470-$B$19)/$B$20),1-0.5*EXP(-(B470-$B$19)/$B$20)))</f>
        <v>0.439806734538244</v>
      </c>
      <c r="G470" s="21" t="n">
        <f aca="false">IF(B470="","",1/(1+EXP(-(B470-$B$15)/$B$21)))</f>
        <v>0.459308117919253</v>
      </c>
      <c r="H470" s="21" t="n">
        <f aca="false">IF(B470="","",MAX(ABS($A470/$B$6-D470),ABS(($A470-1)/$B$6-D470)))</f>
        <v>0.0311684983192631</v>
      </c>
      <c r="I470" s="21" t="n">
        <f aca="false">IF(B470="","",MAX(ABS($A470/$B$6-E470),ABS(($A470-1)/$B$6-E470)))</f>
        <v>0.0261191700893238</v>
      </c>
      <c r="J470" s="21" t="n">
        <f aca="false">IF(B470="","",MAX(ABS($A470/$B$6-F470),ABS(($A470-1)/$B$6-F470)))</f>
        <v>0.00680673453824376</v>
      </c>
      <c r="K470" s="21" t="n">
        <f aca="false">IF(B470="","",MAX(ABS($A470/$B$6-G470),ABS(($A470-1)/$B$6-G470)))</f>
        <v>0.0263081179192528</v>
      </c>
    </row>
    <row r="471" customFormat="false" ht="15" hidden="false" customHeight="false" outlineLevel="0" collapsed="false">
      <c r="A471" s="11" t="n">
        <v>435</v>
      </c>
      <c r="B471" s="9" t="n">
        <f aca="false">IF(A471&gt;$B$6,"",SMALL(BTC_Data!$C$3:$C$1002,A471))</f>
        <v>-0.00012513699737049</v>
      </c>
      <c r="C471" s="21" t="n">
        <f aca="false">IF(B471="","",A471/$B$6)</f>
        <v>0.435</v>
      </c>
      <c r="D471" s="21" t="n">
        <f aca="false">IF(B471="","",NORMDIST(B471,$B$15,$B$16,TRUE()))</f>
        <v>0.464512113237386</v>
      </c>
      <c r="E471" s="21" t="n">
        <f aca="false">IF(B471="","",IF(B471&gt;=$B$15,1-TDIST((B471-$B$15)/$B$18,$B$17,1),TDIST(($B$15-B471)/$B$18,$B$17,1)))</f>
        <v>0.459510583327152</v>
      </c>
      <c r="F471" s="21" t="n">
        <f aca="false">IF(B471="","",IF(B471&lt;$B$19,0.5*EXP((B471-$B$19)/$B$20),1-0.5*EXP(-(B471-$B$19)/$B$20)))</f>
        <v>0.440338538971081</v>
      </c>
      <c r="G471" s="21" t="n">
        <f aca="false">IF(B471="","",1/(1+EXP(-(B471-$B$15)/$B$21)))</f>
        <v>0.459697676165457</v>
      </c>
      <c r="H471" s="21" t="n">
        <f aca="false">IF(B471="","",MAX(ABS($A471/$B$6-D471),ABS(($A471-1)/$B$6-D471)))</f>
        <v>0.0305121132373858</v>
      </c>
      <c r="I471" s="21" t="n">
        <f aca="false">IF(B471="","",MAX(ABS($A471/$B$6-E471),ABS(($A471-1)/$B$6-E471)))</f>
        <v>0.0255105833271517</v>
      </c>
      <c r="J471" s="21" t="n">
        <f aca="false">IF(B471="","",MAX(ABS($A471/$B$6-F471),ABS(($A471-1)/$B$6-F471)))</f>
        <v>0.00633853897108067</v>
      </c>
      <c r="K471" s="21" t="n">
        <f aca="false">IF(B471="","",MAX(ABS($A471/$B$6-G471),ABS(($A471-1)/$B$6-G471)))</f>
        <v>0.0256976761654569</v>
      </c>
    </row>
    <row r="472" customFormat="false" ht="15" hidden="false" customHeight="false" outlineLevel="0" collapsed="false">
      <c r="A472" s="11" t="n">
        <v>436</v>
      </c>
      <c r="B472" s="9" t="n">
        <f aca="false">IF(A472&gt;$B$6,"",SMALL(BTC_Data!$C$3:$C$1002,A472))</f>
        <v>-0.000121790575143388</v>
      </c>
      <c r="C472" s="21" t="n">
        <f aca="false">IF(B472="","",A472/$B$6)</f>
        <v>0.436</v>
      </c>
      <c r="D472" s="21" t="n">
        <f aca="false">IF(B472="","",NORMDIST(B472,$B$15,$B$16,TRUE()))</f>
        <v>0.465556606359103</v>
      </c>
      <c r="E472" s="21" t="n">
        <f aca="false">IF(B472="","",IF(B472&gt;=$B$15,1-TDIST((B472-$B$15)/$B$18,$B$17,1),TDIST(($B$15-B472)/$B$18,$B$17,1)))</f>
        <v>0.460700479825236</v>
      </c>
      <c r="F472" s="21" t="n">
        <f aca="false">IF(B472="","",IF(B472&lt;$B$19,0.5*EXP((B472-$B$19)/$B$20),1-0.5*EXP(-(B472-$B$19)/$B$20)))</f>
        <v>0.441958776067178</v>
      </c>
      <c r="G472" s="21" t="n">
        <f aca="false">IF(B472="","",1/(1+EXP(-(B472-$B$15)/$B$21)))</f>
        <v>0.460881941525008</v>
      </c>
      <c r="H472" s="21" t="n">
        <f aca="false">IF(B472="","",MAX(ABS($A472/$B$6-D472),ABS(($A472-1)/$B$6-D472)))</f>
        <v>0.0305566063591033</v>
      </c>
      <c r="I472" s="21" t="n">
        <f aca="false">IF(B472="","",MAX(ABS($A472/$B$6-E472),ABS(($A472-1)/$B$6-E472)))</f>
        <v>0.0257004798252359</v>
      </c>
      <c r="J472" s="21" t="n">
        <f aca="false">IF(B472="","",MAX(ABS($A472/$B$6-F472),ABS(($A472-1)/$B$6-F472)))</f>
        <v>0.00695877606717804</v>
      </c>
      <c r="K472" s="21" t="n">
        <f aca="false">IF(B472="","",MAX(ABS($A472/$B$6-G472),ABS(($A472-1)/$B$6-G472)))</f>
        <v>0.0258819415250084</v>
      </c>
    </row>
    <row r="473" customFormat="false" ht="15" hidden="false" customHeight="false" outlineLevel="0" collapsed="false">
      <c r="A473" s="11" t="n">
        <v>437</v>
      </c>
      <c r="B473" s="9" t="n">
        <f aca="false">IF(A473&gt;$B$6,"",SMALL(BTC_Data!$C$3:$C$1002,A473))</f>
        <v>-0.000120891841840387</v>
      </c>
      <c r="C473" s="21" t="n">
        <f aca="false">IF(B473="","",A473/$B$6)</f>
        <v>0.437</v>
      </c>
      <c r="D473" s="21" t="n">
        <f aca="false">IF(B473="","",NORMDIST(B473,$B$15,$B$16,TRUE()))</f>
        <v>0.465837161823184</v>
      </c>
      <c r="E473" s="21" t="n">
        <f aca="false">IF(B473="","",IF(B473&gt;=$B$15,1-TDIST((B473-$B$15)/$B$18,$B$17,1),TDIST(($B$15-B473)/$B$18,$B$17,1)))</f>
        <v>0.461020119005857</v>
      </c>
      <c r="F473" s="21" t="n">
        <f aca="false">IF(B473="","",IF(B473&lt;$B$19,0.5*EXP((B473-$B$19)/$B$20),1-0.5*EXP(-(B473-$B$19)/$B$20)))</f>
        <v>0.442394930374553</v>
      </c>
      <c r="G473" s="21" t="n">
        <f aca="false">IF(B473="","",1/(1+EXP(-(B473-$B$15)/$B$21)))</f>
        <v>0.461200070055243</v>
      </c>
      <c r="H473" s="21" t="n">
        <f aca="false">IF(B473="","",MAX(ABS($A473/$B$6-D473),ABS(($A473-1)/$B$6-D473)))</f>
        <v>0.0298371618231839</v>
      </c>
      <c r="I473" s="21" t="n">
        <f aca="false">IF(B473="","",MAX(ABS($A473/$B$6-E473),ABS(($A473-1)/$B$6-E473)))</f>
        <v>0.0250201190058573</v>
      </c>
      <c r="J473" s="21" t="n">
        <f aca="false">IF(B473="","",MAX(ABS($A473/$B$6-F473),ABS(($A473-1)/$B$6-F473)))</f>
        <v>0.00639493037455319</v>
      </c>
      <c r="K473" s="21" t="n">
        <f aca="false">IF(B473="","",MAX(ABS($A473/$B$6-G473),ABS(($A473-1)/$B$6-G473)))</f>
        <v>0.0252000700552434</v>
      </c>
    </row>
    <row r="474" customFormat="false" ht="15" hidden="false" customHeight="false" outlineLevel="0" collapsed="false">
      <c r="A474" s="11" t="n">
        <v>438</v>
      </c>
      <c r="B474" s="9" t="n">
        <f aca="false">IF(A474&gt;$B$6,"",SMALL(BTC_Data!$C$3:$C$1002,A474))</f>
        <v>-0.000119346346930227</v>
      </c>
      <c r="C474" s="21" t="n">
        <f aca="false">IF(B474="","",A474/$B$6)</f>
        <v>0.438</v>
      </c>
      <c r="D474" s="21" t="n">
        <f aca="false">IF(B474="","",NORMDIST(B474,$B$15,$B$16,TRUE()))</f>
        <v>0.466319654965923</v>
      </c>
      <c r="E474" s="21" t="n">
        <f aca="false">IF(B474="","",IF(B474&gt;=$B$15,1-TDIST((B474-$B$15)/$B$18,$B$17,1),TDIST(($B$15-B474)/$B$18,$B$17,1)))</f>
        <v>0.461569854453043</v>
      </c>
      <c r="F474" s="21" t="n">
        <f aca="false">IF(B474="","",IF(B474&lt;$B$19,0.5*EXP((B474-$B$19)/$B$20),1-0.5*EXP(-(B474-$B$19)/$B$20)))</f>
        <v>0.443145964139687</v>
      </c>
      <c r="G474" s="21" t="n">
        <f aca="false">IF(B474="","",1/(1+EXP(-(B474-$B$15)/$B$21)))</f>
        <v>0.46174720936782</v>
      </c>
      <c r="H474" s="21" t="n">
        <f aca="false">IF(B474="","",MAX(ABS($A474/$B$6-D474),ABS(($A474-1)/$B$6-D474)))</f>
        <v>0.0293196549659228</v>
      </c>
      <c r="I474" s="21" t="n">
        <f aca="false">IF(B474="","",MAX(ABS($A474/$B$6-E474),ABS(($A474-1)/$B$6-E474)))</f>
        <v>0.0245698544530426</v>
      </c>
      <c r="J474" s="21" t="n">
        <f aca="false">IF(B474="","",MAX(ABS($A474/$B$6-F474),ABS(($A474-1)/$B$6-F474)))</f>
        <v>0.00614596413968699</v>
      </c>
      <c r="K474" s="21" t="n">
        <f aca="false">IF(B474="","",MAX(ABS($A474/$B$6-G474),ABS(($A474-1)/$B$6-G474)))</f>
        <v>0.0247472093678195</v>
      </c>
    </row>
    <row r="475" customFormat="false" ht="15" hidden="false" customHeight="false" outlineLevel="0" collapsed="false">
      <c r="A475" s="11" t="n">
        <v>439</v>
      </c>
      <c r="B475" s="9" t="n">
        <f aca="false">IF(A475&gt;$B$6,"",SMALL(BTC_Data!$C$3:$C$1002,A475))</f>
        <v>-0.000119169775001593</v>
      </c>
      <c r="C475" s="21" t="n">
        <f aca="false">IF(B475="","",A475/$B$6)</f>
        <v>0.439</v>
      </c>
      <c r="D475" s="21" t="n">
        <f aca="false">IF(B475="","",NORMDIST(B475,$B$15,$B$16,TRUE()))</f>
        <v>0.466374782701815</v>
      </c>
      <c r="E475" s="21" t="n">
        <f aca="false">IF(B475="","",IF(B475&gt;=$B$15,1-TDIST((B475-$B$15)/$B$18,$B$17,1),TDIST(($B$15-B475)/$B$18,$B$17,1)))</f>
        <v>0.461632667180554</v>
      </c>
      <c r="F475" s="21" t="n">
        <f aca="false">IF(B475="","",IF(B475&lt;$B$19,0.5*EXP((B475-$B$19)/$B$20),1-0.5*EXP(-(B475-$B$19)/$B$20)))</f>
        <v>0.443231850441436</v>
      </c>
      <c r="G475" s="21" t="n">
        <f aca="false">IF(B475="","",1/(1+EXP(-(B475-$B$15)/$B$21)))</f>
        <v>0.461809725619076</v>
      </c>
      <c r="H475" s="21" t="n">
        <f aca="false">IF(B475="","",MAX(ABS($A475/$B$6-D475),ABS(($A475-1)/$B$6-D475)))</f>
        <v>0.0283747827018151</v>
      </c>
      <c r="I475" s="21" t="n">
        <f aca="false">IF(B475="","",MAX(ABS($A475/$B$6-E475),ABS(($A475-1)/$B$6-E475)))</f>
        <v>0.0236326671805535</v>
      </c>
      <c r="J475" s="21" t="n">
        <f aca="false">IF(B475="","",MAX(ABS($A475/$B$6-F475),ABS(($A475-1)/$B$6-F475)))</f>
        <v>0.0052318504414357</v>
      </c>
      <c r="K475" s="21" t="n">
        <f aca="false">IF(B475="","",MAX(ABS($A475/$B$6-G475),ABS(($A475-1)/$B$6-G475)))</f>
        <v>0.0238097256190762</v>
      </c>
    </row>
    <row r="476" customFormat="false" ht="15" hidden="false" customHeight="false" outlineLevel="0" collapsed="false">
      <c r="A476" s="11" t="n">
        <v>440</v>
      </c>
      <c r="B476" s="9" t="n">
        <f aca="false">IF(A476&gt;$B$6,"",SMALL(BTC_Data!$C$3:$C$1002,A476))</f>
        <v>-0.000118350914956378</v>
      </c>
      <c r="C476" s="21" t="n">
        <f aca="false">IF(B476="","",A476/$B$6)</f>
        <v>0.44</v>
      </c>
      <c r="D476" s="21" t="n">
        <f aca="false">IF(B476="","",NORMDIST(B476,$B$15,$B$16,TRUE()))</f>
        <v>0.466630448405873</v>
      </c>
      <c r="E476" s="21" t="n">
        <f aca="false">IF(B476="","",IF(B476&gt;=$B$15,1-TDIST((B476-$B$15)/$B$18,$B$17,1),TDIST(($B$15-B476)/$B$18,$B$17,1)))</f>
        <v>0.461923979275257</v>
      </c>
      <c r="F476" s="21" t="n">
        <f aca="false">IF(B476="","",IF(B476&lt;$B$19,0.5*EXP((B476-$B$19)/$B$20),1-0.5*EXP(-(B476-$B$19)/$B$20)))</f>
        <v>0.443630369570046</v>
      </c>
      <c r="G476" s="21" t="n">
        <f aca="false">IF(B476="","",1/(1+EXP(-(B476-$B$15)/$B$21)))</f>
        <v>0.462099663139924</v>
      </c>
      <c r="H476" s="21" t="n">
        <f aca="false">IF(B476="","",MAX(ABS($A476/$B$6-D476),ABS(($A476-1)/$B$6-D476)))</f>
        <v>0.0276304484058725</v>
      </c>
      <c r="I476" s="21" t="n">
        <f aca="false">IF(B476="","",MAX(ABS($A476/$B$6-E476),ABS(($A476-1)/$B$6-E476)))</f>
        <v>0.0229239792752567</v>
      </c>
      <c r="J476" s="21" t="n">
        <f aca="false">IF(B476="","",MAX(ABS($A476/$B$6-F476),ABS(($A476-1)/$B$6-F476)))</f>
        <v>0.00463036957004576</v>
      </c>
      <c r="K476" s="21" t="n">
        <f aca="false">IF(B476="","",MAX(ABS($A476/$B$6-G476),ABS(($A476-1)/$B$6-G476)))</f>
        <v>0.0230996631399243</v>
      </c>
    </row>
    <row r="477" customFormat="false" ht="15" hidden="false" customHeight="false" outlineLevel="0" collapsed="false">
      <c r="A477" s="11" t="n">
        <v>441</v>
      </c>
      <c r="B477" s="9" t="n">
        <f aca="false">IF(A477&gt;$B$6,"",SMALL(BTC_Data!$C$3:$C$1002,A477))</f>
        <v>-0.000117346157344045</v>
      </c>
      <c r="C477" s="21" t="n">
        <f aca="false">IF(B477="","",A477/$B$6)</f>
        <v>0.441</v>
      </c>
      <c r="D477" s="21" t="n">
        <f aca="false">IF(B477="","",NORMDIST(B477,$B$15,$B$16,TRUE()))</f>
        <v>0.466944174128324</v>
      </c>
      <c r="E477" s="21" t="n">
        <f aca="false">IF(B477="","",IF(B477&gt;=$B$15,1-TDIST((B477-$B$15)/$B$18,$B$17,1),TDIST(($B$15-B477)/$B$18,$B$17,1)))</f>
        <v>0.462281459259154</v>
      </c>
      <c r="F477" s="21" t="n">
        <f aca="false">IF(B477="","",IF(B477&lt;$B$19,0.5*EXP((B477-$B$19)/$B$20),1-0.5*EXP(-(B477-$B$19)/$B$20)))</f>
        <v>0.44411985009301</v>
      </c>
      <c r="G477" s="21" t="n">
        <f aca="false">IF(B477="","",1/(1+EXP(-(B477-$B$15)/$B$21)))</f>
        <v>0.46245545727149</v>
      </c>
      <c r="H477" s="21" t="n">
        <f aca="false">IF(B477="","",MAX(ABS($A477/$B$6-D477),ABS(($A477-1)/$B$6-D477)))</f>
        <v>0.0269441741283237</v>
      </c>
      <c r="I477" s="21" t="n">
        <f aca="false">IF(B477="","",MAX(ABS($A477/$B$6-E477),ABS(($A477-1)/$B$6-E477)))</f>
        <v>0.0222814592591542</v>
      </c>
      <c r="J477" s="21" t="n">
        <f aca="false">IF(B477="","",MAX(ABS($A477/$B$6-F477),ABS(($A477-1)/$B$6-F477)))</f>
        <v>0.00411985009300953</v>
      </c>
      <c r="K477" s="21" t="n">
        <f aca="false">IF(B477="","",MAX(ABS($A477/$B$6-G477),ABS(($A477-1)/$B$6-G477)))</f>
        <v>0.0224554572714901</v>
      </c>
    </row>
    <row r="478" customFormat="false" ht="15" hidden="false" customHeight="false" outlineLevel="0" collapsed="false">
      <c r="A478" s="11" t="n">
        <v>442</v>
      </c>
      <c r="B478" s="9" t="n">
        <f aca="false">IF(A478&gt;$B$6,"",SMALL(BTC_Data!$C$3:$C$1002,A478))</f>
        <v>-0.000117278579918056</v>
      </c>
      <c r="C478" s="21" t="n">
        <f aca="false">IF(B478="","",A478/$B$6)</f>
        <v>0.442</v>
      </c>
      <c r="D478" s="21" t="n">
        <f aca="false">IF(B478="","",NORMDIST(B478,$B$15,$B$16,TRUE()))</f>
        <v>0.466965275256909</v>
      </c>
      <c r="E478" s="21" t="n">
        <f aca="false">IF(B478="","",IF(B478&gt;=$B$15,1-TDIST((B478-$B$15)/$B$18,$B$17,1),TDIST(($B$15-B478)/$B$18,$B$17,1)))</f>
        <v>0.462305503794076</v>
      </c>
      <c r="F478" s="21" t="n">
        <f aca="false">IF(B478="","",IF(B478&lt;$B$19,0.5*EXP((B478-$B$19)/$B$20),1-0.5*EXP(-(B478-$B$19)/$B$20)))</f>
        <v>0.444152790677196</v>
      </c>
      <c r="G478" s="21" t="n">
        <f aca="false">IF(B478="","",1/(1+EXP(-(B478-$B$15)/$B$21)))</f>
        <v>0.462479388450868</v>
      </c>
      <c r="H478" s="21" t="n">
        <f aca="false">IF(B478="","",MAX(ABS($A478/$B$6-D478),ABS(($A478-1)/$B$6-D478)))</f>
        <v>0.0259652752569091</v>
      </c>
      <c r="I478" s="21" t="n">
        <f aca="false">IF(B478="","",MAX(ABS($A478/$B$6-E478),ABS(($A478-1)/$B$6-E478)))</f>
        <v>0.0213055037940759</v>
      </c>
      <c r="J478" s="21" t="n">
        <f aca="false">IF(B478="","",MAX(ABS($A478/$B$6-F478),ABS(($A478-1)/$B$6-F478)))</f>
        <v>0.00315279067719593</v>
      </c>
      <c r="K478" s="21" t="n">
        <f aca="false">IF(B478="","",MAX(ABS($A478/$B$6-G478),ABS(($A478-1)/$B$6-G478)))</f>
        <v>0.0214793884508684</v>
      </c>
    </row>
    <row r="479" customFormat="false" ht="15" hidden="false" customHeight="false" outlineLevel="0" collapsed="false">
      <c r="A479" s="11" t="n">
        <v>443</v>
      </c>
      <c r="B479" s="9" t="n">
        <f aca="false">IF(A479&gt;$B$6,"",SMALL(BTC_Data!$C$3:$C$1002,A479))</f>
        <v>-0.000114866179645179</v>
      </c>
      <c r="C479" s="21" t="n">
        <f aca="false">IF(B479="","",A479/$B$6)</f>
        <v>0.443</v>
      </c>
      <c r="D479" s="21" t="n">
        <f aca="false">IF(B479="","",NORMDIST(B479,$B$15,$B$16,TRUE()))</f>
        <v>0.467718610370953</v>
      </c>
      <c r="E479" s="21" t="n">
        <f aca="false">IF(B479="","",IF(B479&gt;=$B$15,1-TDIST((B479-$B$15)/$B$18,$B$17,1),TDIST(($B$15-B479)/$B$18,$B$17,1)))</f>
        <v>0.463163963105289</v>
      </c>
      <c r="F479" s="21" t="n">
        <f aca="false">IF(B479="","",IF(B479&lt;$B$19,0.5*EXP((B479-$B$19)/$B$20),1-0.5*EXP(-(B479-$B$19)/$B$20)))</f>
        <v>0.445330315809268</v>
      </c>
      <c r="G479" s="21" t="n">
        <f aca="false">IF(B479="","",1/(1+EXP(-(B479-$B$15)/$B$21)))</f>
        <v>0.463333803658217</v>
      </c>
      <c r="H479" s="21" t="n">
        <f aca="false">IF(B479="","",MAX(ABS($A479/$B$6-D479),ABS(($A479-1)/$B$6-D479)))</f>
        <v>0.0257186103709527</v>
      </c>
      <c r="I479" s="21" t="n">
        <f aca="false">IF(B479="","",MAX(ABS($A479/$B$6-E479),ABS(($A479-1)/$B$6-E479)))</f>
        <v>0.0211639631052885</v>
      </c>
      <c r="J479" s="21" t="n">
        <f aca="false">IF(B479="","",MAX(ABS($A479/$B$6-F479),ABS(($A479-1)/$B$6-F479)))</f>
        <v>0.00333031580926829</v>
      </c>
      <c r="K479" s="21" t="n">
        <f aca="false">IF(B479="","",MAX(ABS($A479/$B$6-G479),ABS(($A479-1)/$B$6-G479)))</f>
        <v>0.0213338036582166</v>
      </c>
    </row>
    <row r="480" customFormat="false" ht="15" hidden="false" customHeight="false" outlineLevel="0" collapsed="false">
      <c r="A480" s="11" t="n">
        <v>444</v>
      </c>
      <c r="B480" s="9" t="n">
        <f aca="false">IF(A480&gt;$B$6,"",SMALL(BTC_Data!$C$3:$C$1002,A480))</f>
        <v>-0.000110328858176856</v>
      </c>
      <c r="C480" s="21" t="n">
        <f aca="false">IF(B480="","",A480/$B$6)</f>
        <v>0.444</v>
      </c>
      <c r="D480" s="21" t="n">
        <f aca="false">IF(B480="","",NORMDIST(B480,$B$15,$B$16,TRUE()))</f>
        <v>0.469135818862517</v>
      </c>
      <c r="E480" s="21" t="n">
        <f aca="false">IF(B480="","",IF(B480&gt;=$B$15,1-TDIST((B480-$B$15)/$B$18,$B$17,1),TDIST(($B$15-B480)/$B$18,$B$17,1)))</f>
        <v>0.464779148081201</v>
      </c>
      <c r="F480" s="21" t="n">
        <f aca="false">IF(B480="","",IF(B480&lt;$B$19,0.5*EXP((B480-$B$19)/$B$20),1-0.5*EXP(-(B480-$B$19)/$B$20)))</f>
        <v>0.447553507820556</v>
      </c>
      <c r="G480" s="21" t="n">
        <f aca="false">IF(B480="","",1/(1+EXP(-(B480-$B$15)/$B$21)))</f>
        <v>0.464941395244243</v>
      </c>
      <c r="H480" s="21" t="n">
        <f aca="false">IF(B480="","",MAX(ABS($A480/$B$6-D480),ABS(($A480-1)/$B$6-D480)))</f>
        <v>0.0261358188625172</v>
      </c>
      <c r="I480" s="21" t="n">
        <f aca="false">IF(B480="","",MAX(ABS($A480/$B$6-E480),ABS(($A480-1)/$B$6-E480)))</f>
        <v>0.0217791480812011</v>
      </c>
      <c r="J480" s="21" t="n">
        <f aca="false">IF(B480="","",MAX(ABS($A480/$B$6-F480),ABS(($A480-1)/$B$6-F480)))</f>
        <v>0.00455350782055547</v>
      </c>
      <c r="K480" s="21" t="n">
        <f aca="false">IF(B480="","",MAX(ABS($A480/$B$6-G480),ABS(($A480-1)/$B$6-G480)))</f>
        <v>0.0219413952442425</v>
      </c>
    </row>
    <row r="481" customFormat="false" ht="15" hidden="false" customHeight="false" outlineLevel="0" collapsed="false">
      <c r="A481" s="11" t="n">
        <v>445</v>
      </c>
      <c r="B481" s="9" t="n">
        <f aca="false">IF(A481&gt;$B$6,"",SMALL(BTC_Data!$C$3:$C$1002,A481))</f>
        <v>-0.000108087681649605</v>
      </c>
      <c r="C481" s="21" t="n">
        <f aca="false">IF(B481="","",A481/$B$6)</f>
        <v>0.445</v>
      </c>
      <c r="D481" s="21" t="n">
        <f aca="false">IF(B481="","",NORMDIST(B481,$B$15,$B$16,TRUE()))</f>
        <v>0.46983598399871</v>
      </c>
      <c r="E481" s="21" t="n">
        <f aca="false">IF(B481="","",IF(B481&gt;=$B$15,1-TDIST((B481-$B$15)/$B$18,$B$17,1),TDIST(($B$15-B481)/$B$18,$B$17,1)))</f>
        <v>0.465577221705355</v>
      </c>
      <c r="F481" s="21" t="n">
        <f aca="false">IF(B481="","",IF(B481&lt;$B$19,0.5*EXP((B481-$B$19)/$B$20),1-0.5*EXP(-(B481-$B$19)/$B$20)))</f>
        <v>0.448655728684572</v>
      </c>
      <c r="G481" s="21" t="n">
        <f aca="false">IF(B481="","",1/(1+EXP(-(B481-$B$15)/$B$21)))</f>
        <v>0.465735724207368</v>
      </c>
      <c r="H481" s="21" t="n">
        <f aca="false">IF(B481="","",MAX(ABS($A481/$B$6-D481),ABS(($A481-1)/$B$6-D481)))</f>
        <v>0.0258359839987102</v>
      </c>
      <c r="I481" s="21" t="n">
        <f aca="false">IF(B481="","",MAX(ABS($A481/$B$6-E481),ABS(($A481-1)/$B$6-E481)))</f>
        <v>0.0215772217053548</v>
      </c>
      <c r="J481" s="21" t="n">
        <f aca="false">IF(B481="","",MAX(ABS($A481/$B$6-F481),ABS(($A481-1)/$B$6-F481)))</f>
        <v>0.00465572868457237</v>
      </c>
      <c r="K481" s="21" t="n">
        <f aca="false">IF(B481="","",MAX(ABS($A481/$B$6-G481),ABS(($A481-1)/$B$6-G481)))</f>
        <v>0.0217357242073678</v>
      </c>
    </row>
    <row r="482" customFormat="false" ht="15" hidden="false" customHeight="false" outlineLevel="0" collapsed="false">
      <c r="A482" s="11" t="n">
        <v>446</v>
      </c>
      <c r="B482" s="9" t="n">
        <f aca="false">IF(A482&gt;$B$6,"",SMALL(BTC_Data!$C$3:$C$1002,A482))</f>
        <v>-0.00010255191089048</v>
      </c>
      <c r="C482" s="21" t="n">
        <f aca="false">IF(B482="","",A482/$B$6)</f>
        <v>0.446</v>
      </c>
      <c r="D482" s="21" t="n">
        <f aca="false">IF(B482="","",NORMDIST(B482,$B$15,$B$16,TRUE()))</f>
        <v>0.471565807331282</v>
      </c>
      <c r="E482" s="21" t="n">
        <f aca="false">IF(B482="","",IF(B482&gt;=$B$15,1-TDIST((B482-$B$15)/$B$18,$B$17,1),TDIST(($B$15-B482)/$B$18,$B$17,1)))</f>
        <v>0.467549206639524</v>
      </c>
      <c r="F482" s="21" t="n">
        <f aca="false">IF(B482="","",IF(B482&lt;$B$19,0.5*EXP((B482-$B$19)/$B$20),1-0.5*EXP(-(B482-$B$19)/$B$20)))</f>
        <v>0.451389893251637</v>
      </c>
      <c r="G482" s="21" t="n">
        <f aca="false">IF(B482="","",1/(1+EXP(-(B482-$B$15)/$B$21)))</f>
        <v>0.46769847616737</v>
      </c>
      <c r="H482" s="21" t="n">
        <f aca="false">IF(B482="","",MAX(ABS($A482/$B$6-D482),ABS(($A482-1)/$B$6-D482)))</f>
        <v>0.0265658073312817</v>
      </c>
      <c r="I482" s="21" t="n">
        <f aca="false">IF(B482="","",MAX(ABS($A482/$B$6-E482),ABS(($A482-1)/$B$6-E482)))</f>
        <v>0.022549206639524</v>
      </c>
      <c r="J482" s="21" t="n">
        <f aca="false">IF(B482="","",MAX(ABS($A482/$B$6-F482),ABS(($A482-1)/$B$6-F482)))</f>
        <v>0.00638989325163708</v>
      </c>
      <c r="K482" s="21" t="n">
        <f aca="false">IF(B482="","",MAX(ABS($A482/$B$6-G482),ABS(($A482-1)/$B$6-G482)))</f>
        <v>0.0226984761673703</v>
      </c>
    </row>
    <row r="483" customFormat="false" ht="15" hidden="false" customHeight="false" outlineLevel="0" collapsed="false">
      <c r="A483" s="11" t="n">
        <v>447</v>
      </c>
      <c r="B483" s="9" t="n">
        <f aca="false">IF(A483&gt;$B$6,"",SMALL(BTC_Data!$C$3:$C$1002,A483))</f>
        <v>-9.84150978152742E-005</v>
      </c>
      <c r="C483" s="21" t="n">
        <f aca="false">IF(B483="","",A483/$B$6)</f>
        <v>0.447</v>
      </c>
      <c r="D483" s="21" t="n">
        <f aca="false">IF(B483="","",NORMDIST(B483,$B$15,$B$16,TRUE()))</f>
        <v>0.472858835031664</v>
      </c>
      <c r="E483" s="21" t="n">
        <f aca="false">IF(B483="","",IF(B483&gt;=$B$15,1-TDIST((B483-$B$15)/$B$18,$B$17,1),TDIST(($B$15-B483)/$B$18,$B$17,1)))</f>
        <v>0.469023488228148</v>
      </c>
      <c r="F483" s="21" t="n">
        <f aca="false">IF(B483="","",IF(B483&lt;$B$19,0.5*EXP((B483-$B$19)/$B$20),1-0.5*EXP(-(B483-$B$19)/$B$20)))</f>
        <v>0.453443973300471</v>
      </c>
      <c r="G483" s="21" t="n">
        <f aca="false">IF(B483="","",1/(1+EXP(-(B483-$B$15)/$B$21)))</f>
        <v>0.469165872752795</v>
      </c>
      <c r="H483" s="21" t="n">
        <f aca="false">IF(B483="","",MAX(ABS($A483/$B$6-D483),ABS(($A483-1)/$B$6-D483)))</f>
        <v>0.026858835031664</v>
      </c>
      <c r="I483" s="21" t="n">
        <f aca="false">IF(B483="","",MAX(ABS($A483/$B$6-E483),ABS(($A483-1)/$B$6-E483)))</f>
        <v>0.0230234882281482</v>
      </c>
      <c r="J483" s="21" t="n">
        <f aca="false">IF(B483="","",MAX(ABS($A483/$B$6-F483),ABS(($A483-1)/$B$6-F483)))</f>
        <v>0.00744397330047114</v>
      </c>
      <c r="K483" s="21" t="n">
        <f aca="false">IF(B483="","",MAX(ABS($A483/$B$6-G483),ABS(($A483-1)/$B$6-G483)))</f>
        <v>0.023165872752795</v>
      </c>
    </row>
    <row r="484" customFormat="false" ht="15" hidden="false" customHeight="false" outlineLevel="0" collapsed="false">
      <c r="A484" s="11" t="n">
        <v>448</v>
      </c>
      <c r="B484" s="9" t="n">
        <f aca="false">IF(A484&gt;$B$6,"",SMALL(BTC_Data!$C$3:$C$1002,A484))</f>
        <v>-9.83397448822698E-005</v>
      </c>
      <c r="C484" s="21" t="n">
        <f aca="false">IF(B484="","",A484/$B$6)</f>
        <v>0.448</v>
      </c>
      <c r="D484" s="21" t="n">
        <f aca="false">IF(B484="","",NORMDIST(B484,$B$15,$B$16,TRUE()))</f>
        <v>0.47288239050122</v>
      </c>
      <c r="E484" s="21" t="n">
        <f aca="false">IF(B484="","",IF(B484&gt;=$B$15,1-TDIST((B484-$B$15)/$B$18,$B$17,1),TDIST(($B$15-B484)/$B$18,$B$17,1)))</f>
        <v>0.469050347492039</v>
      </c>
      <c r="F484" s="21" t="n">
        <f aca="false">IF(B484="","",IF(B484&lt;$B$19,0.5*EXP((B484-$B$19)/$B$20),1-0.5*EXP(-(B484-$B$19)/$B$20)))</f>
        <v>0.453481475359691</v>
      </c>
      <c r="G484" s="21" t="n">
        <f aca="false">IF(B484="","",1/(1+EXP(-(B484-$B$15)/$B$21)))</f>
        <v>0.469192606717433</v>
      </c>
      <c r="H484" s="21" t="n">
        <f aca="false">IF(B484="","",MAX(ABS($A484/$B$6-D484),ABS(($A484-1)/$B$6-D484)))</f>
        <v>0.0258823905012202</v>
      </c>
      <c r="I484" s="21" t="n">
        <f aca="false">IF(B484="","",MAX(ABS($A484/$B$6-E484),ABS(($A484-1)/$B$6-E484)))</f>
        <v>0.0220503474920394</v>
      </c>
      <c r="J484" s="21" t="n">
        <f aca="false">IF(B484="","",MAX(ABS($A484/$B$6-F484),ABS(($A484-1)/$B$6-F484)))</f>
        <v>0.00648147535969057</v>
      </c>
      <c r="K484" s="21" t="n">
        <f aca="false">IF(B484="","",MAX(ABS($A484/$B$6-G484),ABS(($A484-1)/$B$6-G484)))</f>
        <v>0.0221926067174335</v>
      </c>
    </row>
    <row r="485" customFormat="false" ht="15" hidden="false" customHeight="false" outlineLevel="0" collapsed="false">
      <c r="A485" s="11" t="n">
        <v>449</v>
      </c>
      <c r="B485" s="9" t="n">
        <f aca="false">IF(A485&gt;$B$6,"",SMALL(BTC_Data!$C$3:$C$1002,A485))</f>
        <v>-9.61069871324716E-005</v>
      </c>
      <c r="C485" s="21" t="n">
        <f aca="false">IF(B485="","",A485/$B$6)</f>
        <v>0.449</v>
      </c>
      <c r="D485" s="21" t="n">
        <f aca="false">IF(B485="","",NORMDIST(B485,$B$15,$B$16,TRUE()))</f>
        <v>0.473580397481623</v>
      </c>
      <c r="E485" s="21" t="n">
        <f aca="false">IF(B485="","",IF(B485&gt;=$B$15,1-TDIST((B485-$B$15)/$B$18,$B$17,1),TDIST(($B$15-B485)/$B$18,$B$17,1)))</f>
        <v>0.469846283222367</v>
      </c>
      <c r="F485" s="21" t="n">
        <f aca="false">IF(B485="","",IF(B485&lt;$B$19,0.5*EXP((B485-$B$19)/$B$20),1-0.5*EXP(-(B485-$B$19)/$B$20)))</f>
        <v>0.454594095061672</v>
      </c>
      <c r="G485" s="21" t="n">
        <f aca="false">IF(B485="","",1/(1+EXP(-(B485-$B$15)/$B$21)))</f>
        <v>0.469984831532236</v>
      </c>
      <c r="H485" s="21" t="n">
        <f aca="false">IF(B485="","",MAX(ABS($A485/$B$6-D485),ABS(($A485-1)/$B$6-D485)))</f>
        <v>0.0255803974816234</v>
      </c>
      <c r="I485" s="21" t="n">
        <f aca="false">IF(B485="","",MAX(ABS($A485/$B$6-E485),ABS(($A485-1)/$B$6-E485)))</f>
        <v>0.0218462832223673</v>
      </c>
      <c r="J485" s="21" t="n">
        <f aca="false">IF(B485="","",MAX(ABS($A485/$B$6-F485),ABS(($A485-1)/$B$6-F485)))</f>
        <v>0.0065940950616718</v>
      </c>
      <c r="K485" s="21" t="n">
        <f aca="false">IF(B485="","",MAX(ABS($A485/$B$6-G485),ABS(($A485-1)/$B$6-G485)))</f>
        <v>0.0219848315322362</v>
      </c>
    </row>
    <row r="486" customFormat="false" ht="15" hidden="false" customHeight="false" outlineLevel="0" collapsed="false">
      <c r="A486" s="11" t="n">
        <v>450</v>
      </c>
      <c r="B486" s="9" t="n">
        <f aca="false">IF(A486&gt;$B$6,"",SMALL(BTC_Data!$C$3:$C$1002,A486))</f>
        <v>-9.51011855971906E-005</v>
      </c>
      <c r="C486" s="21" t="n">
        <f aca="false">IF(B486="","",A486/$B$6)</f>
        <v>0.45</v>
      </c>
      <c r="D486" s="21" t="n">
        <f aca="false">IF(B486="","",NORMDIST(B486,$B$15,$B$16,TRUE()))</f>
        <v>0.473894858803475</v>
      </c>
      <c r="E486" s="21" t="n">
        <f aca="false">IF(B486="","",IF(B486&gt;=$B$15,1-TDIST((B486-$B$15)/$B$18,$B$17,1),TDIST(($B$15-B486)/$B$18,$B$17,1)))</f>
        <v>0.470204880912047</v>
      </c>
      <c r="F486" s="21" t="n">
        <f aca="false">IF(B486="","",IF(B486&lt;$B$19,0.5*EXP((B486-$B$19)/$B$20),1-0.5*EXP(-(B486-$B$19)/$B$20)))</f>
        <v>0.455096193851239</v>
      </c>
      <c r="G486" s="21" t="n">
        <f aca="false">IF(B486="","",1/(1+EXP(-(B486-$B$15)/$B$21)))</f>
        <v>0.470341758661701</v>
      </c>
      <c r="H486" s="21" t="n">
        <f aca="false">IF(B486="","",MAX(ABS($A486/$B$6-D486),ABS(($A486-1)/$B$6-D486)))</f>
        <v>0.024894858803475</v>
      </c>
      <c r="I486" s="21" t="n">
        <f aca="false">IF(B486="","",MAX(ABS($A486/$B$6-E486),ABS(($A486-1)/$B$6-E486)))</f>
        <v>0.0212048809120468</v>
      </c>
      <c r="J486" s="21" t="n">
        <f aca="false">IF(B486="","",MAX(ABS($A486/$B$6-F486),ABS(($A486-1)/$B$6-F486)))</f>
        <v>0.00609619385123938</v>
      </c>
      <c r="K486" s="21" t="n">
        <f aca="false">IF(B486="","",MAX(ABS($A486/$B$6-G486),ABS(($A486-1)/$B$6-G486)))</f>
        <v>0.0213417586617006</v>
      </c>
    </row>
    <row r="487" customFormat="false" ht="15" hidden="false" customHeight="false" outlineLevel="0" collapsed="false">
      <c r="A487" s="11" t="n">
        <v>451</v>
      </c>
      <c r="B487" s="9" t="n">
        <f aca="false">IF(A487&gt;$B$6,"",SMALL(BTC_Data!$C$3:$C$1002,A487))</f>
        <v>-9.40509603953865E-005</v>
      </c>
      <c r="C487" s="21" t="n">
        <f aca="false">IF(B487="","",A487/$B$6)</f>
        <v>0.451</v>
      </c>
      <c r="D487" s="21" t="n">
        <f aca="false">IF(B487="","",NORMDIST(B487,$B$15,$B$16,TRUE()))</f>
        <v>0.474223226430379</v>
      </c>
      <c r="E487" s="21" t="n">
        <f aca="false">IF(B487="","",IF(B487&gt;=$B$15,1-TDIST((B487-$B$15)/$B$18,$B$17,1),TDIST(($B$15-B487)/$B$18,$B$17,1)))</f>
        <v>0.470579348582336</v>
      </c>
      <c r="F487" s="21" t="n">
        <f aca="false">IF(B487="","",IF(B487&lt;$B$19,0.5*EXP((B487-$B$19)/$B$20),1-0.5*EXP(-(B487-$B$19)/$B$20)))</f>
        <v>0.455621060911722</v>
      </c>
      <c r="G487" s="21" t="n">
        <f aca="false">IF(B487="","",1/(1+EXP(-(B487-$B$15)/$B$21)))</f>
        <v>0.470714482714299</v>
      </c>
      <c r="H487" s="21" t="n">
        <f aca="false">IF(B487="","",MAX(ABS($A487/$B$6-D487),ABS(($A487-1)/$B$6-D487)))</f>
        <v>0.0242232264303793</v>
      </c>
      <c r="I487" s="21" t="n">
        <f aca="false">IF(B487="","",MAX(ABS($A487/$B$6-E487),ABS(($A487-1)/$B$6-E487)))</f>
        <v>0.0205793485823361</v>
      </c>
      <c r="J487" s="21" t="n">
        <f aca="false">IF(B487="","",MAX(ABS($A487/$B$6-F487),ABS(($A487-1)/$B$6-F487)))</f>
        <v>0.00562106091172232</v>
      </c>
      <c r="K487" s="21" t="n">
        <f aca="false">IF(B487="","",MAX(ABS($A487/$B$6-G487),ABS(($A487-1)/$B$6-G487)))</f>
        <v>0.0207144827142988</v>
      </c>
    </row>
    <row r="488" customFormat="false" ht="15" hidden="false" customHeight="false" outlineLevel="0" collapsed="false">
      <c r="A488" s="11" t="n">
        <v>452</v>
      </c>
      <c r="B488" s="9" t="n">
        <f aca="false">IF(A488&gt;$B$6,"",SMALL(BTC_Data!$C$3:$C$1002,A488))</f>
        <v>-8.82909615477212E-005</v>
      </c>
      <c r="C488" s="21" t="n">
        <f aca="false">IF(B488="","",A488/$B$6)</f>
        <v>0.452</v>
      </c>
      <c r="D488" s="21" t="n">
        <f aca="false">IF(B488="","",NORMDIST(B488,$B$15,$B$16,TRUE()))</f>
        <v>0.476024476297493</v>
      </c>
      <c r="E488" s="21" t="n">
        <f aca="false">IF(B488="","",IF(B488&gt;=$B$15,1-TDIST((B488-$B$15)/$B$18,$B$17,1),TDIST(($B$15-B488)/$B$18,$B$17,1)))</f>
        <v>0.472633687353705</v>
      </c>
      <c r="F488" s="21" t="n">
        <f aca="false">IF(B488="","",IF(B488&lt;$B$19,0.5*EXP((B488-$B$19)/$B$20),1-0.5*EXP(-(B488-$B$19)/$B$20)))</f>
        <v>0.458510496501091</v>
      </c>
      <c r="G488" s="21" t="n">
        <f aca="false">IF(B488="","",1/(1+EXP(-(B488-$B$15)/$B$21)))</f>
        <v>0.472759271359756</v>
      </c>
      <c r="H488" s="21" t="n">
        <f aca="false">IF(B488="","",MAX(ABS($A488/$B$6-D488),ABS(($A488-1)/$B$6-D488)))</f>
        <v>0.0250244762974927</v>
      </c>
      <c r="I488" s="21" t="n">
        <f aca="false">IF(B488="","",MAX(ABS($A488/$B$6-E488),ABS(($A488-1)/$B$6-E488)))</f>
        <v>0.021633687353705</v>
      </c>
      <c r="J488" s="21" t="n">
        <f aca="false">IF(B488="","",MAX(ABS($A488/$B$6-F488),ABS(($A488-1)/$B$6-F488)))</f>
        <v>0.00751049650109065</v>
      </c>
      <c r="K488" s="21" t="n">
        <f aca="false">IF(B488="","",MAX(ABS($A488/$B$6-G488),ABS(($A488-1)/$B$6-G488)))</f>
        <v>0.0217592713597558</v>
      </c>
    </row>
    <row r="489" customFormat="false" ht="15" hidden="false" customHeight="false" outlineLevel="0" collapsed="false">
      <c r="A489" s="11" t="n">
        <v>453</v>
      </c>
      <c r="B489" s="9" t="n">
        <f aca="false">IF(A489&gt;$B$6,"",SMALL(BTC_Data!$C$3:$C$1002,A489))</f>
        <v>-8.70673082077333E-005</v>
      </c>
      <c r="C489" s="21" t="n">
        <f aca="false">IF(B489="","",A489/$B$6)</f>
        <v>0.453</v>
      </c>
      <c r="D489" s="21" t="n">
        <f aca="false">IF(B489="","",NORMDIST(B489,$B$15,$B$16,TRUE()))</f>
        <v>0.476407197920665</v>
      </c>
      <c r="E489" s="21" t="n">
        <f aca="false">IF(B489="","",IF(B489&gt;=$B$15,1-TDIST((B489-$B$15)/$B$18,$B$17,1),TDIST(($B$15-B489)/$B$18,$B$17,1)))</f>
        <v>0.473070228145963</v>
      </c>
      <c r="F489" s="21" t="n">
        <f aca="false">IF(B489="","",IF(B489&lt;$B$19,0.5*EXP((B489-$B$19)/$B$20),1-0.5*EXP(-(B489-$B$19)/$B$20)))</f>
        <v>0.459126683743103</v>
      </c>
      <c r="G489" s="21" t="n">
        <f aca="false">IF(B489="","",1/(1+EXP(-(B489-$B$15)/$B$21)))</f>
        <v>0.473193786026384</v>
      </c>
      <c r="H489" s="21" t="n">
        <f aca="false">IF(B489="","",MAX(ABS($A489/$B$6-D489),ABS(($A489-1)/$B$6-D489)))</f>
        <v>0.024407197920665</v>
      </c>
      <c r="I489" s="21" t="n">
        <f aca="false">IF(B489="","",MAX(ABS($A489/$B$6-E489),ABS(($A489-1)/$B$6-E489)))</f>
        <v>0.0210702281459628</v>
      </c>
      <c r="J489" s="21" t="n">
        <f aca="false">IF(B489="","",MAX(ABS($A489/$B$6-F489),ABS(($A489-1)/$B$6-F489)))</f>
        <v>0.0071266837431031</v>
      </c>
      <c r="K489" s="21" t="n">
        <f aca="false">IF(B489="","",MAX(ABS($A489/$B$6-G489),ABS(($A489-1)/$B$6-G489)))</f>
        <v>0.0211937860263842</v>
      </c>
    </row>
    <row r="490" customFormat="false" ht="15" hidden="false" customHeight="false" outlineLevel="0" collapsed="false">
      <c r="A490" s="11" t="n">
        <v>454</v>
      </c>
      <c r="B490" s="9" t="n">
        <f aca="false">IF(A490&gt;$B$6,"",SMALL(BTC_Data!$C$3:$C$1002,A490))</f>
        <v>-8.62358301317867E-005</v>
      </c>
      <c r="C490" s="21" t="n">
        <f aca="false">IF(B490="","",A490/$B$6)</f>
        <v>0.454</v>
      </c>
      <c r="D490" s="21" t="n">
        <f aca="false">IF(B490="","",NORMDIST(B490,$B$15,$B$16,TRUE()))</f>
        <v>0.476667271466019</v>
      </c>
      <c r="E490" s="21" t="n">
        <f aca="false">IF(B490="","",IF(B490&gt;=$B$15,1-TDIST((B490-$B$15)/$B$18,$B$17,1),TDIST(($B$15-B490)/$B$18,$B$17,1)))</f>
        <v>0.473366882312582</v>
      </c>
      <c r="F490" s="21" t="n">
        <f aca="false">IF(B490="","",IF(B490&lt;$B$19,0.5*EXP((B490-$B$19)/$B$20),1-0.5*EXP(-(B490-$B$19)/$B$20)))</f>
        <v>0.459545858261512</v>
      </c>
      <c r="G490" s="21" t="n">
        <f aca="false">IF(B490="","",1/(1+EXP(-(B490-$B$15)/$B$21)))</f>
        <v>0.473489063954228</v>
      </c>
      <c r="H490" s="21" t="n">
        <f aca="false">IF(B490="","",MAX(ABS($A490/$B$6-D490),ABS(($A490-1)/$B$6-D490)))</f>
        <v>0.0236672714660188</v>
      </c>
      <c r="I490" s="21" t="n">
        <f aca="false">IF(B490="","",MAX(ABS($A490/$B$6-E490),ABS(($A490-1)/$B$6-E490)))</f>
        <v>0.0203668823125824</v>
      </c>
      <c r="J490" s="21" t="n">
        <f aca="false">IF(B490="","",MAX(ABS($A490/$B$6-F490),ABS(($A490-1)/$B$6-F490)))</f>
        <v>0.00654585826151194</v>
      </c>
      <c r="K490" s="21" t="n">
        <f aca="false">IF(B490="","",MAX(ABS($A490/$B$6-G490),ABS(($A490-1)/$B$6-G490)))</f>
        <v>0.0204890639542284</v>
      </c>
    </row>
    <row r="491" customFormat="false" ht="15" hidden="false" customHeight="false" outlineLevel="0" collapsed="false">
      <c r="A491" s="11" t="n">
        <v>455</v>
      </c>
      <c r="B491" s="9" t="n">
        <f aca="false">IF(A491&gt;$B$6,"",SMALL(BTC_Data!$C$3:$C$1002,A491))</f>
        <v>-8.59594624524895E-005</v>
      </c>
      <c r="C491" s="21" t="n">
        <f aca="false">IF(B491="","",A491/$B$6)</f>
        <v>0.455</v>
      </c>
      <c r="D491" s="21" t="n">
        <f aca="false">IF(B491="","",NORMDIST(B491,$B$15,$B$16,TRUE()))</f>
        <v>0.476753717228934</v>
      </c>
      <c r="E491" s="21" t="n">
        <f aca="false">IF(B491="","",IF(B491&gt;=$B$15,1-TDIST((B491-$B$15)/$B$18,$B$17,1),TDIST(($B$15-B491)/$B$18,$B$17,1)))</f>
        <v>0.473465488603747</v>
      </c>
      <c r="F491" s="21" t="n">
        <f aca="false">IF(B491="","",IF(B491&lt;$B$19,0.5*EXP((B491-$B$19)/$B$20),1-0.5*EXP(-(B491-$B$19)/$B$20)))</f>
        <v>0.459685268713777</v>
      </c>
      <c r="G491" s="21" t="n">
        <f aca="false">IF(B491="","",1/(1+EXP(-(B491-$B$15)/$B$21)))</f>
        <v>0.473587212902264</v>
      </c>
      <c r="H491" s="21" t="n">
        <f aca="false">IF(B491="","",MAX(ABS($A491/$B$6-D491),ABS(($A491-1)/$B$6-D491)))</f>
        <v>0.0227537172289342</v>
      </c>
      <c r="I491" s="21" t="n">
        <f aca="false">IF(B491="","",MAX(ABS($A491/$B$6-E491),ABS(($A491-1)/$B$6-E491)))</f>
        <v>0.0194654886037473</v>
      </c>
      <c r="J491" s="21" t="n">
        <f aca="false">IF(B491="","",MAX(ABS($A491/$B$6-F491),ABS(($A491-1)/$B$6-F491)))</f>
        <v>0.00568526871377661</v>
      </c>
      <c r="K491" s="21" t="n">
        <f aca="false">IF(B491="","",MAX(ABS($A491/$B$6-G491),ABS(($A491-1)/$B$6-G491)))</f>
        <v>0.0195872129022637</v>
      </c>
    </row>
    <row r="492" customFormat="false" ht="15" hidden="false" customHeight="false" outlineLevel="0" collapsed="false">
      <c r="A492" s="11" t="n">
        <v>456</v>
      </c>
      <c r="B492" s="9" t="n">
        <f aca="false">IF(A492&gt;$B$6,"",SMALL(BTC_Data!$C$3:$C$1002,A492))</f>
        <v>-8.46465594057655E-005</v>
      </c>
      <c r="C492" s="21" t="n">
        <f aca="false">IF(B492="","",A492/$B$6)</f>
        <v>0.456</v>
      </c>
      <c r="D492" s="21" t="n">
        <f aca="false">IF(B492="","",NORMDIST(B492,$B$15,$B$16,TRUE()))</f>
        <v>0.477164398450376</v>
      </c>
      <c r="E492" s="21" t="n">
        <f aca="false">IF(B492="","",IF(B492&gt;=$B$15,1-TDIST((B492-$B$15)/$B$18,$B$17,1),TDIST(($B$15-B492)/$B$18,$B$17,1)))</f>
        <v>0.473933951477611</v>
      </c>
      <c r="F492" s="21" t="n">
        <f aca="false">IF(B492="","",IF(B492&lt;$B$19,0.5*EXP((B492-$B$19)/$B$20),1-0.5*EXP(-(B492-$B$19)/$B$20)))</f>
        <v>0.460348125241813</v>
      </c>
      <c r="G492" s="21" t="n">
        <f aca="false">IF(B492="","",1/(1+EXP(-(B492-$B$15)/$B$21)))</f>
        <v>0.474053503762768</v>
      </c>
      <c r="H492" s="21" t="n">
        <f aca="false">IF(B492="","",MAX(ABS($A492/$B$6-D492),ABS(($A492-1)/$B$6-D492)))</f>
        <v>0.0221643984503757</v>
      </c>
      <c r="I492" s="21" t="n">
        <f aca="false">IF(B492="","",MAX(ABS($A492/$B$6-E492),ABS(($A492-1)/$B$6-E492)))</f>
        <v>0.0189339514776112</v>
      </c>
      <c r="J492" s="21" t="n">
        <f aca="false">IF(B492="","",MAX(ABS($A492/$B$6-F492),ABS(($A492-1)/$B$6-F492)))</f>
        <v>0.00534812524181344</v>
      </c>
      <c r="K492" s="21" t="n">
        <f aca="false">IF(B492="","",MAX(ABS($A492/$B$6-G492),ABS(($A492-1)/$B$6-G492)))</f>
        <v>0.0190535037627682</v>
      </c>
    </row>
    <row r="493" customFormat="false" ht="15" hidden="false" customHeight="false" outlineLevel="0" collapsed="false">
      <c r="A493" s="11" t="n">
        <v>457</v>
      </c>
      <c r="B493" s="9" t="n">
        <f aca="false">IF(A493&gt;$B$6,"",SMALL(BTC_Data!$C$3:$C$1002,A493))</f>
        <v>-8.3335918034444E-005</v>
      </c>
      <c r="C493" s="21" t="n">
        <f aca="false">IF(B493="","",A493/$B$6)</f>
        <v>0.457</v>
      </c>
      <c r="D493" s="21" t="n">
        <f aca="false">IF(B493="","",NORMDIST(B493,$B$15,$B$16,TRUE()))</f>
        <v>0.477574396402159</v>
      </c>
      <c r="E493" s="21" t="n">
        <f aca="false">IF(B493="","",IF(B493&gt;=$B$15,1-TDIST((B493-$B$15)/$B$18,$B$17,1),TDIST(($B$15-B493)/$B$18,$B$17,1)))</f>
        <v>0.474401651476543</v>
      </c>
      <c r="F493" s="21" t="n">
        <f aca="false">IF(B493="","",IF(B493&lt;$B$19,0.5*EXP((B493-$B$19)/$B$20),1-0.5*EXP(-(B493-$B$19)/$B$20)))</f>
        <v>0.461010793254579</v>
      </c>
      <c r="G493" s="21" t="n">
        <f aca="false">IF(B493="","",1/(1+EXP(-(B493-$B$15)/$B$21)))</f>
        <v>0.474519036507893</v>
      </c>
      <c r="H493" s="21" t="n">
        <f aca="false">IF(B493="","",MAX(ABS($A493/$B$6-D493),ABS(($A493-1)/$B$6-D493)))</f>
        <v>0.0215743964021585</v>
      </c>
      <c r="I493" s="21" t="n">
        <f aca="false">IF(B493="","",MAX(ABS($A493/$B$6-E493),ABS(($A493-1)/$B$6-E493)))</f>
        <v>0.0184016514765433</v>
      </c>
      <c r="J493" s="21" t="n">
        <f aca="false">IF(B493="","",MAX(ABS($A493/$B$6-F493),ABS(($A493-1)/$B$6-F493)))</f>
        <v>0.00501079325457854</v>
      </c>
      <c r="K493" s="21" t="n">
        <f aca="false">IF(B493="","",MAX(ABS($A493/$B$6-G493),ABS(($A493-1)/$B$6-G493)))</f>
        <v>0.0185190365078925</v>
      </c>
    </row>
    <row r="494" customFormat="false" ht="15" hidden="false" customHeight="false" outlineLevel="0" collapsed="false">
      <c r="A494" s="11" t="n">
        <v>458</v>
      </c>
      <c r="B494" s="9" t="n">
        <f aca="false">IF(A494&gt;$B$6,"",SMALL(BTC_Data!$C$3:$C$1002,A494))</f>
        <v>-7.78909283103424E-005</v>
      </c>
      <c r="C494" s="21" t="n">
        <f aca="false">IF(B494="","",A494/$B$6)</f>
        <v>0.458</v>
      </c>
      <c r="D494" s="21" t="n">
        <f aca="false">IF(B494="","",NORMDIST(B494,$B$15,$B$16,TRUE()))</f>
        <v>0.47927796031682</v>
      </c>
      <c r="E494" s="21" t="n">
        <f aca="false">IF(B494="","",IF(B494&gt;=$B$15,1-TDIST((B494-$B$15)/$B$18,$B$17,1),TDIST(($B$15-B494)/$B$18,$B$17,1)))</f>
        <v>0.476345140914699</v>
      </c>
      <c r="F494" s="21" t="n">
        <f aca="false">IF(B494="","",IF(B494&lt;$B$19,0.5*EXP((B494-$B$19)/$B$20),1-0.5*EXP(-(B494-$B$19)/$B$20)))</f>
        <v>0.463774041079333</v>
      </c>
      <c r="G494" s="21" t="n">
        <f aca="false">IF(B494="","",1/(1+EXP(-(B494-$B$15)/$B$21)))</f>
        <v>0.47645353270642</v>
      </c>
      <c r="H494" s="21" t="n">
        <f aca="false">IF(B494="","",MAX(ABS($A494/$B$6-D494),ABS(($A494-1)/$B$6-D494)))</f>
        <v>0.0222779603168197</v>
      </c>
      <c r="I494" s="21" t="n">
        <f aca="false">IF(B494="","",MAX(ABS($A494/$B$6-E494),ABS(($A494-1)/$B$6-E494)))</f>
        <v>0.0193451409146989</v>
      </c>
      <c r="J494" s="21" t="n">
        <f aca="false">IF(B494="","",MAX(ABS($A494/$B$6-F494),ABS(($A494-1)/$B$6-F494)))</f>
        <v>0.00677404107933338</v>
      </c>
      <c r="K494" s="21" t="n">
        <f aca="false">IF(B494="","",MAX(ABS($A494/$B$6-G494),ABS(($A494-1)/$B$6-G494)))</f>
        <v>0.0194535327064197</v>
      </c>
    </row>
    <row r="495" customFormat="false" ht="15" hidden="false" customHeight="false" outlineLevel="0" collapsed="false">
      <c r="A495" s="11" t="n">
        <v>459</v>
      </c>
      <c r="B495" s="9" t="n">
        <f aca="false">IF(A495&gt;$B$6,"",SMALL(BTC_Data!$C$3:$C$1002,A495))</f>
        <v>-7.78662790332785E-005</v>
      </c>
      <c r="C495" s="21" t="n">
        <f aca="false">IF(B495="","",A495/$B$6)</f>
        <v>0.459</v>
      </c>
      <c r="D495" s="21" t="n">
        <f aca="false">IF(B495="","",NORMDIST(B495,$B$15,$B$16,TRUE()))</f>
        <v>0.479285673175107</v>
      </c>
      <c r="E495" s="21" t="n">
        <f aca="false">IF(B495="","",IF(B495&gt;=$B$15,1-TDIST((B495-$B$15)/$B$18,$B$17,1),TDIST(($B$15-B495)/$B$18,$B$17,1)))</f>
        <v>0.476353940636386</v>
      </c>
      <c r="F495" s="21" t="n">
        <f aca="false">IF(B495="","",IF(B495&lt;$B$19,0.5*EXP((B495-$B$19)/$B$20),1-0.5*EXP(-(B495-$B$19)/$B$20)))</f>
        <v>0.46378658778929</v>
      </c>
      <c r="G495" s="21" t="n">
        <f aca="false">IF(B495="","",1/(1+EXP(-(B495-$B$15)/$B$21)))</f>
        <v>0.476462291753316</v>
      </c>
      <c r="H495" s="21" t="n">
        <f aca="false">IF(B495="","",MAX(ABS($A495/$B$6-D495),ABS(($A495-1)/$B$6-D495)))</f>
        <v>0.0212856731751065</v>
      </c>
      <c r="I495" s="21" t="n">
        <f aca="false">IF(B495="","",MAX(ABS($A495/$B$6-E495),ABS(($A495-1)/$B$6-E495)))</f>
        <v>0.0183539406363856</v>
      </c>
      <c r="J495" s="21" t="n">
        <f aca="false">IF(B495="","",MAX(ABS($A495/$B$6-F495),ABS(($A495-1)/$B$6-F495)))</f>
        <v>0.00578658778928948</v>
      </c>
      <c r="K495" s="21" t="n">
        <f aca="false">IF(B495="","",MAX(ABS($A495/$B$6-G495),ABS(($A495-1)/$B$6-G495)))</f>
        <v>0.018462291753316</v>
      </c>
    </row>
    <row r="496" customFormat="false" ht="15" hidden="false" customHeight="false" outlineLevel="0" collapsed="false">
      <c r="A496" s="11" t="n">
        <v>460</v>
      </c>
      <c r="B496" s="9" t="n">
        <f aca="false">IF(A496&gt;$B$6,"",SMALL(BTC_Data!$C$3:$C$1002,A496))</f>
        <v>-7.71643587705873E-005</v>
      </c>
      <c r="C496" s="21" t="n">
        <f aca="false">IF(B496="","",A496/$B$6)</f>
        <v>0.46</v>
      </c>
      <c r="D496" s="21" t="n">
        <f aca="false">IF(B496="","",NORMDIST(B496,$B$15,$B$16,TRUE()))</f>
        <v>0.47950531010272</v>
      </c>
      <c r="E496" s="21" t="n">
        <f aca="false">IF(B496="","",IF(B496&gt;=$B$15,1-TDIST((B496-$B$15)/$B$18,$B$17,1),TDIST(($B$15-B496)/$B$18,$B$17,1)))</f>
        <v>0.476604530089531</v>
      </c>
      <c r="F496" s="21" t="n">
        <f aca="false">IF(B496="","",IF(B496&lt;$B$19,0.5*EXP((B496-$B$19)/$B$20),1-0.5*EXP(-(B496-$B$19)/$B$20)))</f>
        <v>0.464144014184637</v>
      </c>
      <c r="G496" s="21" t="n">
        <f aca="false">IF(B496="","",1/(1+EXP(-(B496-$B$15)/$B$21)))</f>
        <v>0.47671172307568</v>
      </c>
      <c r="H496" s="21" t="n">
        <f aca="false">IF(B496="","",MAX(ABS($A496/$B$6-D496),ABS(($A496-1)/$B$6-D496)))</f>
        <v>0.0205053101027198</v>
      </c>
      <c r="I496" s="21" t="n">
        <f aca="false">IF(B496="","",MAX(ABS($A496/$B$6-E496),ABS(($A496-1)/$B$6-E496)))</f>
        <v>0.0176045300895312</v>
      </c>
      <c r="J496" s="21" t="n">
        <f aca="false">IF(B496="","",MAX(ABS($A496/$B$6-F496),ABS(($A496-1)/$B$6-F496)))</f>
        <v>0.00514401418463684</v>
      </c>
      <c r="K496" s="21" t="n">
        <f aca="false">IF(B496="","",MAX(ABS($A496/$B$6-G496),ABS(($A496-1)/$B$6-G496)))</f>
        <v>0.0177117230756797</v>
      </c>
    </row>
    <row r="497" customFormat="false" ht="15" hidden="false" customHeight="false" outlineLevel="0" collapsed="false">
      <c r="A497" s="11" t="n">
        <v>461</v>
      </c>
      <c r="B497" s="9" t="n">
        <f aca="false">IF(A497&gt;$B$6,"",SMALL(BTC_Data!$C$3:$C$1002,A497))</f>
        <v>-7.35342780778803E-005</v>
      </c>
      <c r="C497" s="21" t="n">
        <f aca="false">IF(B497="","",A497/$B$6)</f>
        <v>0.461</v>
      </c>
      <c r="D497" s="21" t="n">
        <f aca="false">IF(B497="","",NORMDIST(B497,$B$15,$B$16,TRUE()))</f>
        <v>0.480641291617633</v>
      </c>
      <c r="E497" s="21" t="n">
        <f aca="false">IF(B497="","",IF(B497&gt;=$B$15,1-TDIST((B497-$B$15)/$B$18,$B$17,1),TDIST(($B$15-B497)/$B$18,$B$17,1)))</f>
        <v>0.4779006676781</v>
      </c>
      <c r="F497" s="21" t="n">
        <f aca="false">IF(B497="","",IF(B497&lt;$B$19,0.5*EXP((B497-$B$19)/$B$20),1-0.5*EXP(-(B497-$B$19)/$B$20)))</f>
        <v>0.465996896416836</v>
      </c>
      <c r="G497" s="21" t="n">
        <f aca="false">IF(B497="","",1/(1+EXP(-(B497-$B$15)/$B$21)))</f>
        <v>0.478001875356658</v>
      </c>
      <c r="H497" s="21" t="n">
        <f aca="false">IF(B497="","",MAX(ABS($A497/$B$6-D497),ABS(($A497-1)/$B$6-D497)))</f>
        <v>0.0206412916176332</v>
      </c>
      <c r="I497" s="21" t="n">
        <f aca="false">IF(B497="","",MAX(ABS($A497/$B$6-E497),ABS(($A497-1)/$B$6-E497)))</f>
        <v>0.0179006676780996</v>
      </c>
      <c r="J497" s="21" t="n">
        <f aca="false">IF(B497="","",MAX(ABS($A497/$B$6-F497),ABS(($A497-1)/$B$6-F497)))</f>
        <v>0.0059968964168361</v>
      </c>
      <c r="K497" s="21" t="n">
        <f aca="false">IF(B497="","",MAX(ABS($A497/$B$6-G497),ABS(($A497-1)/$B$6-G497)))</f>
        <v>0.0180018753566584</v>
      </c>
    </row>
    <row r="498" customFormat="false" ht="15" hidden="false" customHeight="false" outlineLevel="0" collapsed="false">
      <c r="A498" s="11" t="n">
        <v>462</v>
      </c>
      <c r="B498" s="9" t="n">
        <f aca="false">IF(A498&gt;$B$6,"",SMALL(BTC_Data!$C$3:$C$1002,A498))</f>
        <v>-7.13762870530044E-005</v>
      </c>
      <c r="C498" s="21" t="n">
        <f aca="false">IF(B498="","",A498/$B$6)</f>
        <v>0.462</v>
      </c>
      <c r="D498" s="21" t="n">
        <f aca="false">IF(B498="","",NORMDIST(B498,$B$15,$B$16,TRUE()))</f>
        <v>0.481316678963228</v>
      </c>
      <c r="E498" s="21" t="n">
        <f aca="false">IF(B498="","",IF(B498&gt;=$B$15,1-TDIST((B498-$B$15)/$B$18,$B$17,1),TDIST(($B$15-B498)/$B$18,$B$17,1)))</f>
        <v>0.478671325699018</v>
      </c>
      <c r="F498" s="21" t="n">
        <f aca="false">IF(B498="","",IF(B498&lt;$B$19,0.5*EXP((B498-$B$19)/$B$20),1-0.5*EXP(-(B498-$B$19)/$B$20)))</f>
        <v>0.467101891694975</v>
      </c>
      <c r="G498" s="21" t="n">
        <f aca="false">IF(B498="","",1/(1+EXP(-(B498-$B$15)/$B$21)))</f>
        <v>0.478768978437579</v>
      </c>
      <c r="H498" s="21" t="n">
        <f aca="false">IF(B498="","",MAX(ABS($A498/$B$6-D498),ABS(($A498-1)/$B$6-D498)))</f>
        <v>0.0203166789632284</v>
      </c>
      <c r="I498" s="21" t="n">
        <f aca="false">IF(B498="","",MAX(ABS($A498/$B$6-E498),ABS(($A498-1)/$B$6-E498)))</f>
        <v>0.0176713256990181</v>
      </c>
      <c r="J498" s="21" t="n">
        <f aca="false">IF(B498="","",MAX(ABS($A498/$B$6-F498),ABS(($A498-1)/$B$6-F498)))</f>
        <v>0.0061018916949746</v>
      </c>
      <c r="K498" s="21" t="n">
        <f aca="false">IF(B498="","",MAX(ABS($A498/$B$6-G498),ABS(($A498-1)/$B$6-G498)))</f>
        <v>0.0177689784375791</v>
      </c>
    </row>
    <row r="499" customFormat="false" ht="15" hidden="false" customHeight="false" outlineLevel="0" collapsed="false">
      <c r="A499" s="11" t="n">
        <v>463</v>
      </c>
      <c r="B499" s="9" t="n">
        <f aca="false">IF(A499&gt;$B$6,"",SMALL(BTC_Data!$C$3:$C$1002,A499))</f>
        <v>-6.95850437703038E-005</v>
      </c>
      <c r="C499" s="21" t="n">
        <f aca="false">IF(B499="","",A499/$B$6)</f>
        <v>0.463</v>
      </c>
      <c r="D499" s="21" t="n">
        <f aca="false">IF(B499="","",NORMDIST(B499,$B$15,$B$16,TRUE()))</f>
        <v>0.481877325932383</v>
      </c>
      <c r="E499" s="21" t="n">
        <f aca="false">IF(B499="","",IF(B499&gt;=$B$15,1-TDIST((B499-$B$15)/$B$18,$B$17,1),TDIST(($B$15-B499)/$B$18,$B$17,1)))</f>
        <v>0.479311085888023</v>
      </c>
      <c r="F499" s="21" t="n">
        <f aca="false">IF(B499="","",IF(B499&lt;$B$19,0.5*EXP((B499-$B$19)/$B$20),1-0.5*EXP(-(B499-$B$19)/$B$20)))</f>
        <v>0.468021084314014</v>
      </c>
      <c r="G499" s="21" t="n">
        <f aca="false">IF(B499="","",1/(1+EXP(-(B499-$B$15)/$B$21)))</f>
        <v>0.479405789570277</v>
      </c>
      <c r="H499" s="21" t="n">
        <f aca="false">IF(B499="","",MAX(ABS($A499/$B$6-D499),ABS(($A499-1)/$B$6-D499)))</f>
        <v>0.019877325932383</v>
      </c>
      <c r="I499" s="21" t="n">
        <f aca="false">IF(B499="","",MAX(ABS($A499/$B$6-E499),ABS(($A499-1)/$B$6-E499)))</f>
        <v>0.0173110858880228</v>
      </c>
      <c r="J499" s="21" t="n">
        <f aca="false">IF(B499="","",MAX(ABS($A499/$B$6-F499),ABS(($A499-1)/$B$6-F499)))</f>
        <v>0.0060210843140141</v>
      </c>
      <c r="K499" s="21" t="n">
        <f aca="false">IF(B499="","",MAX(ABS($A499/$B$6-G499),ABS(($A499-1)/$B$6-G499)))</f>
        <v>0.0174057895702771</v>
      </c>
    </row>
    <row r="500" customFormat="false" ht="15" hidden="false" customHeight="false" outlineLevel="0" collapsed="false">
      <c r="A500" s="11" t="n">
        <v>464</v>
      </c>
      <c r="B500" s="9" t="n">
        <f aca="false">IF(A500&gt;$B$6,"",SMALL(BTC_Data!$C$3:$C$1002,A500))</f>
        <v>-6.53696778498691E-005</v>
      </c>
      <c r="C500" s="21" t="n">
        <f aca="false">IF(B500="","",A500/$B$6)</f>
        <v>0.464</v>
      </c>
      <c r="D500" s="21" t="n">
        <f aca="false">IF(B500="","",NORMDIST(B500,$B$15,$B$16,TRUE()))</f>
        <v>0.483196846261733</v>
      </c>
      <c r="E500" s="21" t="n">
        <f aca="false">IF(B500="","",IF(B500&gt;=$B$15,1-TDIST((B500-$B$15)/$B$18,$B$17,1),TDIST(($B$15-B500)/$B$18,$B$17,1)))</f>
        <v>0.480816899885769</v>
      </c>
      <c r="F500" s="21" t="n">
        <f aca="false">IF(B500="","",IF(B500&lt;$B$19,0.5*EXP((B500-$B$19)/$B$20),1-0.5*EXP(-(B500-$B$19)/$B$20)))</f>
        <v>0.470191380813336</v>
      </c>
      <c r="G500" s="21" t="n">
        <f aca="false">IF(B500="","",1/(1+EXP(-(B500-$B$15)/$B$21)))</f>
        <v>0.480904669402946</v>
      </c>
      <c r="H500" s="21" t="n">
        <f aca="false">IF(B500="","",MAX(ABS($A500/$B$6-D500),ABS(($A500-1)/$B$6-D500)))</f>
        <v>0.020196846261733</v>
      </c>
      <c r="I500" s="21" t="n">
        <f aca="false">IF(B500="","",MAX(ABS($A500/$B$6-E500),ABS(($A500-1)/$B$6-E500)))</f>
        <v>0.0178168998857687</v>
      </c>
      <c r="J500" s="21" t="n">
        <f aca="false">IF(B500="","",MAX(ABS($A500/$B$6-F500),ABS(($A500-1)/$B$6-F500)))</f>
        <v>0.00719138081333548</v>
      </c>
      <c r="K500" s="21" t="n">
        <f aca="false">IF(B500="","",MAX(ABS($A500/$B$6-G500),ABS(($A500-1)/$B$6-G500)))</f>
        <v>0.0179046694029457</v>
      </c>
    </row>
    <row r="501" customFormat="false" ht="15" hidden="false" customHeight="false" outlineLevel="0" collapsed="false">
      <c r="A501" s="11" t="n">
        <v>465</v>
      </c>
      <c r="B501" s="9" t="n">
        <f aca="false">IF(A501&gt;$B$6,"",SMALL(BTC_Data!$C$3:$C$1002,A501))</f>
        <v>-6.52892577859277E-005</v>
      </c>
      <c r="C501" s="21" t="n">
        <f aca="false">IF(B501="","",A501/$B$6)</f>
        <v>0.465</v>
      </c>
      <c r="D501" s="21" t="n">
        <f aca="false">IF(B501="","",NORMDIST(B501,$B$15,$B$16,TRUE()))</f>
        <v>0.483222021690696</v>
      </c>
      <c r="E501" s="21" t="n">
        <f aca="false">IF(B501="","",IF(B501&gt;=$B$15,1-TDIST((B501-$B$15)/$B$18,$B$17,1),TDIST(($B$15-B501)/$B$18,$B$17,1)))</f>
        <v>0.480845630909442</v>
      </c>
      <c r="F501" s="21" t="n">
        <f aca="false">IF(B501="","",IF(B501&lt;$B$19,0.5*EXP((B501-$B$19)/$B$20),1-0.5*EXP(-(B501-$B$19)/$B$20)))</f>
        <v>0.470232883059817</v>
      </c>
      <c r="G501" s="21" t="n">
        <f aca="false">IF(B501="","",1/(1+EXP(-(B501-$B$15)/$B$21)))</f>
        <v>0.480933268215493</v>
      </c>
      <c r="H501" s="21" t="n">
        <f aca="false">IF(B501="","",MAX(ABS($A501/$B$6-D501),ABS(($A501-1)/$B$6-D501)))</f>
        <v>0.0192220216906964</v>
      </c>
      <c r="I501" s="21" t="n">
        <f aca="false">IF(B501="","",MAX(ABS($A501/$B$6-E501),ABS(($A501-1)/$B$6-E501)))</f>
        <v>0.0168456309094421</v>
      </c>
      <c r="J501" s="21" t="n">
        <f aca="false">IF(B501="","",MAX(ABS($A501/$B$6-F501),ABS(($A501-1)/$B$6-F501)))</f>
        <v>0.00623288305981679</v>
      </c>
      <c r="K501" s="21" t="n">
        <f aca="false">IF(B501="","",MAX(ABS($A501/$B$6-G501),ABS(($A501-1)/$B$6-G501)))</f>
        <v>0.016933268215493</v>
      </c>
    </row>
    <row r="502" customFormat="false" ht="15" hidden="false" customHeight="false" outlineLevel="0" collapsed="false">
      <c r="A502" s="11" t="n">
        <v>466</v>
      </c>
      <c r="B502" s="9" t="n">
        <f aca="false">IF(A502&gt;$B$6,"",SMALL(BTC_Data!$C$3:$C$1002,A502))</f>
        <v>-6.34105110565164E-005</v>
      </c>
      <c r="C502" s="21" t="n">
        <f aca="false">IF(B502="","",A502/$B$6)</f>
        <v>0.466</v>
      </c>
      <c r="D502" s="21" t="n">
        <f aca="false">IF(B502="","",NORMDIST(B502,$B$15,$B$16,TRUE()))</f>
        <v>0.483810180494029</v>
      </c>
      <c r="E502" s="21" t="n">
        <f aca="false">IF(B502="","",IF(B502&gt;=$B$15,1-TDIST((B502-$B$15)/$B$18,$B$17,1),TDIST(($B$15-B502)/$B$18,$B$17,1)))</f>
        <v>0.481516869867156</v>
      </c>
      <c r="F502" s="21" t="n">
        <f aca="false">IF(B502="","",IF(B502&lt;$B$19,0.5*EXP((B502-$B$19)/$B$20),1-0.5*EXP(-(B502-$B$19)/$B$20)))</f>
        <v>0.471203487831322</v>
      </c>
      <c r="G502" s="21" t="n">
        <f aca="false">IF(B502="","",1/(1+EXP(-(B502-$B$15)/$B$21)))</f>
        <v>0.48160141929878</v>
      </c>
      <c r="H502" s="21" t="n">
        <f aca="false">IF(B502="","",MAX(ABS($A502/$B$6-D502),ABS(($A502-1)/$B$6-D502)))</f>
        <v>0.0188101804940294</v>
      </c>
      <c r="I502" s="21" t="n">
        <f aca="false">IF(B502="","",MAX(ABS($A502/$B$6-E502),ABS(($A502-1)/$B$6-E502)))</f>
        <v>0.0165168698671563</v>
      </c>
      <c r="J502" s="21" t="n">
        <f aca="false">IF(B502="","",MAX(ABS($A502/$B$6-F502),ABS(($A502-1)/$B$6-F502)))</f>
        <v>0.00620348783132146</v>
      </c>
      <c r="K502" s="21" t="n">
        <f aca="false">IF(B502="","",MAX(ABS($A502/$B$6-G502),ABS(($A502-1)/$B$6-G502)))</f>
        <v>0.0166014192987796</v>
      </c>
    </row>
    <row r="503" customFormat="false" ht="15" hidden="false" customHeight="false" outlineLevel="0" collapsed="false">
      <c r="A503" s="11" t="n">
        <v>467</v>
      </c>
      <c r="B503" s="9" t="n">
        <f aca="false">IF(A503&gt;$B$6,"",SMALL(BTC_Data!$C$3:$C$1002,A503))</f>
        <v>-6.19877586316431E-005</v>
      </c>
      <c r="C503" s="21" t="n">
        <f aca="false">IF(B503="","",A503/$B$6)</f>
        <v>0.467</v>
      </c>
      <c r="D503" s="21" t="n">
        <f aca="false">IF(B503="","",NORMDIST(B503,$B$15,$B$16,TRUE()))</f>
        <v>0.484255609630803</v>
      </c>
      <c r="E503" s="21" t="n">
        <f aca="false">IF(B503="","",IF(B503&gt;=$B$15,1-TDIST((B503-$B$15)/$B$18,$B$17,1),TDIST(($B$15-B503)/$B$18,$B$17,1)))</f>
        <v>0.482025234017291</v>
      </c>
      <c r="F503" s="21" t="n">
        <f aca="false">IF(B503="","",IF(B503&lt;$B$19,0.5*EXP((B503-$B$19)/$B$20),1-0.5*EXP(-(B503-$B$19)/$B$20)))</f>
        <v>0.471939848040425</v>
      </c>
      <c r="G503" s="21" t="n">
        <f aca="false">IF(B503="","",1/(1+EXP(-(B503-$B$15)/$B$21)))</f>
        <v>0.482107446035493</v>
      </c>
      <c r="H503" s="21" t="n">
        <f aca="false">IF(B503="","",MAX(ABS($A503/$B$6-D503),ABS(($A503-1)/$B$6-D503)))</f>
        <v>0.0182556096308027</v>
      </c>
      <c r="I503" s="21" t="n">
        <f aca="false">IF(B503="","",MAX(ABS($A503/$B$6-E503),ABS(($A503-1)/$B$6-E503)))</f>
        <v>0.0160252340172914</v>
      </c>
      <c r="J503" s="21" t="n">
        <f aca="false">IF(B503="","",MAX(ABS($A503/$B$6-F503),ABS(($A503-1)/$B$6-F503)))</f>
        <v>0.00593984804042536</v>
      </c>
      <c r="K503" s="21" t="n">
        <f aca="false">IF(B503="","",MAX(ABS($A503/$B$6-G503),ABS(($A503-1)/$B$6-G503)))</f>
        <v>0.0161074460354932</v>
      </c>
    </row>
    <row r="504" customFormat="false" ht="15" hidden="false" customHeight="false" outlineLevel="0" collapsed="false">
      <c r="A504" s="11" t="n">
        <v>468</v>
      </c>
      <c r="B504" s="9" t="n">
        <f aca="false">IF(A504&gt;$B$6,"",SMALL(BTC_Data!$C$3:$C$1002,A504))</f>
        <v>-6.07246309731746E-005</v>
      </c>
      <c r="C504" s="21" t="n">
        <f aca="false">IF(B504="","",A504/$B$6)</f>
        <v>0.468</v>
      </c>
      <c r="D504" s="21" t="n">
        <f aca="false">IF(B504="","",NORMDIST(B504,$B$15,$B$16,TRUE()))</f>
        <v>0.484651080623504</v>
      </c>
      <c r="E504" s="21" t="n">
        <f aca="false">IF(B504="","",IF(B504&gt;=$B$15,1-TDIST((B504-$B$15)/$B$18,$B$17,1),TDIST(($B$15-B504)/$B$18,$B$17,1)))</f>
        <v>0.48247659267823</v>
      </c>
      <c r="F504" s="21" t="n">
        <f aca="false">IF(B504="","",IF(B504&lt;$B$19,0.5*EXP((B504-$B$19)/$B$20),1-0.5*EXP(-(B504-$B$19)/$B$20)))</f>
        <v>0.472594557058487</v>
      </c>
      <c r="G504" s="21" t="n">
        <f aca="false">IF(B504="","",1/(1+EXP(-(B504-$B$15)/$B$21)))</f>
        <v>0.482556730226829</v>
      </c>
      <c r="H504" s="21" t="n">
        <f aca="false">IF(B504="","",MAX(ABS($A504/$B$6-D504),ABS(($A504-1)/$B$6-D504)))</f>
        <v>0.0176510806235038</v>
      </c>
      <c r="I504" s="21" t="n">
        <f aca="false">IF(B504="","",MAX(ABS($A504/$B$6-E504),ABS(($A504-1)/$B$6-E504)))</f>
        <v>0.0154765926782299</v>
      </c>
      <c r="J504" s="21" t="n">
        <f aca="false">IF(B504="","",MAX(ABS($A504/$B$6-F504),ABS(($A504-1)/$B$6-F504)))</f>
        <v>0.00559455705848694</v>
      </c>
      <c r="K504" s="21" t="n">
        <f aca="false">IF(B504="","",MAX(ABS($A504/$B$6-G504),ABS(($A504-1)/$B$6-G504)))</f>
        <v>0.0155567302268287</v>
      </c>
    </row>
    <row r="505" customFormat="false" ht="15" hidden="false" customHeight="false" outlineLevel="0" collapsed="false">
      <c r="A505" s="11" t="n">
        <v>469</v>
      </c>
      <c r="B505" s="9" t="n">
        <f aca="false">IF(A505&gt;$B$6,"",SMALL(BTC_Data!$C$3:$C$1002,A505))</f>
        <v>-6.02231039068535E-005</v>
      </c>
      <c r="C505" s="21" t="n">
        <f aca="false">IF(B505="","",A505/$B$6)</f>
        <v>0.469</v>
      </c>
      <c r="D505" s="21" t="n">
        <f aca="false">IF(B505="","",NORMDIST(B505,$B$15,$B$16,TRUE()))</f>
        <v>0.484808107288428</v>
      </c>
      <c r="E505" s="21" t="n">
        <f aca="false">IF(B505="","",IF(B505&gt;=$B$15,1-TDIST((B505-$B$15)/$B$18,$B$17,1),TDIST(($B$15-B505)/$B$18,$B$17,1)))</f>
        <v>0.482655813115515</v>
      </c>
      <c r="F505" s="21" t="n">
        <f aca="false">IF(B505="","",IF(B505&lt;$B$19,0.5*EXP((B505-$B$19)/$B$20),1-0.5*EXP(-(B505-$B$19)/$B$20)))</f>
        <v>0.472854762266177</v>
      </c>
      <c r="G505" s="21" t="n">
        <f aca="false">IF(B505="","",1/(1+EXP(-(B505-$B$15)/$B$21)))</f>
        <v>0.482735127170928</v>
      </c>
      <c r="H505" s="21" t="n">
        <f aca="false">IF(B505="","",MAX(ABS($A505/$B$6-D505),ABS(($A505-1)/$B$6-D505)))</f>
        <v>0.0168081072884282</v>
      </c>
      <c r="I505" s="21" t="n">
        <f aca="false">IF(B505="","",MAX(ABS($A505/$B$6-E505),ABS(($A505-1)/$B$6-E505)))</f>
        <v>0.0146558131155151</v>
      </c>
      <c r="J505" s="21" t="n">
        <f aca="false">IF(B505="","",MAX(ABS($A505/$B$6-F505),ABS(($A505-1)/$B$6-F505)))</f>
        <v>0.00485476226617693</v>
      </c>
      <c r="K505" s="21" t="n">
        <f aca="false">IF(B505="","",MAX(ABS($A505/$B$6-G505),ABS(($A505-1)/$B$6-G505)))</f>
        <v>0.0147351271709278</v>
      </c>
    </row>
    <row r="506" customFormat="false" ht="15" hidden="false" customHeight="false" outlineLevel="0" collapsed="false">
      <c r="A506" s="11" t="n">
        <v>470</v>
      </c>
      <c r="B506" s="9" t="n">
        <f aca="false">IF(A506&gt;$B$6,"",SMALL(BTC_Data!$C$3:$C$1002,A506))</f>
        <v>-5.87218391423505E-005</v>
      </c>
      <c r="C506" s="21" t="n">
        <f aca="false">IF(B506="","",A506/$B$6)</f>
        <v>0.47</v>
      </c>
      <c r="D506" s="21" t="n">
        <f aca="false">IF(B506="","",NORMDIST(B506,$B$15,$B$16,TRUE()))</f>
        <v>0.485278162901798</v>
      </c>
      <c r="E506" s="21" t="n">
        <f aca="false">IF(B506="","",IF(B506&gt;=$B$15,1-TDIST((B506-$B$15)/$B$18,$B$17,1),TDIST(($B$15-B506)/$B$18,$B$17,1)))</f>
        <v>0.483192314831998</v>
      </c>
      <c r="F506" s="21" t="n">
        <f aca="false">IF(B506="","",IF(B506&lt;$B$19,0.5*EXP((B506-$B$19)/$B$20),1-0.5*EXP(-(B506-$B$19)/$B$20)))</f>
        <v>0.473634513834186</v>
      </c>
      <c r="G506" s="21" t="n">
        <f aca="false">IF(B506="","",1/(1+EXP(-(B506-$B$15)/$B$21)))</f>
        <v>0.483269164446973</v>
      </c>
      <c r="H506" s="21" t="n">
        <f aca="false">IF(B506="","",MAX(ABS($A506/$B$6-D506),ABS(($A506-1)/$B$6-D506)))</f>
        <v>0.0162781629017975</v>
      </c>
      <c r="I506" s="21" t="n">
        <f aca="false">IF(B506="","",MAX(ABS($A506/$B$6-E506),ABS(($A506-1)/$B$6-E506)))</f>
        <v>0.0141923148319978</v>
      </c>
      <c r="J506" s="21" t="n">
        <f aca="false">IF(B506="","",MAX(ABS($A506/$B$6-F506),ABS(($A506-1)/$B$6-F506)))</f>
        <v>0.00463451383418595</v>
      </c>
      <c r="K506" s="21" t="n">
        <f aca="false">IF(B506="","",MAX(ABS($A506/$B$6-G506),ABS(($A506-1)/$B$6-G506)))</f>
        <v>0.0142691644469728</v>
      </c>
    </row>
    <row r="507" customFormat="false" ht="15" hidden="false" customHeight="false" outlineLevel="0" collapsed="false">
      <c r="A507" s="11" t="n">
        <v>471</v>
      </c>
      <c r="B507" s="9" t="n">
        <f aca="false">IF(A507&gt;$B$6,"",SMALL(BTC_Data!$C$3:$C$1002,A507))</f>
        <v>-5.80649643578957E-005</v>
      </c>
      <c r="C507" s="21" t="n">
        <f aca="false">IF(B507="","",A507/$B$6)</f>
        <v>0.471</v>
      </c>
      <c r="D507" s="21" t="n">
        <f aca="false">IF(B507="","",NORMDIST(B507,$B$15,$B$16,TRUE()))</f>
        <v>0.485483841076431</v>
      </c>
      <c r="E507" s="21" t="n">
        <f aca="false">IF(B507="","",IF(B507&gt;=$B$15,1-TDIST((B507-$B$15)/$B$18,$B$17,1),TDIST(($B$15-B507)/$B$18,$B$17,1)))</f>
        <v>0.483427071683226</v>
      </c>
      <c r="F507" s="21" t="n">
        <f aca="false">IF(B507="","",IF(B507&lt;$B$19,0.5*EXP((B507-$B$19)/$B$20),1-0.5*EXP(-(B507-$B$19)/$B$20)))</f>
        <v>0.473976096522858</v>
      </c>
      <c r="G507" s="21" t="n">
        <f aca="false">IF(B507="","",1/(1+EXP(-(B507-$B$15)/$B$21)))</f>
        <v>0.483502843263041</v>
      </c>
      <c r="H507" s="21" t="n">
        <f aca="false">IF(B507="","",MAX(ABS($A507/$B$6-D507),ABS(($A507-1)/$B$6-D507)))</f>
        <v>0.0154838410764306</v>
      </c>
      <c r="I507" s="21" t="n">
        <f aca="false">IF(B507="","",MAX(ABS($A507/$B$6-E507),ABS(($A507-1)/$B$6-E507)))</f>
        <v>0.0134270716832257</v>
      </c>
      <c r="J507" s="21" t="n">
        <f aca="false">IF(B507="","",MAX(ABS($A507/$B$6-F507),ABS(($A507-1)/$B$6-F507)))</f>
        <v>0.0039760965228583</v>
      </c>
      <c r="K507" s="21" t="n">
        <f aca="false">IF(B507="","",MAX(ABS($A507/$B$6-G507),ABS(($A507-1)/$B$6-G507)))</f>
        <v>0.0135028432630414</v>
      </c>
    </row>
    <row r="508" customFormat="false" ht="15" hidden="false" customHeight="false" outlineLevel="0" collapsed="false">
      <c r="A508" s="11" t="n">
        <v>472</v>
      </c>
      <c r="B508" s="9" t="n">
        <f aca="false">IF(A508&gt;$B$6,"",SMALL(BTC_Data!$C$3:$C$1002,A508))</f>
        <v>-5.69817741666867E-005</v>
      </c>
      <c r="C508" s="21" t="n">
        <f aca="false">IF(B508="","",A508/$B$6)</f>
        <v>0.472</v>
      </c>
      <c r="D508" s="21" t="n">
        <f aca="false">IF(B508="","",NORMDIST(B508,$B$15,$B$16,TRUE()))</f>
        <v>0.485823013945017</v>
      </c>
      <c r="E508" s="21" t="n">
        <f aca="false">IF(B508="","",IF(B508&gt;=$B$15,1-TDIST((B508-$B$15)/$B$18,$B$17,1),TDIST(($B$15-B508)/$B$18,$B$17,1)))</f>
        <v>0.483814202395689</v>
      </c>
      <c r="F508" s="21" t="n">
        <f aca="false">IF(B508="","",IF(B508&lt;$B$19,0.5*EXP((B508-$B$19)/$B$20),1-0.5*EXP(-(B508-$B$19)/$B$20)))</f>
        <v>0.474539906420628</v>
      </c>
      <c r="G508" s="21" t="n">
        <f aca="false">IF(B508="","",1/(1+EXP(-(B508-$B$15)/$B$21)))</f>
        <v>0.483888196646648</v>
      </c>
      <c r="H508" s="21" t="n">
        <f aca="false">IF(B508="","",MAX(ABS($A508/$B$6-D508),ABS(($A508-1)/$B$6-D508)))</f>
        <v>0.0148230139450166</v>
      </c>
      <c r="I508" s="21" t="n">
        <f aca="false">IF(B508="","",MAX(ABS($A508/$B$6-E508),ABS(($A508-1)/$B$6-E508)))</f>
        <v>0.0128142023956892</v>
      </c>
      <c r="J508" s="21" t="n">
        <f aca="false">IF(B508="","",MAX(ABS($A508/$B$6-F508),ABS(($A508-1)/$B$6-F508)))</f>
        <v>0.00353990642062801</v>
      </c>
      <c r="K508" s="21" t="n">
        <f aca="false">IF(B508="","",MAX(ABS($A508/$B$6-G508),ABS(($A508-1)/$B$6-G508)))</f>
        <v>0.0128881966466476</v>
      </c>
    </row>
    <row r="509" customFormat="false" ht="15" hidden="false" customHeight="false" outlineLevel="0" collapsed="false">
      <c r="A509" s="11" t="n">
        <v>473</v>
      </c>
      <c r="B509" s="9" t="n">
        <f aca="false">IF(A509&gt;$B$6,"",SMALL(BTC_Data!$C$3:$C$1002,A509))</f>
        <v>-5.65455006215077E-005</v>
      </c>
      <c r="C509" s="21" t="n">
        <f aca="false">IF(B509="","",A509/$B$6)</f>
        <v>0.473</v>
      </c>
      <c r="D509" s="21" t="n">
        <f aca="false">IF(B509="","",NORMDIST(B509,$B$15,$B$16,TRUE()))</f>
        <v>0.485959624582999</v>
      </c>
      <c r="E509" s="21" t="n">
        <f aca="false">IF(B509="","",IF(B509&gt;=$B$15,1-TDIST((B509-$B$15)/$B$18,$B$17,1),TDIST(($B$15-B509)/$B$18,$B$17,1)))</f>
        <v>0.483970131286956</v>
      </c>
      <c r="F509" s="21" t="n">
        <f aca="false">IF(B509="","",IF(B509&lt;$B$19,0.5*EXP((B509-$B$19)/$B$20),1-0.5*EXP(-(B509-$B$19)/$B$20)))</f>
        <v>0.474767180003894</v>
      </c>
      <c r="G509" s="21" t="n">
        <f aca="false">IF(B509="","",1/(1+EXP(-(B509-$B$15)/$B$21)))</f>
        <v>0.48404340981171</v>
      </c>
      <c r="H509" s="21" t="n">
        <f aca="false">IF(B509="","",MAX(ABS($A509/$B$6-D509),ABS(($A509-1)/$B$6-D509)))</f>
        <v>0.013959624582999</v>
      </c>
      <c r="I509" s="21" t="n">
        <f aca="false">IF(B509="","",MAX(ABS($A509/$B$6-E509),ABS(($A509-1)/$B$6-E509)))</f>
        <v>0.0119701312869555</v>
      </c>
      <c r="J509" s="21" t="n">
        <f aca="false">IF(B509="","",MAX(ABS($A509/$B$6-F509),ABS(($A509-1)/$B$6-F509)))</f>
        <v>0.0027671800038937</v>
      </c>
      <c r="K509" s="21" t="n">
        <f aca="false">IF(B509="","",MAX(ABS($A509/$B$6-G509),ABS(($A509-1)/$B$6-G509)))</f>
        <v>0.0120434098117099</v>
      </c>
    </row>
    <row r="510" customFormat="false" ht="15" hidden="false" customHeight="false" outlineLevel="0" collapsed="false">
      <c r="A510" s="11" t="n">
        <v>474</v>
      </c>
      <c r="B510" s="9" t="n">
        <f aca="false">IF(A510&gt;$B$6,"",SMALL(BTC_Data!$C$3:$C$1002,A510))</f>
        <v>-5.6074379681581E-005</v>
      </c>
      <c r="C510" s="21" t="n">
        <f aca="false">IF(B510="","",A510/$B$6)</f>
        <v>0.474</v>
      </c>
      <c r="D510" s="21" t="n">
        <f aca="false">IF(B510="","",NORMDIST(B510,$B$15,$B$16,TRUE()))</f>
        <v>0.486107148859833</v>
      </c>
      <c r="E510" s="21" t="n">
        <f aca="false">IF(B510="","",IF(B510&gt;=$B$15,1-TDIST((B510-$B$15)/$B$18,$B$17,1),TDIST(($B$15-B510)/$B$18,$B$17,1)))</f>
        <v>0.484138518392276</v>
      </c>
      <c r="F510" s="21" t="n">
        <f aca="false">IF(B510="","",IF(B510&lt;$B$19,0.5*EXP((B510-$B$19)/$B$20),1-0.5*EXP(-(B510-$B$19)/$B$20)))</f>
        <v>0.475012729327718</v>
      </c>
      <c r="G510" s="21" t="n">
        <f aca="false">IF(B510="","",1/(1+EXP(-(B510-$B$15)/$B$21)))</f>
        <v>0.484211024100721</v>
      </c>
      <c r="H510" s="21" t="n">
        <f aca="false">IF(B510="","",MAX(ABS($A510/$B$6-D510),ABS(($A510-1)/$B$6-D510)))</f>
        <v>0.0131071488598334</v>
      </c>
      <c r="I510" s="21" t="n">
        <f aca="false">IF(B510="","",MAX(ABS($A510/$B$6-E510),ABS(($A510-1)/$B$6-E510)))</f>
        <v>0.0111385183922763</v>
      </c>
      <c r="J510" s="21" t="n">
        <f aca="false">IF(B510="","",MAX(ABS($A510/$B$6-F510),ABS(($A510-1)/$B$6-F510)))</f>
        <v>0.00201272932771845</v>
      </c>
      <c r="K510" s="21" t="n">
        <f aca="false">IF(B510="","",MAX(ABS($A510/$B$6-G510),ABS(($A510-1)/$B$6-G510)))</f>
        <v>0.0112110241007208</v>
      </c>
    </row>
    <row r="511" customFormat="false" ht="15" hidden="false" customHeight="false" outlineLevel="0" collapsed="false">
      <c r="A511" s="11" t="n">
        <v>475</v>
      </c>
      <c r="B511" s="9" t="n">
        <f aca="false">IF(A511&gt;$B$6,"",SMALL(BTC_Data!$C$3:$C$1002,A511))</f>
        <v>-5.35924328880499E-005</v>
      </c>
      <c r="C511" s="21" t="n">
        <f aca="false">IF(B511="","",A511/$B$6)</f>
        <v>0.475</v>
      </c>
      <c r="D511" s="21" t="n">
        <f aca="false">IF(B511="","",NORMDIST(B511,$B$15,$B$16,TRUE()))</f>
        <v>0.486884363246271</v>
      </c>
      <c r="E511" s="21" t="n">
        <f aca="false">IF(B511="","",IF(B511&gt;=$B$15,1-TDIST((B511-$B$15)/$B$18,$B$17,1),TDIST(($B$15-B511)/$B$18,$B$17,1)))</f>
        <v>0.485025667311016</v>
      </c>
      <c r="F511" s="21" t="n">
        <f aca="false">IF(B511="","",IF(B511&lt;$B$19,0.5*EXP((B511-$B$19)/$B$20),1-0.5*EXP(-(B511-$B$19)/$B$20)))</f>
        <v>0.476308424134453</v>
      </c>
      <c r="G511" s="21" t="n">
        <f aca="false">IF(B511="","",1/(1+EXP(-(B511-$B$15)/$B$21)))</f>
        <v>0.485094103003235</v>
      </c>
      <c r="H511" s="21" t="n">
        <f aca="false">IF(B511="","",MAX(ABS($A511/$B$6-D511),ABS(($A511-1)/$B$6-D511)))</f>
        <v>0.012884363246271</v>
      </c>
      <c r="I511" s="21" t="n">
        <f aca="false">IF(B511="","",MAX(ABS($A511/$B$6-E511),ABS(($A511-1)/$B$6-E511)))</f>
        <v>0.0110256673110162</v>
      </c>
      <c r="J511" s="21" t="n">
        <f aca="false">IF(B511="","",MAX(ABS($A511/$B$6-F511),ABS(($A511-1)/$B$6-F511)))</f>
        <v>0.00230842413445304</v>
      </c>
      <c r="K511" s="21" t="n">
        <f aca="false">IF(B511="","",MAX(ABS($A511/$B$6-G511),ABS(($A511-1)/$B$6-G511)))</f>
        <v>0.0110941030032354</v>
      </c>
    </row>
    <row r="512" customFormat="false" ht="15" hidden="false" customHeight="false" outlineLevel="0" collapsed="false">
      <c r="A512" s="11" t="n">
        <v>476</v>
      </c>
      <c r="B512" s="9" t="n">
        <f aca="false">IF(A512&gt;$B$6,"",SMALL(BTC_Data!$C$3:$C$1002,A512))</f>
        <v>-4.90265581795102E-005</v>
      </c>
      <c r="C512" s="21" t="n">
        <f aca="false">IF(B512="","",A512/$B$6)</f>
        <v>0.476</v>
      </c>
      <c r="D512" s="21" t="n">
        <f aca="false">IF(B512="","",NORMDIST(B512,$B$15,$B$16,TRUE()))</f>
        <v>0.488314281537019</v>
      </c>
      <c r="E512" s="21" t="n">
        <f aca="false">IF(B512="","",IF(B512&gt;=$B$15,1-TDIST((B512-$B$15)/$B$18,$B$17,1),TDIST(($B$15-B512)/$B$18,$B$17,1)))</f>
        <v>0.486657930648069</v>
      </c>
      <c r="F512" s="21" t="n">
        <f aca="false">IF(B512="","",IF(B512&lt;$B$19,0.5*EXP((B512-$B$19)/$B$20),1-0.5*EXP(-(B512-$B$19)/$B$20)))</f>
        <v>0.478701267250954</v>
      </c>
      <c r="G512" s="21" t="n">
        <f aca="false">IF(B512="","",1/(1+EXP(-(B512-$B$15)/$B$21)))</f>
        <v>0.486718884440433</v>
      </c>
      <c r="H512" s="21" t="n">
        <f aca="false">IF(B512="","",MAX(ABS($A512/$B$6-D512),ABS(($A512-1)/$B$6-D512)))</f>
        <v>0.0133142815370195</v>
      </c>
      <c r="I512" s="21" t="n">
        <f aca="false">IF(B512="","",MAX(ABS($A512/$B$6-E512),ABS(($A512-1)/$B$6-E512)))</f>
        <v>0.0116579306480689</v>
      </c>
      <c r="J512" s="21" t="n">
        <f aca="false">IF(B512="","",MAX(ABS($A512/$B$6-F512),ABS(($A512-1)/$B$6-F512)))</f>
        <v>0.00370126725095415</v>
      </c>
      <c r="K512" s="21" t="n">
        <f aca="false">IF(B512="","",MAX(ABS($A512/$B$6-G512),ABS(($A512-1)/$B$6-G512)))</f>
        <v>0.0117188844404331</v>
      </c>
    </row>
    <row r="513" customFormat="false" ht="15" hidden="false" customHeight="false" outlineLevel="0" collapsed="false">
      <c r="A513" s="11" t="n">
        <v>477</v>
      </c>
      <c r="B513" s="9" t="n">
        <f aca="false">IF(A513&gt;$B$6,"",SMALL(BTC_Data!$C$3:$C$1002,A513))</f>
        <v>-4.78056721268105E-005</v>
      </c>
      <c r="C513" s="21" t="n">
        <f aca="false">IF(B513="","",A513/$B$6)</f>
        <v>0.477</v>
      </c>
      <c r="D513" s="21" t="n">
        <f aca="false">IF(B513="","",NORMDIST(B513,$B$15,$B$16,TRUE()))</f>
        <v>0.488696658870608</v>
      </c>
      <c r="E513" s="21" t="n">
        <f aca="false">IF(B513="","",IF(B513&gt;=$B$15,1-TDIST((B513-$B$15)/$B$18,$B$17,1),TDIST(($B$15-B513)/$B$18,$B$17,1)))</f>
        <v>0.48709443542601</v>
      </c>
      <c r="F513" s="21" t="n">
        <f aca="false">IF(B513="","",IF(B513&lt;$B$19,0.5*EXP((B513-$B$19)/$B$20),1-0.5*EXP(-(B513-$B$19)/$B$20)))</f>
        <v>0.47934313280518</v>
      </c>
      <c r="G513" s="21" t="n">
        <f aca="false">IF(B513="","",1/(1+EXP(-(B513-$B$15)/$B$21)))</f>
        <v>0.487153389721225</v>
      </c>
      <c r="H513" s="21" t="n">
        <f aca="false">IF(B513="","",MAX(ABS($A513/$B$6-D513),ABS(($A513-1)/$B$6-D513)))</f>
        <v>0.0126966588706082</v>
      </c>
      <c r="I513" s="21" t="n">
        <f aca="false">IF(B513="","",MAX(ABS($A513/$B$6-E513),ABS(($A513-1)/$B$6-E513)))</f>
        <v>0.0110944354260103</v>
      </c>
      <c r="J513" s="21" t="n">
        <f aca="false">IF(B513="","",MAX(ABS($A513/$B$6-F513),ABS(($A513-1)/$B$6-F513)))</f>
        <v>0.00334313280518039</v>
      </c>
      <c r="K513" s="21" t="n">
        <f aca="false">IF(B513="","",MAX(ABS($A513/$B$6-G513),ABS(($A513-1)/$B$6-G513)))</f>
        <v>0.0111533897212246</v>
      </c>
    </row>
    <row r="514" customFormat="false" ht="15" hidden="false" customHeight="false" outlineLevel="0" collapsed="false">
      <c r="A514" s="11" t="n">
        <v>478</v>
      </c>
      <c r="B514" s="9" t="n">
        <f aca="false">IF(A514&gt;$B$6,"",SMALL(BTC_Data!$C$3:$C$1002,A514))</f>
        <v>-4.77332681840803E-005</v>
      </c>
      <c r="C514" s="21" t="n">
        <f aca="false">IF(B514="","",A514/$B$6)</f>
        <v>0.478</v>
      </c>
      <c r="D514" s="21" t="n">
        <f aca="false">IF(B514="","",NORMDIST(B514,$B$15,$B$16,TRUE()))</f>
        <v>0.488719335867508</v>
      </c>
      <c r="E514" s="21" t="n">
        <f aca="false">IF(B514="","",IF(B514&gt;=$B$15,1-TDIST((B514-$B$15)/$B$18,$B$17,1),TDIST(($B$15-B514)/$B$18,$B$17,1)))</f>
        <v>0.487120322692253</v>
      </c>
      <c r="F514" s="21" t="n">
        <f aca="false">IF(B514="","",IF(B514&lt;$B$19,0.5*EXP((B514-$B$19)/$B$20),1-0.5*EXP(-(B514-$B$19)/$B$20)))</f>
        <v>0.479381225293515</v>
      </c>
      <c r="G514" s="21" t="n">
        <f aca="false">IF(B514="","",1/(1+EXP(-(B514-$B$15)/$B$21)))</f>
        <v>0.487179158422482</v>
      </c>
      <c r="H514" s="21" t="n">
        <f aca="false">IF(B514="","",MAX(ABS($A514/$B$6-D514),ABS(($A514-1)/$B$6-D514)))</f>
        <v>0.0117193358675077</v>
      </c>
      <c r="I514" s="21" t="n">
        <f aca="false">IF(B514="","",MAX(ABS($A514/$B$6-E514),ABS(($A514-1)/$B$6-E514)))</f>
        <v>0.0101203226922526</v>
      </c>
      <c r="J514" s="21" t="n">
        <f aca="false">IF(B514="","",MAX(ABS($A514/$B$6-F514),ABS(($A514-1)/$B$6-F514)))</f>
        <v>0.00238122529351498</v>
      </c>
      <c r="K514" s="21" t="n">
        <f aca="false">IF(B514="","",MAX(ABS($A514/$B$6-G514),ABS(($A514-1)/$B$6-G514)))</f>
        <v>0.010179158422482</v>
      </c>
    </row>
    <row r="515" customFormat="false" ht="15" hidden="false" customHeight="false" outlineLevel="0" collapsed="false">
      <c r="A515" s="11" t="n">
        <v>479</v>
      </c>
      <c r="B515" s="9" t="n">
        <f aca="false">IF(A515&gt;$B$6,"",SMALL(BTC_Data!$C$3:$C$1002,A515))</f>
        <v>-4.48227600654549E-005</v>
      </c>
      <c r="C515" s="21" t="n">
        <f aca="false">IF(B515="","",A515/$B$6)</f>
        <v>0.479</v>
      </c>
      <c r="D515" s="21" t="n">
        <f aca="false">IF(B515="","",NORMDIST(B515,$B$15,$B$16,TRUE()))</f>
        <v>0.489630939712807</v>
      </c>
      <c r="E515" s="21" t="n">
        <f aca="false">IF(B515="","",IF(B515&gt;=$B$15,1-TDIST((B515-$B$15)/$B$18,$B$17,1),TDIST(($B$15-B515)/$B$18,$B$17,1)))</f>
        <v>0.488160997880016</v>
      </c>
      <c r="F515" s="21" t="n">
        <f aca="false">IF(B515="","",IF(B515&lt;$B$19,0.5*EXP((B515-$B$19)/$B$20),1-0.5*EXP(-(B515-$B$19)/$B$20)))</f>
        <v>0.480914983946809</v>
      </c>
      <c r="G515" s="21" t="n">
        <f aca="false">IF(B515="","",1/(1+EXP(-(B515-$B$15)/$B$21)))</f>
        <v>0.488215068763634</v>
      </c>
      <c r="H515" s="21" t="n">
        <f aca="false">IF(B515="","",MAX(ABS($A515/$B$6-D515),ABS(($A515-1)/$B$6-D515)))</f>
        <v>0.0116309397128075</v>
      </c>
      <c r="I515" s="21" t="n">
        <f aca="false">IF(B515="","",MAX(ABS($A515/$B$6-E515),ABS(($A515-1)/$B$6-E515)))</f>
        <v>0.0101609978800161</v>
      </c>
      <c r="J515" s="21" t="n">
        <f aca="false">IF(B515="","",MAX(ABS($A515/$B$6-F515),ABS(($A515-1)/$B$6-F515)))</f>
        <v>0.00291498394680922</v>
      </c>
      <c r="K515" s="21" t="n">
        <f aca="false">IF(B515="","",MAX(ABS($A515/$B$6-G515),ABS(($A515-1)/$B$6-G515)))</f>
        <v>0.0102150687636342</v>
      </c>
    </row>
    <row r="516" customFormat="false" ht="15" hidden="false" customHeight="false" outlineLevel="0" collapsed="false">
      <c r="A516" s="11" t="n">
        <v>480</v>
      </c>
      <c r="B516" s="9" t="n">
        <f aca="false">IF(A516&gt;$B$6,"",SMALL(BTC_Data!$C$3:$C$1002,A516))</f>
        <v>-4.37903589444177E-005</v>
      </c>
      <c r="C516" s="21" t="n">
        <f aca="false">IF(B516="","",A516/$B$6)</f>
        <v>0.48</v>
      </c>
      <c r="D516" s="21" t="n">
        <f aca="false">IF(B516="","",NORMDIST(B516,$B$15,$B$16,TRUE()))</f>
        <v>0.489954312605223</v>
      </c>
      <c r="E516" s="21" t="n">
        <f aca="false">IF(B516="","",IF(B516&gt;=$B$15,1-TDIST((B516-$B$15)/$B$18,$B$17,1),TDIST(($B$15-B516)/$B$18,$B$17,1)))</f>
        <v>0.488530165281799</v>
      </c>
      <c r="F516" s="21" t="n">
        <f aca="false">IF(B516="","",IF(B516&lt;$B$19,0.5*EXP((B516-$B$19)/$B$20),1-0.5*EXP(-(B516-$B$19)/$B$20)))</f>
        <v>0.481460209506087</v>
      </c>
      <c r="G516" s="21" t="n">
        <f aca="false">IF(B516="","",1/(1+EXP(-(B516-$B$15)/$B$21)))</f>
        <v>0.488582546567358</v>
      </c>
      <c r="H516" s="21" t="n">
        <f aca="false">IF(B516="","",MAX(ABS($A516/$B$6-D516),ABS(($A516-1)/$B$6-D516)))</f>
        <v>0.0109543126052228</v>
      </c>
      <c r="I516" s="21" t="n">
        <f aca="false">IF(B516="","",MAX(ABS($A516/$B$6-E516),ABS(($A516-1)/$B$6-E516)))</f>
        <v>0.00953016528179873</v>
      </c>
      <c r="J516" s="21" t="n">
        <f aca="false">IF(B516="","",MAX(ABS($A516/$B$6-F516),ABS(($A516-1)/$B$6-F516)))</f>
        <v>0.00246020950608733</v>
      </c>
      <c r="K516" s="21" t="n">
        <f aca="false">IF(B516="","",MAX(ABS($A516/$B$6-G516),ABS(($A516-1)/$B$6-G516)))</f>
        <v>0.00958254656735752</v>
      </c>
    </row>
    <row r="517" customFormat="false" ht="15" hidden="false" customHeight="false" outlineLevel="0" collapsed="false">
      <c r="A517" s="11" t="n">
        <v>481</v>
      </c>
      <c r="B517" s="9" t="n">
        <f aca="false">IF(A517&gt;$B$6,"",SMALL(BTC_Data!$C$3:$C$1002,A517))</f>
        <v>-4.14351188847695E-005</v>
      </c>
      <c r="C517" s="21" t="n">
        <f aca="false">IF(B517="","",A517/$B$6)</f>
        <v>0.481</v>
      </c>
      <c r="D517" s="21" t="n">
        <f aca="false">IF(B517="","",NORMDIST(B517,$B$15,$B$16,TRUE()))</f>
        <v>0.490692054884137</v>
      </c>
      <c r="E517" s="21" t="n">
        <f aca="false">IF(B517="","",IF(B517&gt;=$B$15,1-TDIST((B517-$B$15)/$B$18,$B$17,1),TDIST(($B$15-B517)/$B$18,$B$17,1)))</f>
        <v>0.489372399755566</v>
      </c>
      <c r="F517" s="21" t="n">
        <f aca="false">IF(B517="","",IF(B517&lt;$B$19,0.5*EXP((B517-$B$19)/$B$20),1-0.5*EXP(-(B517-$B$19)/$B$20)))</f>
        <v>0.482706359651235</v>
      </c>
      <c r="G517" s="21" t="n">
        <f aca="false">IF(B517="","",1/(1+EXP(-(B517-$B$15)/$B$21)))</f>
        <v>0.48942092756154</v>
      </c>
      <c r="H517" s="21" t="n">
        <f aca="false">IF(B517="","",MAX(ABS($A517/$B$6-D517),ABS(($A517-1)/$B$6-D517)))</f>
        <v>0.0106920548841374</v>
      </c>
      <c r="I517" s="21" t="n">
        <f aca="false">IF(B517="","",MAX(ABS($A517/$B$6-E517),ABS(($A517-1)/$B$6-E517)))</f>
        <v>0.00937239975556642</v>
      </c>
      <c r="J517" s="21" t="n">
        <f aca="false">IF(B517="","",MAX(ABS($A517/$B$6-F517),ABS(($A517-1)/$B$6-F517)))</f>
        <v>0.0027063596512345</v>
      </c>
      <c r="K517" s="21" t="n">
        <f aca="false">IF(B517="","",MAX(ABS($A517/$B$6-G517),ABS(($A517-1)/$B$6-G517)))</f>
        <v>0.00942092756154006</v>
      </c>
    </row>
    <row r="518" customFormat="false" ht="15" hidden="false" customHeight="false" outlineLevel="0" collapsed="false">
      <c r="A518" s="11" t="n">
        <v>482</v>
      </c>
      <c r="B518" s="9" t="n">
        <f aca="false">IF(A518&gt;$B$6,"",SMALL(BTC_Data!$C$3:$C$1002,A518))</f>
        <v>-4.07268333192379E-005</v>
      </c>
      <c r="C518" s="21" t="n">
        <f aca="false">IF(B518="","",A518/$B$6)</f>
        <v>0.482</v>
      </c>
      <c r="D518" s="21" t="n">
        <f aca="false">IF(B518="","",NORMDIST(B518,$B$15,$B$16,TRUE()))</f>
        <v>0.490913920652959</v>
      </c>
      <c r="E518" s="21" t="n">
        <f aca="false">IF(B518="","",IF(B518&gt;=$B$15,1-TDIST((B518-$B$15)/$B$18,$B$17,1),TDIST(($B$15-B518)/$B$18,$B$17,1)))</f>
        <v>0.489625694447866</v>
      </c>
      <c r="F518" s="21" t="n">
        <f aca="false">IF(B518="","",IF(B518&lt;$B$19,0.5*EXP((B518-$B$19)/$B$20),1-0.5*EXP(-(B518-$B$19)/$B$20)))</f>
        <v>0.483081741773765</v>
      </c>
      <c r="G518" s="21" t="n">
        <f aca="false">IF(B518="","",1/(1+EXP(-(B518-$B$15)/$B$21)))</f>
        <v>0.489673063676745</v>
      </c>
      <c r="H518" s="21" t="n">
        <f aca="false">IF(B518="","",MAX(ABS($A518/$B$6-D518),ABS(($A518-1)/$B$6-D518)))</f>
        <v>0.00991392065295921</v>
      </c>
      <c r="I518" s="21" t="n">
        <f aca="false">IF(B518="","",MAX(ABS($A518/$B$6-E518),ABS(($A518-1)/$B$6-E518)))</f>
        <v>0.00862569444786643</v>
      </c>
      <c r="J518" s="21" t="n">
        <f aca="false">IF(B518="","",MAX(ABS($A518/$B$6-F518),ABS(($A518-1)/$B$6-F518)))</f>
        <v>0.00208174177376502</v>
      </c>
      <c r="K518" s="21" t="n">
        <f aca="false">IF(B518="","",MAX(ABS($A518/$B$6-G518),ABS(($A518-1)/$B$6-G518)))</f>
        <v>0.00867306367674503</v>
      </c>
    </row>
    <row r="519" customFormat="false" ht="15" hidden="false" customHeight="false" outlineLevel="0" collapsed="false">
      <c r="A519" s="11" t="n">
        <v>483</v>
      </c>
      <c r="B519" s="9" t="n">
        <f aca="false">IF(A519&gt;$B$6,"",SMALL(BTC_Data!$C$3:$C$1002,A519))</f>
        <v>-3.79222937230139E-005</v>
      </c>
      <c r="C519" s="21" t="n">
        <f aca="false">IF(B519="","",A519/$B$6)</f>
        <v>0.483</v>
      </c>
      <c r="D519" s="21" t="n">
        <f aca="false">IF(B519="","",NORMDIST(B519,$B$15,$B$16,TRUE()))</f>
        <v>0.49179245107107</v>
      </c>
      <c r="E519" s="21" t="n">
        <f aca="false">IF(B519="","",IF(B519&gt;=$B$15,1-TDIST((B519-$B$15)/$B$18,$B$17,1),TDIST(($B$15-B519)/$B$18,$B$17,1)))</f>
        <v>0.490628693631632</v>
      </c>
      <c r="F519" s="21" t="n">
        <f aca="false">IF(B519="","",IF(B519&lt;$B$19,0.5*EXP((B519-$B$19)/$B$20),1-0.5*EXP(-(B519-$B$19)/$B$20)))</f>
        <v>0.484570979814837</v>
      </c>
      <c r="G519" s="21" t="n">
        <f aca="false">IF(B519="","",1/(1+EXP(-(B519-$B$15)/$B$21)))</f>
        <v>0.49067147648753</v>
      </c>
      <c r="H519" s="21" t="n">
        <f aca="false">IF(B519="","",MAX(ABS($A519/$B$6-D519),ABS(($A519-1)/$B$6-D519)))</f>
        <v>0.00979245107106974</v>
      </c>
      <c r="I519" s="21" t="n">
        <f aca="false">IF(B519="","",MAX(ABS($A519/$B$6-E519),ABS(($A519-1)/$B$6-E519)))</f>
        <v>0.00862869363163171</v>
      </c>
      <c r="J519" s="21" t="n">
        <f aca="false">IF(B519="","",MAX(ABS($A519/$B$6-F519),ABS(($A519-1)/$B$6-F519)))</f>
        <v>0.00257097981483712</v>
      </c>
      <c r="K519" s="21" t="n">
        <f aca="false">IF(B519="","",MAX(ABS($A519/$B$6-G519),ABS(($A519-1)/$B$6-G519)))</f>
        <v>0.00867147648753047</v>
      </c>
    </row>
    <row r="520" customFormat="false" ht="15" hidden="false" customHeight="false" outlineLevel="0" collapsed="false">
      <c r="A520" s="11" t="n">
        <v>484</v>
      </c>
      <c r="B520" s="9" t="n">
        <f aca="false">IF(A520&gt;$B$6,"",SMALL(BTC_Data!$C$3:$C$1002,A520))</f>
        <v>-3.6996574684145E-005</v>
      </c>
      <c r="C520" s="21" t="n">
        <f aca="false">IF(B520="","",A520/$B$6)</f>
        <v>0.484</v>
      </c>
      <c r="D520" s="21" t="n">
        <f aca="false">IF(B520="","",NORMDIST(B520,$B$15,$B$16,TRUE()))</f>
        <v>0.49208244427814</v>
      </c>
      <c r="E520" s="21" t="n">
        <f aca="false">IF(B520="","",IF(B520&gt;=$B$15,1-TDIST((B520-$B$15)/$B$18,$B$17,1),TDIST(($B$15-B520)/$B$18,$B$17,1)))</f>
        <v>0.490959778734985</v>
      </c>
      <c r="F520" s="21" t="n">
        <f aca="false">IF(B520="","",IF(B520&lt;$B$19,0.5*EXP((B520-$B$19)/$B$20),1-0.5*EXP(-(B520-$B$19)/$B$20)))</f>
        <v>0.485063552809825</v>
      </c>
      <c r="G520" s="21" t="n">
        <f aca="false">IF(B520="","",1/(1+EXP(-(B520-$B$15)/$B$21)))</f>
        <v>0.491001048108091</v>
      </c>
      <c r="H520" s="21" t="n">
        <f aca="false">IF(B520="","",MAX(ABS($A520/$B$6-D520),ABS(($A520-1)/$B$6-D520)))</f>
        <v>0.00908244427814015</v>
      </c>
      <c r="I520" s="21" t="n">
        <f aca="false">IF(B520="","",MAX(ABS($A520/$B$6-E520),ABS(($A520-1)/$B$6-E520)))</f>
        <v>0.00795977873498466</v>
      </c>
      <c r="J520" s="21" t="n">
        <f aca="false">IF(B520="","",MAX(ABS($A520/$B$6-F520),ABS(($A520-1)/$B$6-F520)))</f>
        <v>0.00206355280982495</v>
      </c>
      <c r="K520" s="21" t="n">
        <f aca="false">IF(B520="","",MAX(ABS($A520/$B$6-G520),ABS(($A520-1)/$B$6-G520)))</f>
        <v>0.00800104810809121</v>
      </c>
    </row>
    <row r="521" customFormat="false" ht="15" hidden="false" customHeight="false" outlineLevel="0" collapsed="false">
      <c r="A521" s="11" t="n">
        <v>485</v>
      </c>
      <c r="B521" s="9" t="n">
        <f aca="false">IF(A521&gt;$B$6,"",SMALL(BTC_Data!$C$3:$C$1002,A521))</f>
        <v>-3.50287164132546E-005</v>
      </c>
      <c r="C521" s="21" t="n">
        <f aca="false">IF(B521="","",A521/$B$6)</f>
        <v>0.485</v>
      </c>
      <c r="D521" s="21" t="n">
        <f aca="false">IF(B521="","",NORMDIST(B521,$B$15,$B$16,TRUE()))</f>
        <v>0.492698914503408</v>
      </c>
      <c r="E521" s="21" t="n">
        <f aca="false">IF(B521="","",IF(B521&gt;=$B$15,1-TDIST((B521-$B$15)/$B$18,$B$17,1),TDIST(($B$15-B521)/$B$18,$B$17,1)))</f>
        <v>0.491663611882288</v>
      </c>
      <c r="F521" s="21" t="n">
        <f aca="false">IF(B521="","",IF(B521&lt;$B$19,0.5*EXP((B521-$B$19)/$B$20),1-0.5*EXP(-(B521-$B$19)/$B$20)))</f>
        <v>0.486112309860121</v>
      </c>
      <c r="G521" s="21" t="n">
        <f aca="false">IF(B521="","",1/(1+EXP(-(B521-$B$15)/$B$21)))</f>
        <v>0.491701664536301</v>
      </c>
      <c r="H521" s="21" t="n">
        <f aca="false">IF(B521="","",MAX(ABS($A521/$B$6-D521),ABS(($A521-1)/$B$6-D521)))</f>
        <v>0.00869891450340782</v>
      </c>
      <c r="I521" s="21" t="n">
        <f aca="false">IF(B521="","",MAX(ABS($A521/$B$6-E521),ABS(($A521-1)/$B$6-E521)))</f>
        <v>0.0076636118822877</v>
      </c>
      <c r="J521" s="21" t="n">
        <f aca="false">IF(B521="","",MAX(ABS($A521/$B$6-F521),ABS(($A521-1)/$B$6-F521)))</f>
        <v>0.00211230986012068</v>
      </c>
      <c r="K521" s="21" t="n">
        <f aca="false">IF(B521="","",MAX(ABS($A521/$B$6-G521),ABS(($A521-1)/$B$6-G521)))</f>
        <v>0.00770166453630067</v>
      </c>
    </row>
    <row r="522" customFormat="false" ht="15" hidden="false" customHeight="false" outlineLevel="0" collapsed="false">
      <c r="A522" s="11" t="n">
        <v>486</v>
      </c>
      <c r="B522" s="9" t="n">
        <f aca="false">IF(A522&gt;$B$6,"",SMALL(BTC_Data!$C$3:$C$1002,A522))</f>
        <v>-3.39455277120759E-005</v>
      </c>
      <c r="C522" s="21" t="n">
        <f aca="false">IF(B522="","",A522/$B$6)</f>
        <v>0.486</v>
      </c>
      <c r="D522" s="21" t="n">
        <f aca="false">IF(B522="","",NORMDIST(B522,$B$15,$B$16,TRUE()))</f>
        <v>0.49303825215833</v>
      </c>
      <c r="E522" s="21" t="n">
        <f aca="false">IF(B522="","",IF(B522&gt;=$B$15,1-TDIST((B522-$B$15)/$B$18,$B$17,1),TDIST(($B$15-B522)/$B$18,$B$17,1)))</f>
        <v>0.492051043848115</v>
      </c>
      <c r="F522" s="21" t="n">
        <f aca="false">IF(B522="","",IF(B522&lt;$B$19,0.5*EXP((B522-$B$19)/$B$20),1-0.5*EXP(-(B522-$B$19)/$B$20)))</f>
        <v>0.486690555380301</v>
      </c>
      <c r="G522" s="21" t="n">
        <f aca="false">IF(B522="","",1/(1+EXP(-(B522-$B$15)/$B$21)))</f>
        <v>0.492087326211494</v>
      </c>
      <c r="H522" s="21" t="n">
        <f aca="false">IF(B522="","",MAX(ABS($A522/$B$6-D522),ABS(($A522-1)/$B$6-D522)))</f>
        <v>0.00803825215833015</v>
      </c>
      <c r="I522" s="21" t="n">
        <f aca="false">IF(B522="","",MAX(ABS($A522/$B$6-E522),ABS(($A522-1)/$B$6-E522)))</f>
        <v>0.00705104384811539</v>
      </c>
      <c r="J522" s="21" t="n">
        <f aca="false">IF(B522="","",MAX(ABS($A522/$B$6-F522),ABS(($A522-1)/$B$6-F522)))</f>
        <v>0.00169055538030066</v>
      </c>
      <c r="K522" s="21" t="n">
        <f aca="false">IF(B522="","",MAX(ABS($A522/$B$6-G522),ABS(($A522-1)/$B$6-G522)))</f>
        <v>0.00708732621149372</v>
      </c>
    </row>
    <row r="523" customFormat="false" ht="15" hidden="false" customHeight="false" outlineLevel="0" collapsed="false">
      <c r="A523" s="11" t="n">
        <v>487</v>
      </c>
      <c r="B523" s="9" t="n">
        <f aca="false">IF(A523&gt;$B$6,"",SMALL(BTC_Data!$C$3:$C$1002,A523))</f>
        <v>-3.2945038714316E-005</v>
      </c>
      <c r="C523" s="21" t="n">
        <f aca="false">IF(B523="","",A523/$B$6)</f>
        <v>0.487</v>
      </c>
      <c r="D523" s="21" t="n">
        <f aca="false">IF(B523="","",NORMDIST(B523,$B$15,$B$16,TRUE()))</f>
        <v>0.493351686414017</v>
      </c>
      <c r="E523" s="21" t="n">
        <f aca="false">IF(B523="","",IF(B523&gt;=$B$15,1-TDIST((B523-$B$15)/$B$18,$B$17,1),TDIST(($B$15-B523)/$B$18,$B$17,1)))</f>
        <v>0.492408904196433</v>
      </c>
      <c r="F523" s="21" t="n">
        <f aca="false">IF(B523="","",IF(B523&lt;$B$19,0.5*EXP((B523-$B$19)/$B$20),1-0.5*EXP(-(B523-$B$19)/$B$20)))</f>
        <v>0.48722526384507</v>
      </c>
      <c r="G523" s="21" t="n">
        <f aca="false">IF(B523="","",1/(1+EXP(-(B523-$B$15)/$B$21)))</f>
        <v>0.492443551619252</v>
      </c>
      <c r="H523" s="21" t="n">
        <f aca="false">IF(B523="","",MAX(ABS($A523/$B$6-D523),ABS(($A523-1)/$B$6-D523)))</f>
        <v>0.00735168641401701</v>
      </c>
      <c r="I523" s="21" t="n">
        <f aca="false">IF(B523="","",MAX(ABS($A523/$B$6-E523),ABS(($A523-1)/$B$6-E523)))</f>
        <v>0.00640890419643259</v>
      </c>
      <c r="J523" s="21" t="n">
        <f aca="false">IF(B523="","",MAX(ABS($A523/$B$6-F523),ABS(($A523-1)/$B$6-F523)))</f>
        <v>0.00122526384506988</v>
      </c>
      <c r="K523" s="21" t="n">
        <f aca="false">IF(B523="","",MAX(ABS($A523/$B$6-G523),ABS(($A523-1)/$B$6-G523)))</f>
        <v>0.00644355161925181</v>
      </c>
    </row>
    <row r="524" customFormat="false" ht="15" hidden="false" customHeight="false" outlineLevel="0" collapsed="false">
      <c r="A524" s="11" t="n">
        <v>488</v>
      </c>
      <c r="B524" s="9" t="n">
        <f aca="false">IF(A524&gt;$B$6,"",SMALL(BTC_Data!$C$3:$C$1002,A524))</f>
        <v>-3.24367636260758E-005</v>
      </c>
      <c r="C524" s="21" t="n">
        <f aca="false">IF(B524="","",A524/$B$6)</f>
        <v>0.488</v>
      </c>
      <c r="D524" s="21" t="n">
        <f aca="false">IF(B524="","",NORMDIST(B524,$B$15,$B$16,TRUE()))</f>
        <v>0.493510920957879</v>
      </c>
      <c r="E524" s="21" t="n">
        <f aca="false">IF(B524="","",IF(B524&gt;=$B$15,1-TDIST((B524-$B$15)/$B$18,$B$17,1),TDIST(($B$15-B524)/$B$18,$B$17,1)))</f>
        <v>0.492590709689798</v>
      </c>
      <c r="F524" s="21" t="n">
        <f aca="false">IF(B524="","",IF(B524&lt;$B$19,0.5*EXP((B524-$B$19)/$B$20),1-0.5*EXP(-(B524-$B$19)/$B$20)))</f>
        <v>0.487497134995563</v>
      </c>
      <c r="G524" s="21" t="n">
        <f aca="false">IF(B524="","",1/(1+EXP(-(B524-$B$15)/$B$21)))</f>
        <v>0.492624526586837</v>
      </c>
      <c r="H524" s="21" t="n">
        <f aca="false">IF(B524="","",MAX(ABS($A524/$B$6-D524),ABS(($A524-1)/$B$6-D524)))</f>
        <v>0.00651092095787903</v>
      </c>
      <c r="I524" s="21" t="n">
        <f aca="false">IF(B524="","",MAX(ABS($A524/$B$6-E524),ABS(($A524-1)/$B$6-E524)))</f>
        <v>0.00559070968979808</v>
      </c>
      <c r="J524" s="21" t="n">
        <f aca="false">IF(B524="","",MAX(ABS($A524/$B$6-F524),ABS(($A524-1)/$B$6-F524)))</f>
        <v>0.000502865004436581</v>
      </c>
      <c r="K524" s="21" t="n">
        <f aca="false">IF(B524="","",MAX(ABS($A524/$B$6-G524),ABS(($A524-1)/$B$6-G524)))</f>
        <v>0.00562452658683738</v>
      </c>
    </row>
    <row r="525" customFormat="false" ht="15" hidden="false" customHeight="false" outlineLevel="0" collapsed="false">
      <c r="A525" s="11" t="n">
        <v>489</v>
      </c>
      <c r="B525" s="9" t="n">
        <f aca="false">IF(A525&gt;$B$6,"",SMALL(BTC_Data!$C$3:$C$1002,A525))</f>
        <v>-3.19284553402799E-005</v>
      </c>
      <c r="C525" s="21" t="n">
        <f aca="false">IF(B525="","",A525/$B$6)</f>
        <v>0.489</v>
      </c>
      <c r="D525" s="21" t="n">
        <f aca="false">IF(B525="","",NORMDIST(B525,$B$15,$B$16,TRUE()))</f>
        <v>0.493670166936102</v>
      </c>
      <c r="E525" s="21" t="n">
        <f aca="false">IF(B525="","",IF(B525&gt;=$B$15,1-TDIST((B525-$B$15)/$B$18,$B$17,1),TDIST(($B$15-B525)/$B$18,$B$17,1)))</f>
        <v>0.492772528946609</v>
      </c>
      <c r="F525" s="21" t="n">
        <f aca="false">IF(B525="","",IF(B525&lt;$B$19,0.5*EXP((B525-$B$19)/$B$20),1-0.5*EXP(-(B525-$B$19)/$B$20)))</f>
        <v>0.487769175621752</v>
      </c>
      <c r="G525" s="21" t="n">
        <f aca="false">IF(B525="","",1/(1+EXP(-(B525-$B$15)/$B$21)))</f>
        <v>0.492805515307767</v>
      </c>
      <c r="H525" s="21" t="n">
        <f aca="false">IF(B525="","",MAX(ABS($A525/$B$6-D525),ABS(($A525-1)/$B$6-D525)))</f>
        <v>0.00567016693610234</v>
      </c>
      <c r="I525" s="21" t="n">
        <f aca="false">IF(B525="","",MAX(ABS($A525/$B$6-E525),ABS(($A525-1)/$B$6-E525)))</f>
        <v>0.00477252894660907</v>
      </c>
      <c r="J525" s="21" t="n">
        <f aca="false">IF(B525="","",MAX(ABS($A525/$B$6-F525),ABS(($A525-1)/$B$6-F525)))</f>
        <v>0.00123082437824801</v>
      </c>
      <c r="K525" s="21" t="n">
        <f aca="false">IF(B525="","",MAX(ABS($A525/$B$6-G525),ABS(($A525-1)/$B$6-G525)))</f>
        <v>0.00480551530776718</v>
      </c>
    </row>
    <row r="526" customFormat="false" ht="15" hidden="false" customHeight="false" outlineLevel="0" collapsed="false">
      <c r="A526" s="11" t="n">
        <v>490</v>
      </c>
      <c r="B526" s="9" t="n">
        <f aca="false">IF(A526&gt;$B$6,"",SMALL(BTC_Data!$C$3:$C$1002,A526))</f>
        <v>-2.43444998455633E-005</v>
      </c>
      <c r="C526" s="21" t="n">
        <f aca="false">IF(B526="","",A526/$B$6)</f>
        <v>0.49</v>
      </c>
      <c r="D526" s="21" t="n">
        <f aca="false">IF(B526="","",NORMDIST(B526,$B$15,$B$16,TRUE()))</f>
        <v>0.49604622145656</v>
      </c>
      <c r="E526" s="21" t="n">
        <f aca="false">IF(B526="","",IF(B526&gt;=$B$15,1-TDIST((B526-$B$15)/$B$18,$B$17,1),TDIST(($B$15-B526)/$B$18,$B$17,1)))</f>
        <v>0.495485464086929</v>
      </c>
      <c r="F526" s="21" t="n">
        <f aca="false">IF(B526="","",IF(B526&lt;$B$19,0.5*EXP((B526-$B$19)/$B$20),1-0.5*EXP(-(B526-$B$19)/$B$20)))</f>
        <v>0.491846095539775</v>
      </c>
      <c r="G526" s="21" t="n">
        <f aca="false">IF(B526="","",1/(1+EXP(-(B526-$B$15)/$B$21)))</f>
        <v>0.495506063377743</v>
      </c>
      <c r="H526" s="21" t="n">
        <f aca="false">IF(B526="","",MAX(ABS($A526/$B$6-D526),ABS(($A526-1)/$B$6-D526)))</f>
        <v>0.00704622145655987</v>
      </c>
      <c r="I526" s="21" t="n">
        <f aca="false">IF(B526="","",MAX(ABS($A526/$B$6-E526),ABS(($A526-1)/$B$6-E526)))</f>
        <v>0.00648546408692907</v>
      </c>
      <c r="J526" s="21" t="n">
        <f aca="false">IF(B526="","",MAX(ABS($A526/$B$6-F526),ABS(($A526-1)/$B$6-F526)))</f>
        <v>0.00284609553977494</v>
      </c>
      <c r="K526" s="21" t="n">
        <f aca="false">IF(B526="","",MAX(ABS($A526/$B$6-G526),ABS(($A526-1)/$B$6-G526)))</f>
        <v>0.00650606337774295</v>
      </c>
    </row>
    <row r="527" customFormat="false" ht="15" hidden="false" customHeight="false" outlineLevel="0" collapsed="false">
      <c r="A527" s="11" t="n">
        <v>491</v>
      </c>
      <c r="B527" s="9" t="n">
        <f aca="false">IF(A527&gt;$B$6,"",SMALL(BTC_Data!$C$3:$C$1002,A527))</f>
        <v>-2.07862416602422E-005</v>
      </c>
      <c r="C527" s="21" t="n">
        <f aca="false">IF(B527="","",A527/$B$6)</f>
        <v>0.491</v>
      </c>
      <c r="D527" s="21" t="n">
        <f aca="false">IF(B527="","",NORMDIST(B527,$B$15,$B$16,TRUE()))</f>
        <v>0.497161077824216</v>
      </c>
      <c r="E527" s="21" t="n">
        <f aca="false">IF(B527="","",IF(B527&gt;=$B$15,1-TDIST((B527-$B$15)/$B$18,$B$17,1),TDIST(($B$15-B527)/$B$18,$B$17,1)))</f>
        <v>0.496758423123797</v>
      </c>
      <c r="F527" s="21" t="n">
        <f aca="false">IF(B527="","",IF(B527&lt;$B$19,0.5*EXP((B527-$B$19)/$B$20),1-0.5*EXP(-(B527-$B$19)/$B$20)))</f>
        <v>0.49377064173811</v>
      </c>
      <c r="G527" s="21" t="n">
        <f aca="false">IF(B527="","",1/(1+EXP(-(B527-$B$15)/$B$21)))</f>
        <v>0.496773212904121</v>
      </c>
      <c r="H527" s="21" t="n">
        <f aca="false">IF(B527="","",MAX(ABS($A527/$B$6-D527),ABS(($A527-1)/$B$6-D527)))</f>
        <v>0.00716107782421638</v>
      </c>
      <c r="I527" s="21" t="n">
        <f aca="false">IF(B527="","",MAX(ABS($A527/$B$6-E527),ABS(($A527-1)/$B$6-E527)))</f>
        <v>0.00675842312379715</v>
      </c>
      <c r="J527" s="21" t="n">
        <f aca="false">IF(B527="","",MAX(ABS($A527/$B$6-F527),ABS(($A527-1)/$B$6-F527)))</f>
        <v>0.0037706417381102</v>
      </c>
      <c r="K527" s="21" t="n">
        <f aca="false">IF(B527="","",MAX(ABS($A527/$B$6-G527),ABS(($A527-1)/$B$6-G527)))</f>
        <v>0.00677321290412142</v>
      </c>
    </row>
    <row r="528" customFormat="false" ht="15" hidden="false" customHeight="false" outlineLevel="0" collapsed="false">
      <c r="A528" s="11" t="n">
        <v>492</v>
      </c>
      <c r="B528" s="9" t="n">
        <f aca="false">IF(A528&gt;$B$6,"",SMALL(BTC_Data!$C$3:$C$1002,A528))</f>
        <v>-1.91014394448352E-005</v>
      </c>
      <c r="C528" s="21" t="n">
        <f aca="false">IF(B528="","",A528/$B$6)</f>
        <v>0.492</v>
      </c>
      <c r="D528" s="21" t="n">
        <f aca="false">IF(B528="","",NORMDIST(B528,$B$15,$B$16,TRUE()))</f>
        <v>0.497688960231223</v>
      </c>
      <c r="E528" s="21" t="n">
        <f aca="false">IF(B528="","",IF(B528&gt;=$B$15,1-TDIST((B528-$B$15)/$B$18,$B$17,1),TDIST(($B$15-B528)/$B$18,$B$17,1)))</f>
        <v>0.49736117251305</v>
      </c>
      <c r="F528" s="21" t="n">
        <f aca="false">IF(B528="","",IF(B528&lt;$B$19,0.5*EXP((B528-$B$19)/$B$20),1-0.5*EXP(-(B528-$B$19)/$B$20)))</f>
        <v>0.494684521671308</v>
      </c>
      <c r="G528" s="21" t="n">
        <f aca="false">IF(B528="","",1/(1+EXP(-(B528-$B$15)/$B$21)))</f>
        <v>0.497373211897322</v>
      </c>
      <c r="H528" s="21" t="n">
        <f aca="false">IF(B528="","",MAX(ABS($A528/$B$6-D528),ABS(($A528-1)/$B$6-D528)))</f>
        <v>0.00668896023122317</v>
      </c>
      <c r="I528" s="21" t="n">
        <f aca="false">IF(B528="","",MAX(ABS($A528/$B$6-E528),ABS(($A528-1)/$B$6-E528)))</f>
        <v>0.00636117251305024</v>
      </c>
      <c r="J528" s="21" t="n">
        <f aca="false">IF(B528="","",MAX(ABS($A528/$B$6-F528),ABS(($A528-1)/$B$6-F528)))</f>
        <v>0.00368452167130801</v>
      </c>
      <c r="K528" s="21" t="n">
        <f aca="false">IF(B528="","",MAX(ABS($A528/$B$6-G528),ABS(($A528-1)/$B$6-G528)))</f>
        <v>0.00637321189732221</v>
      </c>
    </row>
    <row r="529" customFormat="false" ht="15" hidden="false" customHeight="false" outlineLevel="0" collapsed="false">
      <c r="A529" s="11" t="n">
        <v>493</v>
      </c>
      <c r="B529" s="9" t="n">
        <f aca="false">IF(A529&gt;$B$6,"",SMALL(BTC_Data!$C$3:$C$1002,A529))</f>
        <v>-1.87362593258023E-005</v>
      </c>
      <c r="C529" s="21" t="n">
        <f aca="false">IF(B529="","",A529/$B$6)</f>
        <v>0.493</v>
      </c>
      <c r="D529" s="21" t="n">
        <f aca="false">IF(B529="","",NORMDIST(B529,$B$15,$B$16,TRUE()))</f>
        <v>0.497803379069862</v>
      </c>
      <c r="E529" s="21" t="n">
        <f aca="false">IF(B529="","",IF(B529&gt;=$B$15,1-TDIST((B529-$B$15)/$B$18,$B$17,1),TDIST(($B$15-B529)/$B$18,$B$17,1)))</f>
        <v>0.497491819203805</v>
      </c>
      <c r="F529" s="21" t="n">
        <f aca="false">IF(B529="","",IF(B529&lt;$B$19,0.5*EXP((B529-$B$19)/$B$20),1-0.5*EXP(-(B529-$B$19)/$B$20)))</f>
        <v>0.494882827666096</v>
      </c>
      <c r="G529" s="21" t="n">
        <f aca="false">IF(B529="","",1/(1+EXP(-(B529-$B$15)/$B$21)))</f>
        <v>0.497503262465138</v>
      </c>
      <c r="H529" s="21" t="n">
        <f aca="false">IF(B529="","",MAX(ABS($A529/$B$6-D529),ABS(($A529-1)/$B$6-D529)))</f>
        <v>0.00580337906986234</v>
      </c>
      <c r="I529" s="21" t="n">
        <f aca="false">IF(B529="","",MAX(ABS($A529/$B$6-E529),ABS(($A529-1)/$B$6-E529)))</f>
        <v>0.00549181920380487</v>
      </c>
      <c r="J529" s="21" t="n">
        <f aca="false">IF(B529="","",MAX(ABS($A529/$B$6-F529),ABS(($A529-1)/$B$6-F529)))</f>
        <v>0.00288282766609549</v>
      </c>
      <c r="K529" s="21" t="n">
        <f aca="false">IF(B529="","",MAX(ABS($A529/$B$6-G529),ABS(($A529-1)/$B$6-G529)))</f>
        <v>0.00550326246513766</v>
      </c>
    </row>
    <row r="530" customFormat="false" ht="15" hidden="false" customHeight="false" outlineLevel="0" collapsed="false">
      <c r="A530" s="11" t="n">
        <v>494</v>
      </c>
      <c r="B530" s="9" t="n">
        <f aca="false">IF(A530&gt;$B$6,"",SMALL(BTC_Data!$C$3:$C$1002,A530))</f>
        <v>-1.78148990557236E-005</v>
      </c>
      <c r="C530" s="21" t="n">
        <f aca="false">IF(B530="","",A530/$B$6)</f>
        <v>0.494</v>
      </c>
      <c r="D530" s="21" t="n">
        <f aca="false">IF(B530="","",NORMDIST(B530,$B$15,$B$16,TRUE()))</f>
        <v>0.498092061974771</v>
      </c>
      <c r="E530" s="21" t="n">
        <f aca="false">IF(B530="","",IF(B530&gt;=$B$15,1-TDIST((B530-$B$15)/$B$18,$B$17,1),TDIST(($B$15-B530)/$B$18,$B$17,1)))</f>
        <v>0.497821446107364</v>
      </c>
      <c r="F530" s="21" t="n">
        <f aca="false">IF(B530="","",IF(B530&lt;$B$19,0.5*EXP((B530-$B$19)/$B$20),1-0.5*EXP(-(B530-$B$19)/$B$20)))</f>
        <v>0.495383512950623</v>
      </c>
      <c r="G530" s="21" t="n">
        <f aca="false">IF(B530="","",1/(1+EXP(-(B530-$B$15)/$B$21)))</f>
        <v>0.497831385366245</v>
      </c>
      <c r="H530" s="21" t="n">
        <f aca="false">IF(B530="","",MAX(ABS($A530/$B$6-D530),ABS(($A530-1)/$B$6-D530)))</f>
        <v>0.0050920619747713</v>
      </c>
      <c r="I530" s="21" t="n">
        <f aca="false">IF(B530="","",MAX(ABS($A530/$B$6-E530),ABS(($A530-1)/$B$6-E530)))</f>
        <v>0.00482144610736424</v>
      </c>
      <c r="J530" s="21" t="n">
        <f aca="false">IF(B530="","",MAX(ABS($A530/$B$6-F530),ABS(($A530-1)/$B$6-F530)))</f>
        <v>0.00238351295062283</v>
      </c>
      <c r="K530" s="21" t="n">
        <f aca="false">IF(B530="","",MAX(ABS($A530/$B$6-G530),ABS(($A530-1)/$B$6-G530)))</f>
        <v>0.00483138536624511</v>
      </c>
    </row>
    <row r="531" customFormat="false" ht="15" hidden="false" customHeight="false" outlineLevel="0" collapsed="false">
      <c r="A531" s="11" t="n">
        <v>495</v>
      </c>
      <c r="B531" s="9" t="n">
        <f aca="false">IF(A531&gt;$B$6,"",SMALL(BTC_Data!$C$3:$C$1002,A531))</f>
        <v>-1.70645750984244E-005</v>
      </c>
      <c r="C531" s="21" t="n">
        <f aca="false">IF(B531="","",A531/$B$6)</f>
        <v>0.495</v>
      </c>
      <c r="D531" s="21" t="n">
        <f aca="false">IF(B531="","",NORMDIST(B531,$B$15,$B$16,TRUE()))</f>
        <v>0.498327156099255</v>
      </c>
      <c r="E531" s="21" t="n">
        <f aca="false">IF(B531="","",IF(B531&gt;=$B$15,1-TDIST((B531-$B$15)/$B$18,$B$17,1),TDIST(($B$15-B531)/$B$18,$B$17,1)))</f>
        <v>0.498089884225187</v>
      </c>
      <c r="F531" s="21" t="n">
        <f aca="false">IF(B531="","",IF(B531&lt;$B$19,0.5*EXP((B531-$B$19)/$B$20),1-0.5*EXP(-(B531-$B$19)/$B$20)))</f>
        <v>0.495791627949211</v>
      </c>
      <c r="G531" s="21" t="n">
        <f aca="false">IF(B531="","",1/(1+EXP(-(B531-$B$15)/$B$21)))</f>
        <v>0.498098598708289</v>
      </c>
      <c r="H531" s="21" t="n">
        <f aca="false">IF(B531="","",MAX(ABS($A531/$B$6-D531),ABS(($A531-1)/$B$6-D531)))</f>
        <v>0.00432715609925516</v>
      </c>
      <c r="I531" s="21" t="n">
        <f aca="false">IF(B531="","",MAX(ABS($A531/$B$6-E531),ABS(($A531-1)/$B$6-E531)))</f>
        <v>0.00408988422518714</v>
      </c>
      <c r="J531" s="21" t="n">
        <f aca="false">IF(B531="","",MAX(ABS($A531/$B$6-F531),ABS(($A531-1)/$B$6-F531)))</f>
        <v>0.00179162794921134</v>
      </c>
      <c r="K531" s="21" t="n">
        <f aca="false">IF(B531="","",MAX(ABS($A531/$B$6-G531),ABS(($A531-1)/$B$6-G531)))</f>
        <v>0.00409859870828905</v>
      </c>
    </row>
    <row r="532" customFormat="false" ht="15" hidden="false" customHeight="false" outlineLevel="0" collapsed="false">
      <c r="A532" s="11" t="n">
        <v>496</v>
      </c>
      <c r="B532" s="9" t="n">
        <f aca="false">IF(A532&gt;$B$6,"",SMALL(BTC_Data!$C$3:$C$1002,A532))</f>
        <v>-1.68900392881755E-005</v>
      </c>
      <c r="C532" s="21" t="n">
        <f aca="false">IF(B532="","",A532/$B$6)</f>
        <v>0.496</v>
      </c>
      <c r="D532" s="21" t="n">
        <f aca="false">IF(B532="","",NORMDIST(B532,$B$15,$B$16,TRUE()))</f>
        <v>0.498381842355556</v>
      </c>
      <c r="E532" s="21" t="n">
        <f aca="false">IF(B532="","",IF(B532&gt;=$B$15,1-TDIST((B532-$B$15)/$B$18,$B$17,1),TDIST(($B$15-B532)/$B$18,$B$17,1)))</f>
        <v>0.498152326830405</v>
      </c>
      <c r="F532" s="21" t="n">
        <f aca="false">IF(B532="","",IF(B532&lt;$B$19,0.5*EXP((B532-$B$19)/$B$20),1-0.5*EXP(-(B532-$B$19)/$B$20)))</f>
        <v>0.495886609376945</v>
      </c>
      <c r="G532" s="21" t="n">
        <f aca="false">IF(B532="","",1/(1+EXP(-(B532-$B$15)/$B$21)))</f>
        <v>0.498160756417294</v>
      </c>
      <c r="H532" s="21" t="n">
        <f aca="false">IF(B532="","",MAX(ABS($A532/$B$6-D532),ABS(($A532-1)/$B$6-D532)))</f>
        <v>0.00338184235555583</v>
      </c>
      <c r="I532" s="21" t="n">
        <f aca="false">IF(B532="","",MAX(ABS($A532/$B$6-E532),ABS(($A532-1)/$B$6-E532)))</f>
        <v>0.00315232683040456</v>
      </c>
      <c r="J532" s="21" t="n">
        <f aca="false">IF(B532="","",MAX(ABS($A532/$B$6-F532),ABS(($A532-1)/$B$6-F532)))</f>
        <v>0.000886609376944847</v>
      </c>
      <c r="K532" s="21" t="n">
        <f aca="false">IF(B532="","",MAX(ABS($A532/$B$6-G532),ABS(($A532-1)/$B$6-G532)))</f>
        <v>0.00316075641729352</v>
      </c>
    </row>
    <row r="533" customFormat="false" ht="15" hidden="false" customHeight="false" outlineLevel="0" collapsed="false">
      <c r="A533" s="11" t="n">
        <v>497</v>
      </c>
      <c r="B533" s="9" t="n">
        <f aca="false">IF(A533&gt;$B$6,"",SMALL(BTC_Data!$C$3:$C$1002,A533))</f>
        <v>-1.42415335526724E-005</v>
      </c>
      <c r="C533" s="21" t="n">
        <f aca="false">IF(B533="","",A533/$B$6)</f>
        <v>0.497</v>
      </c>
      <c r="D533" s="21" t="n">
        <f aca="false">IF(B533="","",NORMDIST(B533,$B$15,$B$16,TRUE()))</f>
        <v>0.499211685873293</v>
      </c>
      <c r="E533" s="21" t="n">
        <f aca="false">IF(B533="","",IF(B533&gt;=$B$15,1-TDIST((B533-$B$15)/$B$18,$B$17,1),TDIST(($B$15-B533)/$B$18,$B$17,1)))</f>
        <v>0.499099872194932</v>
      </c>
      <c r="F533" s="21" t="n">
        <f aca="false">IF(B533="","",IF(B533&lt;$B$19,0.5*EXP((B533-$B$19)/$B$20),1-0.5*EXP(-(B533-$B$19)/$B$20)))</f>
        <v>0.497330146694159</v>
      </c>
      <c r="G533" s="21" t="n">
        <f aca="false">IF(B533="","",1/(1+EXP(-(B533-$B$15)/$B$21)))</f>
        <v>0.499103978738297</v>
      </c>
      <c r="H533" s="21" t="n">
        <f aca="false">IF(B533="","",MAX(ABS($A533/$B$6-D533),ABS(($A533-1)/$B$6-D533)))</f>
        <v>0.00321168587329301</v>
      </c>
      <c r="I533" s="21" t="n">
        <f aca="false">IF(B533="","",MAX(ABS($A533/$B$6-E533),ABS(($A533-1)/$B$6-E533)))</f>
        <v>0.00309987219493169</v>
      </c>
      <c r="J533" s="21" t="n">
        <f aca="false">IF(B533="","",MAX(ABS($A533/$B$6-F533),ABS(($A533-1)/$B$6-F533)))</f>
        <v>0.00133014669415854</v>
      </c>
      <c r="K533" s="21" t="n">
        <f aca="false">IF(B533="","",MAX(ABS($A533/$B$6-G533),ABS(($A533-1)/$B$6-G533)))</f>
        <v>0.00310397873829693</v>
      </c>
    </row>
    <row r="534" customFormat="false" ht="15" hidden="false" customHeight="false" outlineLevel="0" collapsed="false">
      <c r="A534" s="11" t="n">
        <v>498</v>
      </c>
      <c r="B534" s="9" t="n">
        <f aca="false">IF(A534&gt;$B$6,"",SMALL(BTC_Data!$C$3:$C$1002,A534))</f>
        <v>-1.21644111501507E-005</v>
      </c>
      <c r="C534" s="21" t="n">
        <f aca="false">IF(B534="","",A534/$B$6)</f>
        <v>0.498</v>
      </c>
      <c r="D534" s="21" t="n">
        <f aca="false">IF(B534="","",NORMDIST(B534,$B$15,$B$16,TRUE()))</f>
        <v>0.49986250317656</v>
      </c>
      <c r="E534" s="21" t="n">
        <f aca="false">IF(B534="","",IF(B534&gt;=$B$15,1-TDIST((B534-$B$15)/$B$18,$B$17,1),TDIST(($B$15-B534)/$B$18,$B$17,1)))</f>
        <v>0.499843000707108</v>
      </c>
      <c r="F534" s="21" t="n">
        <f aca="false">IF(B534="","",IF(B534&lt;$B$19,0.5*EXP((B534-$B$19)/$B$20),1-0.5*EXP(-(B534-$B$19)/$B$20)))</f>
        <v>0.498465197650409</v>
      </c>
      <c r="G534" s="21" t="n">
        <f aca="false">IF(B534="","",1/(1+EXP(-(B534-$B$15)/$B$21)))</f>
        <v>0.49984371696107</v>
      </c>
      <c r="H534" s="21" t="n">
        <f aca="false">IF(B534="","",MAX(ABS($A534/$B$6-D534),ABS(($A534-1)/$B$6-D534)))</f>
        <v>0.00286250317656028</v>
      </c>
      <c r="I534" s="21" t="n">
        <f aca="false">IF(B534="","",MAX(ABS($A534/$B$6-E534),ABS(($A534-1)/$B$6-E534)))</f>
        <v>0.00284300070710841</v>
      </c>
      <c r="J534" s="21" t="n">
        <f aca="false">IF(B534="","",MAX(ABS($A534/$B$6-F534),ABS(($A534-1)/$B$6-F534)))</f>
        <v>0.00146519765040876</v>
      </c>
      <c r="K534" s="21" t="n">
        <f aca="false">IF(B534="","",MAX(ABS($A534/$B$6-G534),ABS(($A534-1)/$B$6-G534)))</f>
        <v>0.00284371696107016</v>
      </c>
    </row>
    <row r="535" customFormat="false" ht="15" hidden="false" customHeight="false" outlineLevel="0" collapsed="false">
      <c r="A535" s="11" t="n">
        <v>499</v>
      </c>
      <c r="B535" s="9" t="n">
        <f aca="false">IF(A535&gt;$B$6,"",SMALL(BTC_Data!$C$3:$C$1002,A535))</f>
        <v>-1.08821040597507E-005</v>
      </c>
      <c r="C535" s="21" t="n">
        <f aca="false">IF(B535="","",A535/$B$6)</f>
        <v>0.499</v>
      </c>
      <c r="D535" s="21" t="n">
        <f aca="false">IF(B535="","",NORMDIST(B535,$B$15,$B$16,TRUE()))</f>
        <v>0.5002642841453</v>
      </c>
      <c r="E535" s="21" t="n">
        <f aca="false">IF(B535="","",IF(B535&gt;=$B$15,1-TDIST((B535-$B$15)/$B$18,$B$17,1),TDIST(($B$15-B535)/$B$18,$B$17,1)))</f>
        <v>0.500301770045688</v>
      </c>
      <c r="F535" s="21" t="n">
        <f aca="false">IF(B535="","",IF(B535&lt;$B$19,0.5*EXP((B535-$B$19)/$B$20),1-0.5*EXP(-(B535-$B$19)/$B$20)))</f>
        <v>0.4991672118345</v>
      </c>
      <c r="G535" s="21" t="n">
        <f aca="false">IF(B535="","",1/(1+EXP(-(B535-$B$15)/$B$21)))</f>
        <v>0.500300393324836</v>
      </c>
      <c r="H535" s="21" t="n">
        <f aca="false">IF(B535="","",MAX(ABS($A535/$B$6-D535),ABS(($A535-1)/$B$6-D535)))</f>
        <v>0.00226428414530011</v>
      </c>
      <c r="I535" s="21" t="n">
        <f aca="false">IF(B535="","",MAX(ABS($A535/$B$6-E535),ABS(($A535-1)/$B$6-E535)))</f>
        <v>0.00230177004568766</v>
      </c>
      <c r="J535" s="21" t="n">
        <f aca="false">IF(B535="","",MAX(ABS($A535/$B$6-F535),ABS(($A535-1)/$B$6-F535)))</f>
        <v>0.00116721183450041</v>
      </c>
      <c r="K535" s="21" t="n">
        <f aca="false">IF(B535="","",MAX(ABS($A535/$B$6-G535),ABS(($A535-1)/$B$6-G535)))</f>
        <v>0.00230039332483623</v>
      </c>
    </row>
    <row r="536" customFormat="false" ht="15" hidden="false" customHeight="false" outlineLevel="0" collapsed="false">
      <c r="A536" s="11" t="n">
        <v>500</v>
      </c>
      <c r="B536" s="9" t="n">
        <f aca="false">IF(A536&gt;$B$6,"",SMALL(BTC_Data!$C$3:$C$1002,A536))</f>
        <v>-1.06040138776464E-005</v>
      </c>
      <c r="C536" s="21" t="n">
        <f aca="false">IF(B536="","",A536/$B$6)</f>
        <v>0.5</v>
      </c>
      <c r="D536" s="21" t="n">
        <f aca="false">IF(B536="","",NORMDIST(B536,$B$15,$B$16,TRUE()))</f>
        <v>0.500351417185618</v>
      </c>
      <c r="E536" s="21" t="n">
        <f aca="false">IF(B536="","",IF(B536&gt;=$B$15,1-TDIST((B536-$B$15)/$B$18,$B$17,1),TDIST(($B$15-B536)/$B$18,$B$17,1)))</f>
        <v>0.500401261969339</v>
      </c>
      <c r="F536" s="21" t="n">
        <f aca="false">IF(B536="","",IF(B536&lt;$B$19,0.5*EXP((B536-$B$19)/$B$20),1-0.5*EXP(-(B536-$B$19)/$B$20)))</f>
        <v>0.499319586001972</v>
      </c>
      <c r="G536" s="21" t="n">
        <f aca="false">IF(B536="","",1/(1+EXP(-(B536-$B$15)/$B$21)))</f>
        <v>0.500399431350101</v>
      </c>
      <c r="H536" s="21" t="n">
        <f aca="false">IF(B536="","",MAX(ABS($A536/$B$6-D536),ABS(($A536-1)/$B$6-D536)))</f>
        <v>0.00135141718561749</v>
      </c>
      <c r="I536" s="21" t="n">
        <f aca="false">IF(B536="","",MAX(ABS($A536/$B$6-E536),ABS(($A536-1)/$B$6-E536)))</f>
        <v>0.00140126196933865</v>
      </c>
      <c r="J536" s="21" t="n">
        <f aca="false">IF(B536="","",MAX(ABS($A536/$B$6-F536),ABS(($A536-1)/$B$6-F536)))</f>
        <v>0.000680413998027762</v>
      </c>
      <c r="K536" s="21" t="n">
        <f aca="false">IF(B536="","",MAX(ABS($A536/$B$6-G536),ABS(($A536-1)/$B$6-G536)))</f>
        <v>0.00139943135010068</v>
      </c>
    </row>
    <row r="537" customFormat="false" ht="15" hidden="false" customHeight="false" outlineLevel="0" collapsed="false">
      <c r="A537" s="11" t="n">
        <v>501</v>
      </c>
      <c r="B537" s="9" t="n">
        <f aca="false">IF(A537&gt;$B$6,"",SMALL(BTC_Data!$C$3:$C$1002,A537))</f>
        <v>-8.12250669057768E-006</v>
      </c>
      <c r="C537" s="21" t="n">
        <f aca="false">IF(B537="","",A537/$B$6)</f>
        <v>0.501</v>
      </c>
      <c r="D537" s="21" t="n">
        <f aca="false">IF(B537="","",NORMDIST(B537,$B$15,$B$16,TRUE()))</f>
        <v>0.501128938069583</v>
      </c>
      <c r="E537" s="21" t="n">
        <f aca="false">IF(B537="","",IF(B537&gt;=$B$15,1-TDIST((B537-$B$15)/$B$18,$B$17,1),TDIST(($B$15-B537)/$B$18,$B$17,1)))</f>
        <v>0.501289064974474</v>
      </c>
      <c r="F537" s="21" t="n">
        <f aca="false">IF(B537="","",IF(B537&lt;$B$19,0.5*EXP((B537-$B$19)/$B$20),1-0.5*EXP(-(B537-$B$19)/$B$20)))</f>
        <v>0.500680413998028</v>
      </c>
      <c r="G537" s="21" t="n">
        <f aca="false">IF(B537="","",1/(1+EXP(-(B537-$B$15)/$B$21)))</f>
        <v>0.501283183991085</v>
      </c>
      <c r="H537" s="21" t="n">
        <f aca="false">IF(B537="","",MAX(ABS($A537/$B$6-D537),ABS(($A537-1)/$B$6-D537)))</f>
        <v>0.00112893806958325</v>
      </c>
      <c r="I537" s="21" t="n">
        <f aca="false">IF(B537="","",MAX(ABS($A537/$B$6-E537),ABS(($A537-1)/$B$6-E537)))</f>
        <v>0.00128906497447367</v>
      </c>
      <c r="J537" s="21" t="n">
        <f aca="false">IF(B537="","",MAX(ABS($A537/$B$6-F537),ABS(($A537-1)/$B$6-F537)))</f>
        <v>0.000680413998027762</v>
      </c>
      <c r="K537" s="21" t="n">
        <f aca="false">IF(B537="","",MAX(ABS($A537/$B$6-G537),ABS(($A537-1)/$B$6-G537)))</f>
        <v>0.00128318399108529</v>
      </c>
    </row>
    <row r="538" customFormat="false" ht="15" hidden="false" customHeight="false" outlineLevel="0" collapsed="false">
      <c r="A538" s="11" t="n">
        <v>502</v>
      </c>
      <c r="B538" s="9" t="n">
        <f aca="false">IF(A538&gt;$B$6,"",SMALL(BTC_Data!$C$3:$C$1002,A538))</f>
        <v>-5.57313722515662E-006</v>
      </c>
      <c r="C538" s="21" t="n">
        <f aca="false">IF(B538="","",A538/$B$6)</f>
        <v>0.502</v>
      </c>
      <c r="D538" s="21" t="n">
        <f aca="false">IF(B538="","",NORMDIST(B538,$B$15,$B$16,TRUE()))</f>
        <v>0.501927717480499</v>
      </c>
      <c r="E538" s="21" t="n">
        <f aca="false">IF(B538="","",IF(B538&gt;=$B$15,1-TDIST((B538-$B$15)/$B$18,$B$17,1),TDIST(($B$15-B538)/$B$18,$B$17,1)))</f>
        <v>0.502201138698073</v>
      </c>
      <c r="F538" s="21" t="n">
        <f aca="false">IF(B538="","",IF(B538&lt;$B$19,0.5*EXP((B538-$B$19)/$B$20),1-0.5*EXP(-(B538-$B$19)/$B$20)))</f>
        <v>0.502075552450673</v>
      </c>
      <c r="G538" s="21" t="n">
        <f aca="false">IF(B538="","",1/(1+EXP(-(B538-$B$15)/$B$21)))</f>
        <v>0.502191096392271</v>
      </c>
      <c r="H538" s="21" t="n">
        <f aca="false">IF(B538="","",MAX(ABS($A538/$B$6-D538),ABS(($A538-1)/$B$6-D538)))</f>
        <v>0.000927717480499246</v>
      </c>
      <c r="I538" s="21" t="n">
        <f aca="false">IF(B538="","",MAX(ABS($A538/$B$6-E538),ABS(($A538-1)/$B$6-E538)))</f>
        <v>0.00120113869807248</v>
      </c>
      <c r="J538" s="21" t="n">
        <f aca="false">IF(B538="","",MAX(ABS($A538/$B$6-F538),ABS(($A538-1)/$B$6-F538)))</f>
        <v>0.00107555245067303</v>
      </c>
      <c r="K538" s="21" t="n">
        <f aca="false">IF(B538="","",MAX(ABS($A538/$B$6-G538),ABS(($A538-1)/$B$6-G538)))</f>
        <v>0.00119109639227055</v>
      </c>
    </row>
    <row r="539" customFormat="false" ht="15" hidden="false" customHeight="false" outlineLevel="0" collapsed="false">
      <c r="A539" s="11" t="n">
        <v>503</v>
      </c>
      <c r="B539" s="9" t="n">
        <f aca="false">IF(A539&gt;$B$6,"",SMALL(BTC_Data!$C$3:$C$1002,A539))</f>
        <v>-2.12498362073266E-006</v>
      </c>
      <c r="C539" s="21" t="n">
        <f aca="false">IF(B539="","",A539/$B$6)</f>
        <v>0.503</v>
      </c>
      <c r="D539" s="21" t="n">
        <f aca="false">IF(B539="","",NORMDIST(B539,$B$15,$B$16,TRUE()))</f>
        <v>0.503008094911235</v>
      </c>
      <c r="E539" s="21" t="n">
        <f aca="false">IF(B539="","",IF(B539&gt;=$B$15,1-TDIST((B539-$B$15)/$B$18,$B$17,1),TDIST(($B$15-B539)/$B$18,$B$17,1)))</f>
        <v>0.503434741863867</v>
      </c>
      <c r="F539" s="21" t="n">
        <f aca="false">IF(B539="","",IF(B539&lt;$B$19,0.5*EXP((B539-$B$19)/$B$20),1-0.5*EXP(-(B539-$B$19)/$B$20)))</f>
        <v>0.503956349337321</v>
      </c>
      <c r="G539" s="21" t="n">
        <f aca="false">IF(B539="","",1/(1+EXP(-(B539-$B$15)/$B$21)))</f>
        <v>0.50341907060404</v>
      </c>
      <c r="H539" s="21" t="n">
        <f aca="false">IF(B539="","",MAX(ABS($A539/$B$6-D539),ABS(($A539-1)/$B$6-D539)))</f>
        <v>0.00100809491123488</v>
      </c>
      <c r="I539" s="21" t="n">
        <f aca="false">IF(B539="","",MAX(ABS($A539/$B$6-E539),ABS(($A539-1)/$B$6-E539)))</f>
        <v>0.0014347418638665</v>
      </c>
      <c r="J539" s="21" t="n">
        <f aca="false">IF(B539="","",MAX(ABS($A539/$B$6-F539),ABS(($A539-1)/$B$6-F539)))</f>
        <v>0.00195634933732114</v>
      </c>
      <c r="K539" s="21" t="n">
        <f aca="false">IF(B539="","",MAX(ABS($A539/$B$6-G539),ABS(($A539-1)/$B$6-G539)))</f>
        <v>0.0014190706040399</v>
      </c>
    </row>
    <row r="540" customFormat="false" ht="15" hidden="false" customHeight="false" outlineLevel="0" collapsed="false">
      <c r="A540" s="11" t="n">
        <v>504</v>
      </c>
      <c r="B540" s="9" t="n">
        <f aca="false">IF(A540&gt;$B$6,"",SMALL(BTC_Data!$C$3:$C$1002,A540))</f>
        <v>1.34361425518925E-006</v>
      </c>
      <c r="C540" s="21" t="n">
        <f aca="false">IF(B540="","",A540/$B$6)</f>
        <v>0.504</v>
      </c>
      <c r="D540" s="21" t="n">
        <f aca="false">IF(B540="","",NORMDIST(B540,$B$15,$B$16,TRUE()))</f>
        <v>0.504094855678992</v>
      </c>
      <c r="E540" s="21" t="n">
        <f aca="false">IF(B540="","",IF(B540&gt;=$B$15,1-TDIST((B540-$B$15)/$B$18,$B$17,1),TDIST(($B$15-B540)/$B$18,$B$17,1)))</f>
        <v>0.504675618431739</v>
      </c>
      <c r="F540" s="21" t="n">
        <f aca="false">IF(B540="","",IF(B540&lt;$B$19,0.5*EXP((B540-$B$19)/$B$20),1-0.5*EXP(-(B540-$B$19)/$B$20)))</f>
        <v>0.505841130022494</v>
      </c>
      <c r="G540" s="21" t="n">
        <f aca="false">IF(B540="","",1/(1+EXP(-(B540-$B$15)/$B$21)))</f>
        <v>0.504654283891892</v>
      </c>
      <c r="H540" s="21" t="n">
        <f aca="false">IF(B540="","",MAX(ABS($A540/$B$6-D540),ABS(($A540-1)/$B$6-D540)))</f>
        <v>0.0010948556789917</v>
      </c>
      <c r="I540" s="21" t="n">
        <f aca="false">IF(B540="","",MAX(ABS($A540/$B$6-E540),ABS(($A540-1)/$B$6-E540)))</f>
        <v>0.00167561843173891</v>
      </c>
      <c r="J540" s="21" t="n">
        <f aca="false">IF(B540="","",MAX(ABS($A540/$B$6-F540),ABS(($A540-1)/$B$6-F540)))</f>
        <v>0.00284113002249353</v>
      </c>
      <c r="K540" s="21" t="n">
        <f aca="false">IF(B540="","",MAX(ABS($A540/$B$6-G540),ABS(($A540-1)/$B$6-G540)))</f>
        <v>0.00165428389189237</v>
      </c>
    </row>
    <row r="541" customFormat="false" ht="15" hidden="false" customHeight="false" outlineLevel="0" collapsed="false">
      <c r="A541" s="11" t="n">
        <v>505</v>
      </c>
      <c r="B541" s="9" t="n">
        <f aca="false">IF(A541&gt;$B$6,"",SMALL(BTC_Data!$C$3:$C$1002,A541))</f>
        <v>1.88116651034242E-006</v>
      </c>
      <c r="C541" s="21" t="n">
        <f aca="false">IF(B541="","",A541/$B$6)</f>
        <v>0.505</v>
      </c>
      <c r="D541" s="21" t="n">
        <f aca="false">IF(B541="","",NORMDIST(B541,$B$15,$B$16,TRUE()))</f>
        <v>0.504263275886274</v>
      </c>
      <c r="E541" s="21" t="n">
        <f aca="false">IF(B541="","",IF(B541&gt;=$B$15,1-TDIST((B541-$B$15)/$B$18,$B$17,1),TDIST(($B$15-B541)/$B$18,$B$17,1)))</f>
        <v>0.504867920934345</v>
      </c>
      <c r="F541" s="21" t="n">
        <f aca="false">IF(B541="","",IF(B541&lt;$B$19,0.5*EXP((B541-$B$19)/$B$20),1-0.5*EXP(-(B541-$B$19)/$B$20)))</f>
        <v>0.506132585713263</v>
      </c>
      <c r="G541" s="21" t="n">
        <f aca="false">IF(B541="","",1/(1+EXP(-(B541-$B$15)/$B$21)))</f>
        <v>0.504845708609898</v>
      </c>
      <c r="H541" s="21" t="n">
        <f aca="false">IF(B541="","",MAX(ABS($A541/$B$6-D541),ABS(($A541-1)/$B$6-D541)))</f>
        <v>0.000736724113725606</v>
      </c>
      <c r="I541" s="21" t="n">
        <f aca="false">IF(B541="","",MAX(ABS($A541/$B$6-E541),ABS(($A541-1)/$B$6-E541)))</f>
        <v>0.000867920934344624</v>
      </c>
      <c r="J541" s="21" t="n">
        <f aca="false">IF(B541="","",MAX(ABS($A541/$B$6-F541),ABS(($A541-1)/$B$6-F541)))</f>
        <v>0.00213258571326258</v>
      </c>
      <c r="K541" s="21" t="n">
        <f aca="false">IF(B541="","",MAX(ABS($A541/$B$6-G541),ABS(($A541-1)/$B$6-G541)))</f>
        <v>0.000845708609897966</v>
      </c>
    </row>
    <row r="542" customFormat="false" ht="15" hidden="false" customHeight="false" outlineLevel="0" collapsed="false">
      <c r="A542" s="11" t="n">
        <v>506</v>
      </c>
      <c r="B542" s="9" t="n">
        <f aca="false">IF(A542&gt;$B$6,"",SMALL(BTC_Data!$C$3:$C$1002,A542))</f>
        <v>6.56295889767122E-006</v>
      </c>
      <c r="C542" s="21" t="n">
        <f aca="false">IF(B542="","",A542/$B$6)</f>
        <v>0.506</v>
      </c>
      <c r="D542" s="21" t="n">
        <f aca="false">IF(B542="","",NORMDIST(B542,$B$15,$B$16,TRUE()))</f>
        <v>0.505730090344739</v>
      </c>
      <c r="E542" s="21" t="n">
        <f aca="false">IF(B542="","",IF(B542&gt;=$B$15,1-TDIST((B542-$B$15)/$B$18,$B$17,1),TDIST(($B$15-B542)/$B$18,$B$17,1)))</f>
        <v>0.506542708139371</v>
      </c>
      <c r="F542" s="21" t="n">
        <f aca="false">IF(B542="","",IF(B542&lt;$B$19,0.5*EXP((B542-$B$19)/$B$20),1-0.5*EXP(-(B542-$B$19)/$B$20)))</f>
        <v>0.50866375142739</v>
      </c>
      <c r="G542" s="21" t="n">
        <f aca="false">IF(B542="","",1/(1+EXP(-(B542-$B$15)/$B$21)))</f>
        <v>0.506512849269327</v>
      </c>
      <c r="H542" s="21" t="n">
        <f aca="false">IF(B542="","",MAX(ABS($A542/$B$6-D542),ABS(($A542-1)/$B$6-D542)))</f>
        <v>0.000730090344739032</v>
      </c>
      <c r="I542" s="21" t="n">
        <f aca="false">IF(B542="","",MAX(ABS($A542/$B$6-E542),ABS(($A542-1)/$B$6-E542)))</f>
        <v>0.00154270813937074</v>
      </c>
      <c r="J542" s="21" t="n">
        <f aca="false">IF(B542="","",MAX(ABS($A542/$B$6-F542),ABS(($A542-1)/$B$6-F542)))</f>
        <v>0.00366375142738962</v>
      </c>
      <c r="K542" s="21" t="n">
        <f aca="false">IF(B542="","",MAX(ABS($A542/$B$6-G542),ABS(($A542-1)/$B$6-G542)))</f>
        <v>0.00151284926932738</v>
      </c>
    </row>
    <row r="543" customFormat="false" ht="15" hidden="false" customHeight="false" outlineLevel="0" collapsed="false">
      <c r="A543" s="11" t="n">
        <v>507</v>
      </c>
      <c r="B543" s="9" t="n">
        <f aca="false">IF(A543&gt;$B$6,"",SMALL(BTC_Data!$C$3:$C$1002,A543))</f>
        <v>8.1835244958306E-006</v>
      </c>
      <c r="C543" s="21" t="n">
        <f aca="false">IF(B543="","",A543/$B$6)</f>
        <v>0.507</v>
      </c>
      <c r="D543" s="21" t="n">
        <f aca="false">IF(B543="","",NORMDIST(B543,$B$15,$B$16,TRUE()))</f>
        <v>0.506237799586691</v>
      </c>
      <c r="E543" s="21" t="n">
        <f aca="false">IF(B543="","",IF(B543&gt;=$B$15,1-TDIST((B543-$B$15)/$B$18,$B$17,1),TDIST(($B$15-B543)/$B$18,$B$17,1)))</f>
        <v>0.507122391421487</v>
      </c>
      <c r="F543" s="21" t="n">
        <f aca="false">IF(B543="","",IF(B543&lt;$B$19,0.5*EXP((B543-$B$19)/$B$20),1-0.5*EXP(-(B543-$B$19)/$B$20)))</f>
        <v>0.509536868780769</v>
      </c>
      <c r="G543" s="21" t="n">
        <f aca="false">IF(B543="","",1/(1+EXP(-(B543-$B$15)/$B$21)))</f>
        <v>0.507089885032149</v>
      </c>
      <c r="H543" s="21" t="n">
        <f aca="false">IF(B543="","",MAX(ABS($A543/$B$6-D543),ABS(($A543-1)/$B$6-D543)))</f>
        <v>0.000762200413308656</v>
      </c>
      <c r="I543" s="21" t="n">
        <f aca="false">IF(B543="","",MAX(ABS($A543/$B$6-E543),ABS(($A543-1)/$B$6-E543)))</f>
        <v>0.00112239142148729</v>
      </c>
      <c r="J543" s="21" t="n">
        <f aca="false">IF(B543="","",MAX(ABS($A543/$B$6-F543),ABS(($A543-1)/$B$6-F543)))</f>
        <v>0.00353686878076931</v>
      </c>
      <c r="K543" s="21" t="n">
        <f aca="false">IF(B543="","",MAX(ABS($A543/$B$6-G543),ABS(($A543-1)/$B$6-G543)))</f>
        <v>0.00108988503214924</v>
      </c>
    </row>
    <row r="544" customFormat="false" ht="15" hidden="false" customHeight="false" outlineLevel="0" collapsed="false">
      <c r="A544" s="11" t="n">
        <v>508</v>
      </c>
      <c r="B544" s="9" t="n">
        <f aca="false">IF(A544&gt;$B$6,"",SMALL(BTC_Data!$C$3:$C$1002,A544))</f>
        <v>8.19695750298166E-006</v>
      </c>
      <c r="C544" s="21" t="n">
        <f aca="false">IF(B544="","",A544/$B$6)</f>
        <v>0.508</v>
      </c>
      <c r="D544" s="21" t="n">
        <f aca="false">IF(B544="","",NORMDIST(B544,$B$15,$B$16,TRUE()))</f>
        <v>0.506242007991028</v>
      </c>
      <c r="E544" s="21" t="n">
        <f aca="false">IF(B544="","",IF(B544&gt;=$B$15,1-TDIST((B544-$B$15)/$B$18,$B$17,1),TDIST(($B$15-B544)/$B$18,$B$17,1)))</f>
        <v>0.507127196390834</v>
      </c>
      <c r="F544" s="21" t="n">
        <f aca="false">IF(B544="","",IF(B544&lt;$B$19,0.5*EXP((B544-$B$19)/$B$20),1-0.5*EXP(-(B544-$B$19)/$B$20)))</f>
        <v>0.509544099637761</v>
      </c>
      <c r="G544" s="21" t="n">
        <f aca="false">IF(B544="","",1/(1+EXP(-(B544-$B$15)/$B$21)))</f>
        <v>0.507094668054236</v>
      </c>
      <c r="H544" s="21" t="n">
        <f aca="false">IF(B544="","",MAX(ABS($A544/$B$6-D544),ABS(($A544-1)/$B$6-D544)))</f>
        <v>0.00175799200897209</v>
      </c>
      <c r="I544" s="21" t="n">
        <f aca="false">IF(B544="","",MAX(ABS($A544/$B$6-E544),ABS(($A544-1)/$B$6-E544)))</f>
        <v>0.000872803609166306</v>
      </c>
      <c r="J544" s="21" t="n">
        <f aca="false">IF(B544="","",MAX(ABS($A544/$B$6-F544),ABS(($A544-1)/$B$6-F544)))</f>
        <v>0.00254409963776114</v>
      </c>
      <c r="K544" s="21" t="n">
        <f aca="false">IF(B544="","",MAX(ABS($A544/$B$6-G544),ABS(($A544-1)/$B$6-G544)))</f>
        <v>0.00090533194576381</v>
      </c>
    </row>
    <row r="545" customFormat="false" ht="15" hidden="false" customHeight="false" outlineLevel="0" collapsed="false">
      <c r="A545" s="11" t="n">
        <v>509</v>
      </c>
      <c r="B545" s="9" t="n">
        <f aca="false">IF(A545&gt;$B$6,"",SMALL(BTC_Data!$C$3:$C$1002,A545))</f>
        <v>8.67228717038593E-006</v>
      </c>
      <c r="C545" s="21" t="n">
        <f aca="false">IF(B545="","",A545/$B$6)</f>
        <v>0.509</v>
      </c>
      <c r="D545" s="21" t="n">
        <f aca="false">IF(B545="","",NORMDIST(B545,$B$15,$B$16,TRUE()))</f>
        <v>0.506390922776607</v>
      </c>
      <c r="E545" s="21" t="n">
        <f aca="false">IF(B545="","",IF(B545&gt;=$B$15,1-TDIST((B545-$B$15)/$B$18,$B$17,1),TDIST(($B$15-B545)/$B$18,$B$17,1)))</f>
        <v>0.50729722037735</v>
      </c>
      <c r="F545" s="21" t="n">
        <f aca="false">IF(B545="","",IF(B545&lt;$B$19,0.5*EXP((B545-$B$19)/$B$20),1-0.5*EXP(-(B545-$B$19)/$B$20)))</f>
        <v>0.509799896356287</v>
      </c>
      <c r="G545" s="21" t="n">
        <f aca="false">IF(B545="","",1/(1+EXP(-(B545-$B$15)/$B$21)))</f>
        <v>0.507263915412986</v>
      </c>
      <c r="H545" s="21" t="n">
        <f aca="false">IF(B545="","",MAX(ABS($A545/$B$6-D545),ABS(($A545-1)/$B$6-D545)))</f>
        <v>0.00260907722339321</v>
      </c>
      <c r="I545" s="21" t="n">
        <f aca="false">IF(B545="","",MAX(ABS($A545/$B$6-E545),ABS(($A545-1)/$B$6-E545)))</f>
        <v>0.00170277962264975</v>
      </c>
      <c r="J545" s="21" t="n">
        <f aca="false">IF(B545="","",MAX(ABS($A545/$B$6-F545),ABS(($A545-1)/$B$6-F545)))</f>
        <v>0.00179989635628708</v>
      </c>
      <c r="K545" s="21" t="n">
        <f aca="false">IF(B545="","",MAX(ABS($A545/$B$6-G545),ABS(($A545-1)/$B$6-G545)))</f>
        <v>0.00173608458701358</v>
      </c>
    </row>
    <row r="546" customFormat="false" ht="15" hidden="false" customHeight="false" outlineLevel="0" collapsed="false">
      <c r="A546" s="11" t="n">
        <v>510</v>
      </c>
      <c r="B546" s="9" t="n">
        <f aca="false">IF(A546&gt;$B$6,"",SMALL(BTC_Data!$C$3:$C$1002,A546))</f>
        <v>1.14720898896081E-005</v>
      </c>
      <c r="C546" s="21" t="n">
        <f aca="false">IF(B546="","",A546/$B$6)</f>
        <v>0.51</v>
      </c>
      <c r="D546" s="21" t="n">
        <f aca="false">IF(B546="","",NORMDIST(B546,$B$15,$B$16,TRUE()))</f>
        <v>0.507268046872551</v>
      </c>
      <c r="E546" s="21" t="n">
        <f aca="false">IF(B546="","",IF(B546&gt;=$B$15,1-TDIST((B546-$B$15)/$B$18,$B$17,1),TDIST(($B$15-B546)/$B$18,$B$17,1)))</f>
        <v>0.50829866708725</v>
      </c>
      <c r="F546" s="21" t="n">
        <f aca="false">IF(B546="","",IF(B546&lt;$B$19,0.5*EXP((B546-$B$19)/$B$20),1-0.5*EXP(-(B546-$B$19)/$B$20)))</f>
        <v>0.511303893813376</v>
      </c>
      <c r="G546" s="21" t="n">
        <f aca="false">IF(B546="","",1/(1+EXP(-(B546-$B$15)/$B$21)))</f>
        <v>0.508260786803367</v>
      </c>
      <c r="H546" s="21" t="n">
        <f aca="false">IF(B546="","",MAX(ABS($A546/$B$6-D546),ABS(($A546-1)/$B$6-D546)))</f>
        <v>0.00273195312744934</v>
      </c>
      <c r="I546" s="21" t="n">
        <f aca="false">IF(B546="","",MAX(ABS($A546/$B$6-E546),ABS(($A546-1)/$B$6-E546)))</f>
        <v>0.00170133291274999</v>
      </c>
      <c r="J546" s="21" t="n">
        <f aca="false">IF(B546="","",MAX(ABS($A546/$B$6-F546),ABS(($A546-1)/$B$6-F546)))</f>
        <v>0.00230389381337637</v>
      </c>
      <c r="K546" s="21" t="n">
        <f aca="false">IF(B546="","",MAX(ABS($A546/$B$6-G546),ABS(($A546-1)/$B$6-G546)))</f>
        <v>0.00173921319663339</v>
      </c>
    </row>
    <row r="547" customFormat="false" ht="15" hidden="false" customHeight="false" outlineLevel="0" collapsed="false">
      <c r="A547" s="11" t="n">
        <v>511</v>
      </c>
      <c r="B547" s="9" t="n">
        <f aca="false">IF(A547&gt;$B$6,"",SMALL(BTC_Data!$C$3:$C$1002,A547))</f>
        <v>1.321993842196E-005</v>
      </c>
      <c r="C547" s="21" t="n">
        <f aca="false">IF(B547="","",A547/$B$6)</f>
        <v>0.511</v>
      </c>
      <c r="D547" s="21" t="n">
        <f aca="false">IF(B547="","",NORMDIST(B547,$B$15,$B$16,TRUE()))</f>
        <v>0.507815596500364</v>
      </c>
      <c r="E547" s="21" t="n">
        <f aca="false">IF(B547="","",IF(B547&gt;=$B$15,1-TDIST((B547-$B$15)/$B$18,$B$17,1),TDIST(($B$15-B547)/$B$18,$B$17,1)))</f>
        <v>0.50892381378511</v>
      </c>
      <c r="F547" s="21" t="n">
        <f aca="false">IF(B547="","",IF(B547&lt;$B$19,0.5*EXP((B547-$B$19)/$B$20),1-0.5*EXP(-(B547-$B$19)/$B$20)))</f>
        <v>0.512240462312995</v>
      </c>
      <c r="G547" s="21" t="n">
        <f aca="false">IF(B547="","",1/(1+EXP(-(B547-$B$15)/$B$21)))</f>
        <v>0.508883076492092</v>
      </c>
      <c r="H547" s="21" t="n">
        <f aca="false">IF(B547="","",MAX(ABS($A547/$B$6-D547),ABS(($A547-1)/$B$6-D547)))</f>
        <v>0.00318440349963589</v>
      </c>
      <c r="I547" s="21" t="n">
        <f aca="false">IF(B547="","",MAX(ABS($A547/$B$6-E547),ABS(($A547-1)/$B$6-E547)))</f>
        <v>0.00207618621489025</v>
      </c>
      <c r="J547" s="21" t="n">
        <f aca="false">IF(B547="","",MAX(ABS($A547/$B$6-F547),ABS(($A547-1)/$B$6-F547)))</f>
        <v>0.00224046231299502</v>
      </c>
      <c r="K547" s="21" t="n">
        <f aca="false">IF(B547="","",MAX(ABS($A547/$B$6-G547),ABS(($A547-1)/$B$6-G547)))</f>
        <v>0.00211692350790838</v>
      </c>
    </row>
    <row r="548" customFormat="false" ht="15" hidden="false" customHeight="false" outlineLevel="0" collapsed="false">
      <c r="A548" s="11" t="n">
        <v>512</v>
      </c>
      <c r="B548" s="9" t="n">
        <f aca="false">IF(A548&gt;$B$6,"",SMALL(BTC_Data!$C$3:$C$1002,A548))</f>
        <v>1.48255186225299E-005</v>
      </c>
      <c r="C548" s="21" t="n">
        <f aca="false">IF(B548="","",A548/$B$6)</f>
        <v>0.512</v>
      </c>
      <c r="D548" s="21" t="n">
        <f aca="false">IF(B548="","",NORMDIST(B548,$B$15,$B$16,TRUE()))</f>
        <v>0.508318564684601</v>
      </c>
      <c r="E548" s="21" t="n">
        <f aca="false">IF(B548="","",IF(B548&gt;=$B$15,1-TDIST((B548-$B$15)/$B$18,$B$17,1),TDIST(($B$15-B548)/$B$18,$B$17,1)))</f>
        <v>0.509498052221921</v>
      </c>
      <c r="F548" s="21" t="n">
        <f aca="false">IF(B548="","",IF(B548&lt;$B$19,0.5*EXP((B548-$B$19)/$B$20),1-0.5*EXP(-(B548-$B$19)/$B$20)))</f>
        <v>0.51309921585964</v>
      </c>
      <c r="G548" s="21" t="n">
        <f aca="false">IF(B548="","",1/(1+EXP(-(B548-$B$15)/$B$21)))</f>
        <v>0.509454689917069</v>
      </c>
      <c r="H548" s="21" t="n">
        <f aca="false">IF(B548="","",MAX(ABS($A548/$B$6-D548),ABS(($A548-1)/$B$6-D548)))</f>
        <v>0.00368143531539877</v>
      </c>
      <c r="I548" s="21" t="n">
        <f aca="false">IF(B548="","",MAX(ABS($A548/$B$6-E548),ABS(($A548-1)/$B$6-E548)))</f>
        <v>0.00250194777807877</v>
      </c>
      <c r="J548" s="21" t="n">
        <f aca="false">IF(B548="","",MAX(ABS($A548/$B$6-F548),ABS(($A548-1)/$B$6-F548)))</f>
        <v>0.00209921585963946</v>
      </c>
      <c r="K548" s="21" t="n">
        <f aca="false">IF(B548="","",MAX(ABS($A548/$B$6-G548),ABS(($A548-1)/$B$6-G548)))</f>
        <v>0.00254531008293057</v>
      </c>
    </row>
    <row r="549" customFormat="false" ht="15" hidden="false" customHeight="false" outlineLevel="0" collapsed="false">
      <c r="A549" s="11" t="n">
        <v>513</v>
      </c>
      <c r="B549" s="9" t="n">
        <f aca="false">IF(A549&gt;$B$6,"",SMALL(BTC_Data!$C$3:$C$1002,A549))</f>
        <v>1.51587090739813E-005</v>
      </c>
      <c r="C549" s="21" t="n">
        <f aca="false">IF(B549="","",A549/$B$6)</f>
        <v>0.513</v>
      </c>
      <c r="D549" s="21" t="n">
        <f aca="false">IF(B549="","",NORMDIST(B549,$B$15,$B$16,TRUE()))</f>
        <v>0.508422939151966</v>
      </c>
      <c r="E549" s="21" t="n">
        <f aca="false">IF(B549="","",IF(B549&gt;=$B$15,1-TDIST((B549-$B$15)/$B$18,$B$17,1),TDIST(($B$15-B549)/$B$18,$B$17,1)))</f>
        <v>0.509617215364176</v>
      </c>
      <c r="F549" s="21" t="n">
        <f aca="false">IF(B549="","",IF(B549&lt;$B$19,0.5*EXP((B549-$B$19)/$B$20),1-0.5*EXP(-(B549-$B$19)/$B$20)))</f>
        <v>0.513277235113917</v>
      </c>
      <c r="G549" s="21" t="n">
        <f aca="false">IF(B549="","",1/(1+EXP(-(B549-$B$15)/$B$21)))</f>
        <v>0.509573308246584</v>
      </c>
      <c r="H549" s="21" t="n">
        <f aca="false">IF(B549="","",MAX(ABS($A549/$B$6-D549),ABS(($A549-1)/$B$6-D549)))</f>
        <v>0.00457706084803378</v>
      </c>
      <c r="I549" s="21" t="n">
        <f aca="false">IF(B549="","",MAX(ABS($A549/$B$6-E549),ABS(($A549-1)/$B$6-E549)))</f>
        <v>0.00338278463582398</v>
      </c>
      <c r="J549" s="21" t="n">
        <f aca="false">IF(B549="","",MAX(ABS($A549/$B$6-F549),ABS(($A549-1)/$B$6-F549)))</f>
        <v>0.00127723511391742</v>
      </c>
      <c r="K549" s="21" t="n">
        <f aca="false">IF(B549="","",MAX(ABS($A549/$B$6-G549),ABS(($A549-1)/$B$6-G549)))</f>
        <v>0.00342669175341603</v>
      </c>
    </row>
    <row r="550" customFormat="false" ht="15" hidden="false" customHeight="false" outlineLevel="0" collapsed="false">
      <c r="A550" s="11" t="n">
        <v>514</v>
      </c>
      <c r="B550" s="9" t="n">
        <f aca="false">IF(A550&gt;$B$6,"",SMALL(BTC_Data!$C$3:$C$1002,A550))</f>
        <v>2.32102251376265E-005</v>
      </c>
      <c r="C550" s="21" t="n">
        <f aca="false">IF(B550="","",A550/$B$6)</f>
        <v>0.514</v>
      </c>
      <c r="D550" s="21" t="n">
        <f aca="false">IF(B550="","",NORMDIST(B550,$B$15,$B$16,TRUE()))</f>
        <v>0.510944946260641</v>
      </c>
      <c r="E550" s="21" t="n">
        <f aca="false">IF(B550="","",IF(B550&gt;=$B$15,1-TDIST((B550-$B$15)/$B$18,$B$17,1),TDIST(($B$15-B550)/$B$18,$B$17,1)))</f>
        <v>0.512496430637392</v>
      </c>
      <c r="F550" s="21" t="n">
        <f aca="false">IF(B550="","",IF(B550&lt;$B$19,0.5*EXP((B550-$B$19)/$B$20),1-0.5*EXP(-(B550-$B$19)/$B$20)))</f>
        <v>0.517559319568583</v>
      </c>
      <c r="G550" s="21" t="n">
        <f aca="false">IF(B550="","",1/(1+EXP(-(B550-$B$15)/$B$21)))</f>
        <v>0.512439349980884</v>
      </c>
      <c r="H550" s="21" t="n">
        <f aca="false">IF(B550="","",MAX(ABS($A550/$B$6-D550),ABS(($A550-1)/$B$6-D550)))</f>
        <v>0.00305505373935866</v>
      </c>
      <c r="I550" s="21" t="n">
        <f aca="false">IF(B550="","",MAX(ABS($A550/$B$6-E550),ABS(($A550-1)/$B$6-E550)))</f>
        <v>0.00150356936260798</v>
      </c>
      <c r="J550" s="21" t="n">
        <f aca="false">IF(B550="","",MAX(ABS($A550/$B$6-F550),ABS(($A550-1)/$B$6-F550)))</f>
        <v>0.00455931956858269</v>
      </c>
      <c r="K550" s="21" t="n">
        <f aca="false">IF(B550="","",MAX(ABS($A550/$B$6-G550),ABS(($A550-1)/$B$6-G550)))</f>
        <v>0.00156065001911654</v>
      </c>
    </row>
    <row r="551" customFormat="false" ht="15" hidden="false" customHeight="false" outlineLevel="0" collapsed="false">
      <c r="A551" s="11" t="n">
        <v>515</v>
      </c>
      <c r="B551" s="9" t="n">
        <f aca="false">IF(A551&gt;$B$6,"",SMALL(BTC_Data!$C$3:$C$1002,A551))</f>
        <v>2.32348764870327E-005</v>
      </c>
      <c r="C551" s="21" t="n">
        <f aca="false">IF(B551="","",A551/$B$6)</f>
        <v>0.515</v>
      </c>
      <c r="D551" s="21" t="n">
        <f aca="false">IF(B551="","",NORMDIST(B551,$B$15,$B$16,TRUE()))</f>
        <v>0.510952667276448</v>
      </c>
      <c r="E551" s="21" t="n">
        <f aca="false">IF(B551="","",IF(B551&gt;=$B$15,1-TDIST((B551-$B$15)/$B$18,$B$17,1),TDIST(($B$15-B551)/$B$18,$B$17,1)))</f>
        <v>0.512505244805722</v>
      </c>
      <c r="F551" s="21" t="n">
        <f aca="false">IF(B551="","",IF(B551&lt;$B$19,0.5*EXP((B551-$B$19)/$B$20),1-0.5*EXP(-(B551-$B$19)/$B$20)))</f>
        <v>0.517572372020593</v>
      </c>
      <c r="G551" s="21" t="n">
        <f aca="false">IF(B551="","",1/(1+EXP(-(B551-$B$15)/$B$21)))</f>
        <v>0.512448123789318</v>
      </c>
      <c r="H551" s="21" t="n">
        <f aca="false">IF(B551="","",MAX(ABS($A551/$B$6-D551),ABS(($A551-1)/$B$6-D551)))</f>
        <v>0.00404733272355184</v>
      </c>
      <c r="I551" s="21" t="n">
        <f aca="false">IF(B551="","",MAX(ABS($A551/$B$6-E551),ABS(($A551-1)/$B$6-E551)))</f>
        <v>0.00249475519427811</v>
      </c>
      <c r="J551" s="21" t="n">
        <f aca="false">IF(B551="","",MAX(ABS($A551/$B$6-F551),ABS(($A551-1)/$B$6-F551)))</f>
        <v>0.00357237202059246</v>
      </c>
      <c r="K551" s="21" t="n">
        <f aca="false">IF(B551="","",MAX(ABS($A551/$B$6-G551),ABS(($A551-1)/$B$6-G551)))</f>
        <v>0.00255187621068187</v>
      </c>
    </row>
    <row r="552" customFormat="false" ht="15" hidden="false" customHeight="false" outlineLevel="0" collapsed="false">
      <c r="A552" s="11" t="n">
        <v>516</v>
      </c>
      <c r="B552" s="9" t="n">
        <f aca="false">IF(A552&gt;$B$6,"",SMALL(BTC_Data!$C$3:$C$1002,A552))</f>
        <v>2.59728155820316E-005</v>
      </c>
      <c r="C552" s="21" t="n">
        <f aca="false">IF(B552="","",A552/$B$6)</f>
        <v>0.516</v>
      </c>
      <c r="D552" s="21" t="n">
        <f aca="false">IF(B552="","",NORMDIST(B552,$B$15,$B$16,TRUE()))</f>
        <v>0.511810187272647</v>
      </c>
      <c r="E552" s="21" t="n">
        <f aca="false">IF(B552="","",IF(B552&gt;=$B$15,1-TDIST((B552-$B$15)/$B$18,$B$17,1),TDIST(($B$15-B552)/$B$18,$B$17,1)))</f>
        <v>0.513484155775931</v>
      </c>
      <c r="F552" s="21" t="n">
        <f aca="false">IF(B552="","",IF(B552&lt;$B$19,0.5*EXP((B552-$B$19)/$B$20),1-0.5*EXP(-(B552-$B$19)/$B$20)))</f>
        <v>0.51901986665564</v>
      </c>
      <c r="G552" s="21" t="n">
        <f aca="false">IF(B552="","",1/(1+EXP(-(B552-$B$15)/$B$21)))</f>
        <v>0.513422551011221</v>
      </c>
      <c r="H552" s="21" t="n">
        <f aca="false">IF(B552="","",MAX(ABS($A552/$B$6-D552),ABS(($A552-1)/$B$6-D552)))</f>
        <v>0.00418981272735264</v>
      </c>
      <c r="I552" s="21" t="n">
        <f aca="false">IF(B552="","",MAX(ABS($A552/$B$6-E552),ABS(($A552-1)/$B$6-E552)))</f>
        <v>0.0025158442240687</v>
      </c>
      <c r="J552" s="21" t="n">
        <f aca="false">IF(B552="","",MAX(ABS($A552/$B$6-F552),ABS(($A552-1)/$B$6-F552)))</f>
        <v>0.00401986665563991</v>
      </c>
      <c r="K552" s="21" t="n">
        <f aca="false">IF(B552="","",MAX(ABS($A552/$B$6-G552),ABS(($A552-1)/$B$6-G552)))</f>
        <v>0.00257744898877954</v>
      </c>
    </row>
    <row r="553" customFormat="false" ht="15" hidden="false" customHeight="false" outlineLevel="0" collapsed="false">
      <c r="A553" s="11" t="n">
        <v>517</v>
      </c>
      <c r="B553" s="9" t="n">
        <f aca="false">IF(A553&gt;$B$6,"",SMALL(BTC_Data!$C$3:$C$1002,A553))</f>
        <v>2.66420213974605E-005</v>
      </c>
      <c r="C553" s="21" t="n">
        <f aca="false">IF(B553="","",A553/$B$6)</f>
        <v>0.517</v>
      </c>
      <c r="D553" s="21" t="n">
        <f aca="false">IF(B553="","",NORMDIST(B553,$B$15,$B$16,TRUE()))</f>
        <v>0.512019773765007</v>
      </c>
      <c r="E553" s="21" t="n">
        <f aca="false">IF(B553="","",IF(B553&gt;=$B$15,1-TDIST((B553-$B$15)/$B$18,$B$17,1),TDIST(($B$15-B553)/$B$18,$B$17,1)))</f>
        <v>0.513723405860216</v>
      </c>
      <c r="F553" s="21" t="n">
        <f aca="false">IF(B553="","",IF(B553&lt;$B$19,0.5*EXP((B553-$B$19)/$B$20),1-0.5*EXP(-(B553-$B$19)/$B$20)))</f>
        <v>0.519373001626816</v>
      </c>
      <c r="G553" s="21" t="n">
        <f aca="false">IF(B553="","",1/(1+EXP(-(B553-$B$15)/$B$21)))</f>
        <v>0.513660704832828</v>
      </c>
      <c r="H553" s="21" t="n">
        <f aca="false">IF(B553="","",MAX(ABS($A553/$B$6-D553),ABS(($A553-1)/$B$6-D553)))</f>
        <v>0.0049802262349935</v>
      </c>
      <c r="I553" s="21" t="n">
        <f aca="false">IF(B553="","",MAX(ABS($A553/$B$6-E553),ABS(($A553-1)/$B$6-E553)))</f>
        <v>0.00327659413978376</v>
      </c>
      <c r="J553" s="21" t="n">
        <f aca="false">IF(B553="","",MAX(ABS($A553/$B$6-F553),ABS(($A553-1)/$B$6-F553)))</f>
        <v>0.00337300162681609</v>
      </c>
      <c r="K553" s="21" t="n">
        <f aca="false">IF(B553="","",MAX(ABS($A553/$B$6-G553),ABS(($A553-1)/$B$6-G553)))</f>
        <v>0.00333929516717224</v>
      </c>
    </row>
    <row r="554" customFormat="false" ht="15" hidden="false" customHeight="false" outlineLevel="0" collapsed="false">
      <c r="A554" s="11" t="n">
        <v>518</v>
      </c>
      <c r="B554" s="9" t="n">
        <f aca="false">IF(A554&gt;$B$6,"",SMALL(BTC_Data!$C$3:$C$1002,A554))</f>
        <v>2.67270031011346E-005</v>
      </c>
      <c r="C554" s="21" t="n">
        <f aca="false">IF(B554="","",A554/$B$6)</f>
        <v>0.518</v>
      </c>
      <c r="D554" s="21" t="n">
        <f aca="false">IF(B554="","",NORMDIST(B554,$B$15,$B$16,TRUE()))</f>
        <v>0.512046388684704</v>
      </c>
      <c r="E554" s="21" t="n">
        <f aca="false">IF(B554="","",IF(B554&gt;=$B$15,1-TDIST((B554-$B$15)/$B$18,$B$17,1),TDIST(($B$15-B554)/$B$18,$B$17,1)))</f>
        <v>0.513753787531294</v>
      </c>
      <c r="F554" s="21" t="n">
        <f aca="false">IF(B554="","",IF(B554&lt;$B$19,0.5*EXP((B554-$B$19)/$B$20),1-0.5*EXP(-(B554-$B$19)/$B$20)))</f>
        <v>0.519417827288047</v>
      </c>
      <c r="G554" s="21" t="n">
        <f aca="false">IF(B554="","",1/(1+EXP(-(B554-$B$15)/$B$21)))</f>
        <v>0.513690947280668</v>
      </c>
      <c r="H554" s="21" t="n">
        <f aca="false">IF(B554="","",MAX(ABS($A554/$B$6-D554),ABS(($A554-1)/$B$6-D554)))</f>
        <v>0.0059536113152957</v>
      </c>
      <c r="I554" s="21" t="n">
        <f aca="false">IF(B554="","",MAX(ABS($A554/$B$6-E554),ABS(($A554-1)/$B$6-E554)))</f>
        <v>0.00424621246870616</v>
      </c>
      <c r="J554" s="21" t="n">
        <f aca="false">IF(B554="","",MAX(ABS($A554/$B$6-F554),ABS(($A554-1)/$B$6-F554)))</f>
        <v>0.00241782728804651</v>
      </c>
      <c r="K554" s="21" t="n">
        <f aca="false">IF(B554="","",MAX(ABS($A554/$B$6-G554),ABS(($A554-1)/$B$6-G554)))</f>
        <v>0.00430905271933224</v>
      </c>
    </row>
    <row r="555" customFormat="false" ht="15" hidden="false" customHeight="false" outlineLevel="0" collapsed="false">
      <c r="A555" s="11" t="n">
        <v>519</v>
      </c>
      <c r="B555" s="9" t="n">
        <f aca="false">IF(A555&gt;$B$6,"",SMALL(BTC_Data!$C$3:$C$1002,A555))</f>
        <v>2.75185640656872E-005</v>
      </c>
      <c r="C555" s="21" t="n">
        <f aca="false">IF(B555="","",A555/$B$6)</f>
        <v>0.519</v>
      </c>
      <c r="D555" s="21" t="n">
        <f aca="false">IF(B555="","",NORMDIST(B555,$B$15,$B$16,TRUE()))</f>
        <v>0.512294290412399</v>
      </c>
      <c r="E555" s="21" t="n">
        <f aca="false">IF(B555="","",IF(B555&gt;=$B$15,1-TDIST((B555-$B$15)/$B$18,$B$17,1),TDIST(($B$15-B555)/$B$18,$B$17,1)))</f>
        <v>0.514036772473376</v>
      </c>
      <c r="F555" s="21" t="n">
        <f aca="false">IF(B555="","",IF(B555&lt;$B$19,0.5*EXP((B555-$B$19)/$B$20),1-0.5*EXP(-(B555-$B$19)/$B$20)))</f>
        <v>0.519835154546837</v>
      </c>
      <c r="G555" s="21" t="n">
        <f aca="false">IF(B555="","",1/(1+EXP(-(B555-$B$15)/$B$21)))</f>
        <v>0.513972635319396</v>
      </c>
      <c r="H555" s="21" t="n">
        <f aca="false">IF(B555="","",MAX(ABS($A555/$B$6-D555),ABS(($A555-1)/$B$6-D555)))</f>
        <v>0.00670570958760142</v>
      </c>
      <c r="I555" s="21" t="n">
        <f aca="false">IF(B555="","",MAX(ABS($A555/$B$6-E555),ABS(($A555-1)/$B$6-E555)))</f>
        <v>0.00496322752662448</v>
      </c>
      <c r="J555" s="21" t="n">
        <f aca="false">IF(B555="","",MAX(ABS($A555/$B$6-F555),ABS(($A555-1)/$B$6-F555)))</f>
        <v>0.00183515454683714</v>
      </c>
      <c r="K555" s="21" t="n">
        <f aca="false">IF(B555="","",MAX(ABS($A555/$B$6-G555),ABS(($A555-1)/$B$6-G555)))</f>
        <v>0.00502736468060439</v>
      </c>
    </row>
    <row r="556" customFormat="false" ht="15" hidden="false" customHeight="false" outlineLevel="0" collapsed="false">
      <c r="A556" s="11" t="n">
        <v>520</v>
      </c>
      <c r="B556" s="9" t="n">
        <f aca="false">IF(A556&gt;$B$6,"",SMALL(BTC_Data!$C$3:$C$1002,A556))</f>
        <v>2.9433144193014E-005</v>
      </c>
      <c r="C556" s="21" t="n">
        <f aca="false">IF(B556="","",A556/$B$6)</f>
        <v>0.52</v>
      </c>
      <c r="D556" s="21" t="n">
        <f aca="false">IF(B556="","",NORMDIST(B556,$B$15,$B$16,TRUE()))</f>
        <v>0.512893880397856</v>
      </c>
      <c r="E556" s="21" t="n">
        <f aca="false">IF(B556="","",IF(B556&gt;=$B$15,1-TDIST((B556-$B$15)/$B$18,$B$17,1),TDIST(($B$15-B556)/$B$18,$B$17,1)))</f>
        <v>0.514721203252893</v>
      </c>
      <c r="F556" s="21" t="n">
        <f aca="false">IF(B556="","",IF(B556&lt;$B$19,0.5*EXP((B556-$B$19)/$B$20),1-0.5*EXP(-(B556-$B$19)/$B$20)))</f>
        <v>0.520843062932403</v>
      </c>
      <c r="G556" s="21" t="n">
        <f aca="false">IF(B556="","",1/(1+EXP(-(B556-$B$15)/$B$21)))</f>
        <v>0.514653928383472</v>
      </c>
      <c r="H556" s="21" t="n">
        <f aca="false">IF(B556="","",MAX(ABS($A556/$B$6-D556),ABS(($A556-1)/$B$6-D556)))</f>
        <v>0.00710611960214358</v>
      </c>
      <c r="I556" s="21" t="n">
        <f aca="false">IF(B556="","",MAX(ABS($A556/$B$6-E556),ABS(($A556-1)/$B$6-E556)))</f>
        <v>0.00527879674710718</v>
      </c>
      <c r="J556" s="21" t="n">
        <f aca="false">IF(B556="","",MAX(ABS($A556/$B$6-F556),ABS(($A556-1)/$B$6-F556)))</f>
        <v>0.00184306293240255</v>
      </c>
      <c r="K556" s="21" t="n">
        <f aca="false">IF(B556="","",MAX(ABS($A556/$B$6-G556),ABS(($A556-1)/$B$6-G556)))</f>
        <v>0.00534607161652789</v>
      </c>
    </row>
    <row r="557" customFormat="false" ht="15" hidden="false" customHeight="false" outlineLevel="0" collapsed="false">
      <c r="A557" s="11" t="n">
        <v>521</v>
      </c>
      <c r="B557" s="9" t="n">
        <f aca="false">IF(A557&gt;$B$6,"",SMALL(BTC_Data!$C$3:$C$1002,A557))</f>
        <v>3.11775238999168E-005</v>
      </c>
      <c r="C557" s="21" t="n">
        <f aca="false">IF(B557="","",A557/$B$6)</f>
        <v>0.521</v>
      </c>
      <c r="D557" s="21" t="n">
        <f aca="false">IF(B557="","",NORMDIST(B557,$B$15,$B$16,TRUE()))</f>
        <v>0.513440143296976</v>
      </c>
      <c r="E557" s="21" t="n">
        <f aca="false">IF(B557="","",IF(B557&gt;=$B$15,1-TDIST((B557-$B$15)/$B$18,$B$17,1),TDIST(($B$15-B557)/$B$18,$B$17,1)))</f>
        <v>0.515344743925231</v>
      </c>
      <c r="F557" s="21" t="n">
        <f aca="false">IF(B557="","",IF(B557&lt;$B$19,0.5*EXP((B557-$B$19)/$B$20),1-0.5*EXP(-(B557-$B$19)/$B$20)))</f>
        <v>0.521759529245496</v>
      </c>
      <c r="G557" s="21" t="n">
        <f aca="false">IF(B557="","",1/(1+EXP(-(B557-$B$15)/$B$21)))</f>
        <v>0.515274609196257</v>
      </c>
      <c r="H557" s="21" t="n">
        <f aca="false">IF(B557="","",MAX(ABS($A557/$B$6-D557),ABS(($A557-1)/$B$6-D557)))</f>
        <v>0.0075598567030245</v>
      </c>
      <c r="I557" s="21" t="n">
        <f aca="false">IF(B557="","",MAX(ABS($A557/$B$6-E557),ABS(($A557-1)/$B$6-E557)))</f>
        <v>0.00565525607476891</v>
      </c>
      <c r="J557" s="21" t="n">
        <f aca="false">IF(B557="","",MAX(ABS($A557/$B$6-F557),ABS(($A557-1)/$B$6-F557)))</f>
        <v>0.00175952924549549</v>
      </c>
      <c r="K557" s="21" t="n">
        <f aca="false">IF(B557="","",MAX(ABS($A557/$B$6-G557),ABS(($A557-1)/$B$6-G557)))</f>
        <v>0.00572539080374335</v>
      </c>
    </row>
    <row r="558" customFormat="false" ht="15" hidden="false" customHeight="false" outlineLevel="0" collapsed="false">
      <c r="A558" s="11" t="n">
        <v>522</v>
      </c>
      <c r="B558" s="9" t="n">
        <f aca="false">IF(A558&gt;$B$6,"",SMALL(BTC_Data!$C$3:$C$1002,A558))</f>
        <v>3.23568594557955E-005</v>
      </c>
      <c r="C558" s="21" t="n">
        <f aca="false">IF(B558="","",A558/$B$6)</f>
        <v>0.522</v>
      </c>
      <c r="D558" s="21" t="n">
        <f aca="false">IF(B558="","",NORMDIST(B558,$B$15,$B$16,TRUE()))</f>
        <v>0.513809445028528</v>
      </c>
      <c r="E558" s="21" t="n">
        <f aca="false">IF(B558="","",IF(B558&gt;=$B$15,1-TDIST((B558-$B$15)/$B$18,$B$17,1),TDIST(($B$15-B558)/$B$18,$B$17,1)))</f>
        <v>0.51576627965802</v>
      </c>
      <c r="F558" s="21" t="n">
        <f aca="false">IF(B558="","",IF(B558&lt;$B$19,0.5*EXP((B558-$B$19)/$B$20),1-0.5*EXP(-(B558-$B$19)/$B$20)))</f>
        <v>0.522378137976497</v>
      </c>
      <c r="G558" s="21" t="n">
        <f aca="false">IF(B558="","",1/(1+EXP(-(B558-$B$15)/$B$21)))</f>
        <v>0.515694210838142</v>
      </c>
      <c r="H558" s="21" t="n">
        <f aca="false">IF(B558="","",MAX(ABS($A558/$B$6-D558),ABS(($A558-1)/$B$6-D558)))</f>
        <v>0.00819055497147214</v>
      </c>
      <c r="I558" s="21" t="n">
        <f aca="false">IF(B558="","",MAX(ABS($A558/$B$6-E558),ABS(($A558-1)/$B$6-E558)))</f>
        <v>0.00623372034198011</v>
      </c>
      <c r="J558" s="21" t="n">
        <f aca="false">IF(B558="","",MAX(ABS($A558/$B$6-F558),ABS(($A558-1)/$B$6-F558)))</f>
        <v>0.00137813797649644</v>
      </c>
      <c r="K558" s="21" t="n">
        <f aca="false">IF(B558="","",MAX(ABS($A558/$B$6-G558),ABS(($A558-1)/$B$6-G558)))</f>
        <v>0.00630578916185776</v>
      </c>
    </row>
    <row r="559" customFormat="false" ht="15" hidden="false" customHeight="false" outlineLevel="0" collapsed="false">
      <c r="A559" s="11" t="n">
        <v>523</v>
      </c>
      <c r="B559" s="9" t="n">
        <f aca="false">IF(A559&gt;$B$6,"",SMALL(BTC_Data!$C$3:$C$1002,A559))</f>
        <v>3.45999790591911E-005</v>
      </c>
      <c r="C559" s="21" t="n">
        <f aca="false">IF(B559="","",A559/$B$6)</f>
        <v>0.523</v>
      </c>
      <c r="D559" s="21" t="n">
        <f aca="false">IF(B559="","",NORMDIST(B559,$B$15,$B$16,TRUE()))</f>
        <v>0.514511831295285</v>
      </c>
      <c r="E559" s="21" t="n">
        <f aca="false">IF(B559="","",IF(B559&gt;=$B$15,1-TDIST((B559-$B$15)/$B$18,$B$17,1),TDIST(($B$15-B559)/$B$18,$B$17,1)))</f>
        <v>0.516567988822063</v>
      </c>
      <c r="F559" s="21" t="n">
        <f aca="false">IF(B559="","",IF(B559&lt;$B$19,0.5*EXP((B559-$B$19)/$B$20),1-0.5*EXP(-(B559-$B$19)/$B$20)))</f>
        <v>0.523552536536818</v>
      </c>
      <c r="G559" s="21" t="n">
        <f aca="false">IF(B559="","",1/(1+EXP(-(B559-$B$15)/$B$21)))</f>
        <v>0.516492239922958</v>
      </c>
      <c r="H559" s="21" t="n">
        <f aca="false">IF(B559="","",MAX(ABS($A559/$B$6-D559),ABS(($A559-1)/$B$6-D559)))</f>
        <v>0.00848816870471458</v>
      </c>
      <c r="I559" s="21" t="n">
        <f aca="false">IF(B559="","",MAX(ABS($A559/$B$6-E559),ABS(($A559-1)/$B$6-E559)))</f>
        <v>0.00643201117793668</v>
      </c>
      <c r="J559" s="21" t="n">
        <f aca="false">IF(B559="","",MAX(ABS($A559/$B$6-F559),ABS(($A559-1)/$B$6-F559)))</f>
        <v>0.00155253653681831</v>
      </c>
      <c r="K559" s="21" t="n">
        <f aca="false">IF(B559="","",MAX(ABS($A559/$B$6-G559),ABS(($A559-1)/$B$6-G559)))</f>
        <v>0.0065077600770419</v>
      </c>
    </row>
    <row r="560" customFormat="false" ht="15" hidden="false" customHeight="false" outlineLevel="0" collapsed="false">
      <c r="A560" s="11" t="n">
        <v>524</v>
      </c>
      <c r="B560" s="9" t="n">
        <f aca="false">IF(A560&gt;$B$6,"",SMALL(BTC_Data!$C$3:$C$1002,A560))</f>
        <v>3.71682159341358E-005</v>
      </c>
      <c r="C560" s="21" t="n">
        <f aca="false">IF(B560="","",A560/$B$6)</f>
        <v>0.524</v>
      </c>
      <c r="D560" s="21" t="n">
        <f aca="false">IF(B560="","",NORMDIST(B560,$B$15,$B$16,TRUE()))</f>
        <v>0.515315965865728</v>
      </c>
      <c r="E560" s="21" t="n">
        <f aca="false">IF(B560="","",IF(B560&gt;=$B$15,1-TDIST((B560-$B$15)/$B$18,$B$17,1),TDIST(($B$15-B560)/$B$18,$B$17,1)))</f>
        <v>0.517485796375273</v>
      </c>
      <c r="F560" s="21" t="n">
        <f aca="false">IF(B560="","",IF(B560&lt;$B$19,0.5*EXP((B560-$B$19)/$B$20),1-0.5*EXP(-(B560-$B$19)/$B$20)))</f>
        <v>0.524893606789841</v>
      </c>
      <c r="G560" s="21" t="n">
        <f aca="false">IF(B560="","",1/(1+EXP(-(B560-$B$15)/$B$21)))</f>
        <v>0.517405831653776</v>
      </c>
      <c r="H560" s="21" t="n">
        <f aca="false">IF(B560="","",MAX(ABS($A560/$B$6-D560),ABS(($A560-1)/$B$6-D560)))</f>
        <v>0.00868403413427255</v>
      </c>
      <c r="I560" s="21" t="n">
        <f aca="false">IF(B560="","",MAX(ABS($A560/$B$6-E560),ABS(($A560-1)/$B$6-E560)))</f>
        <v>0.00651420362472688</v>
      </c>
      <c r="J560" s="21" t="n">
        <f aca="false">IF(B560="","",MAX(ABS($A560/$B$6-F560),ABS(($A560-1)/$B$6-F560)))</f>
        <v>0.00189360678984085</v>
      </c>
      <c r="K560" s="21" t="n">
        <f aca="false">IF(B560="","",MAX(ABS($A560/$B$6-G560),ABS(($A560-1)/$B$6-G560)))</f>
        <v>0.00659416834622406</v>
      </c>
    </row>
    <row r="561" customFormat="false" ht="15" hidden="false" customHeight="false" outlineLevel="0" collapsed="false">
      <c r="A561" s="11" t="n">
        <v>525</v>
      </c>
      <c r="B561" s="9" t="n">
        <f aca="false">IF(A561&gt;$B$6,"",SMALL(BTC_Data!$C$3:$C$1002,A561))</f>
        <v>3.7253606548715E-005</v>
      </c>
      <c r="C561" s="21" t="n">
        <f aca="false">IF(B561="","",A561/$B$6)</f>
        <v>0.525</v>
      </c>
      <c r="D561" s="21" t="n">
        <f aca="false">IF(B561="","",NORMDIST(B561,$B$15,$B$16,TRUE()))</f>
        <v>0.515342701267217</v>
      </c>
      <c r="E561" s="21" t="n">
        <f aca="false">IF(B561="","",IF(B561&gt;=$B$15,1-TDIST((B561-$B$15)/$B$18,$B$17,1),TDIST(($B$15-B561)/$B$18,$B$17,1)))</f>
        <v>0.517516310390696</v>
      </c>
      <c r="F561" s="21" t="n">
        <f aca="false">IF(B561="","",IF(B561&lt;$B$19,0.5*EXP((B561-$B$19)/$B$20),1-0.5*EXP(-(B561-$B$19)/$B$20)))</f>
        <v>0.524938130774528</v>
      </c>
      <c r="G561" s="21" t="n">
        <f aca="false">IF(B561="","",1/(1+EXP(-(B561-$B$15)/$B$21)))</f>
        <v>0.517436205453808</v>
      </c>
      <c r="H561" s="21" t="n">
        <f aca="false">IF(B561="","",MAX(ABS($A561/$B$6-D561),ABS(($A561-1)/$B$6-D561)))</f>
        <v>0.00965729873278287</v>
      </c>
      <c r="I561" s="21" t="n">
        <f aca="false">IF(B561="","",MAX(ABS($A561/$B$6-E561),ABS(($A561-1)/$B$6-E561)))</f>
        <v>0.0074836896093039</v>
      </c>
      <c r="J561" s="21" t="n">
        <f aca="false">IF(B561="","",MAX(ABS($A561/$B$6-F561),ABS(($A561-1)/$B$6-F561)))</f>
        <v>0.000938130774527757</v>
      </c>
      <c r="K561" s="21" t="n">
        <f aca="false">IF(B561="","",MAX(ABS($A561/$B$6-G561),ABS(($A561-1)/$B$6-G561)))</f>
        <v>0.00756379454619238</v>
      </c>
    </row>
    <row r="562" customFormat="false" ht="15" hidden="false" customHeight="false" outlineLevel="0" collapsed="false">
      <c r="A562" s="11" t="n">
        <v>526</v>
      </c>
      <c r="B562" s="9" t="n">
        <f aca="false">IF(A562&gt;$B$6,"",SMALL(BTC_Data!$C$3:$C$1002,A562))</f>
        <v>3.80044671697277E-005</v>
      </c>
      <c r="C562" s="21" t="n">
        <f aca="false">IF(B562="","",A562/$B$6)</f>
        <v>0.526</v>
      </c>
      <c r="D562" s="21" t="n">
        <f aca="false">IF(B562="","",NORMDIST(B562,$B$15,$B$16,TRUE()))</f>
        <v>0.515577789227692</v>
      </c>
      <c r="E562" s="21" t="n">
        <f aca="false">IF(B562="","",IF(B562&gt;=$B$15,1-TDIST((B562-$B$15)/$B$18,$B$17,1),TDIST(($B$15-B562)/$B$18,$B$17,1)))</f>
        <v>0.517784622167496</v>
      </c>
      <c r="F562" s="21" t="n">
        <f aca="false">IF(B562="","",IF(B562&lt;$B$19,0.5*EXP((B562-$B$19)/$B$20),1-0.5*EXP(-(B562-$B$19)/$B$20)))</f>
        <v>0.525329461481179</v>
      </c>
      <c r="G562" s="21" t="n">
        <f aca="false">IF(B562="","",1/(1+EXP(-(B562-$B$15)/$B$21)))</f>
        <v>0.517703284155689</v>
      </c>
      <c r="H562" s="21" t="n">
        <f aca="false">IF(B562="","",MAX(ABS($A562/$B$6-D562),ABS(($A562-1)/$B$6-D562)))</f>
        <v>0.010422210772308</v>
      </c>
      <c r="I562" s="21" t="n">
        <f aca="false">IF(B562="","",MAX(ABS($A562/$B$6-E562),ABS(($A562-1)/$B$6-E562)))</f>
        <v>0.00821537783250381</v>
      </c>
      <c r="J562" s="21" t="n">
        <f aca="false">IF(B562="","",MAX(ABS($A562/$B$6-F562),ABS(($A562-1)/$B$6-F562)))</f>
        <v>0.000670538518820596</v>
      </c>
      <c r="K562" s="21" t="n">
        <f aca="false">IF(B562="","",MAX(ABS($A562/$B$6-G562),ABS(($A562-1)/$B$6-G562)))</f>
        <v>0.00829671584431091</v>
      </c>
    </row>
    <row r="563" customFormat="false" ht="15" hidden="false" customHeight="false" outlineLevel="0" collapsed="false">
      <c r="A563" s="11" t="n">
        <v>527</v>
      </c>
      <c r="B563" s="9" t="n">
        <f aca="false">IF(A563&gt;$B$6,"",SMALL(BTC_Data!$C$3:$C$1002,A563))</f>
        <v>4.05216516572438E-005</v>
      </c>
      <c r="C563" s="21" t="n">
        <f aca="false">IF(B563="","",A563/$B$6)</f>
        <v>0.527</v>
      </c>
      <c r="D563" s="21" t="n">
        <f aca="false">IF(B563="","",NORMDIST(B563,$B$15,$B$16,TRUE()))</f>
        <v>0.516365857930077</v>
      </c>
      <c r="E563" s="21" t="n">
        <f aca="false">IF(B563="","",IF(B563&gt;=$B$15,1-TDIST((B563-$B$15)/$B$18,$B$17,1),TDIST(($B$15-B563)/$B$18,$B$17,1)))</f>
        <v>0.518684037366547</v>
      </c>
      <c r="F563" s="21" t="n">
        <f aca="false">IF(B563="","",IF(B563&lt;$B$19,0.5*EXP((B563-$B$19)/$B$20),1-0.5*EXP(-(B563-$B$19)/$B$20)))</f>
        <v>0.526639007962446</v>
      </c>
      <c r="G563" s="21" t="n">
        <f aca="false">IF(B563="","",1/(1+EXP(-(B563-$B$15)/$B$21)))</f>
        <v>0.518598563899793</v>
      </c>
      <c r="H563" s="21" t="n">
        <f aca="false">IF(B563="","",MAX(ABS($A563/$B$6-D563),ABS(($A563-1)/$B$6-D563)))</f>
        <v>0.010634142069923</v>
      </c>
      <c r="I563" s="21" t="n">
        <f aca="false">IF(B563="","",MAX(ABS($A563/$B$6-E563),ABS(($A563-1)/$B$6-E563)))</f>
        <v>0.00831596263345258</v>
      </c>
      <c r="J563" s="21" t="n">
        <f aca="false">IF(B563="","",MAX(ABS($A563/$B$6-F563),ABS(($A563-1)/$B$6-F563)))</f>
        <v>0.000639007962445648</v>
      </c>
      <c r="K563" s="21" t="n">
        <f aca="false">IF(B563="","",MAX(ABS($A563/$B$6-G563),ABS(($A563-1)/$B$6-G563)))</f>
        <v>0.00840143610020672</v>
      </c>
    </row>
    <row r="564" customFormat="false" ht="15" hidden="false" customHeight="false" outlineLevel="0" collapsed="false">
      <c r="A564" s="11" t="n">
        <v>528</v>
      </c>
      <c r="B564" s="9" t="n">
        <f aca="false">IF(A564&gt;$B$6,"",SMALL(BTC_Data!$C$3:$C$1002,A564))</f>
        <v>4.16845805195631E-005</v>
      </c>
      <c r="C564" s="21" t="n">
        <f aca="false">IF(B564="","",A564/$B$6)</f>
        <v>0.528</v>
      </c>
      <c r="D564" s="21" t="n">
        <f aca="false">IF(B564="","",NORMDIST(B564,$B$15,$B$16,TRUE()))</f>
        <v>0.516729921019879</v>
      </c>
      <c r="E564" s="21" t="n">
        <f aca="false">IF(B564="","",IF(B564&gt;=$B$15,1-TDIST((B564-$B$15)/$B$18,$B$17,1),TDIST(($B$15-B564)/$B$18,$B$17,1)))</f>
        <v>0.519099524411664</v>
      </c>
      <c r="F564" s="21" t="n">
        <f aca="false">IF(B564="","",IF(B564&lt;$B$19,0.5*EXP((B564-$B$19)/$B$20),1-0.5*EXP(-(B564-$B$19)/$B$20)))</f>
        <v>0.52724279231353</v>
      </c>
      <c r="G564" s="21" t="n">
        <f aca="false">IF(B564="","",1/(1+EXP(-(B564-$B$15)/$B$21)))</f>
        <v>0.519012139474142</v>
      </c>
      <c r="H564" s="21" t="n">
        <f aca="false">IF(B564="","",MAX(ABS($A564/$B$6-D564),ABS(($A564-1)/$B$6-D564)))</f>
        <v>0.0112700789801213</v>
      </c>
      <c r="I564" s="21" t="n">
        <f aca="false">IF(B564="","",MAX(ABS($A564/$B$6-E564),ABS(($A564-1)/$B$6-E564)))</f>
        <v>0.00890047558833607</v>
      </c>
      <c r="J564" s="21" t="n">
        <f aca="false">IF(B564="","",MAX(ABS($A564/$B$6-F564),ABS(($A564-1)/$B$6-F564)))</f>
        <v>0.000757207686470363</v>
      </c>
      <c r="K564" s="21" t="n">
        <f aca="false">IF(B564="","",MAX(ABS($A564/$B$6-G564),ABS(($A564-1)/$B$6-G564)))</f>
        <v>0.00898786052585832</v>
      </c>
    </row>
    <row r="565" customFormat="false" ht="15" hidden="false" customHeight="false" outlineLevel="0" collapsed="false">
      <c r="A565" s="11" t="n">
        <v>529</v>
      </c>
      <c r="B565" s="9" t="n">
        <f aca="false">IF(A565&gt;$B$6,"",SMALL(BTC_Data!$C$3:$C$1002,A565))</f>
        <v>4.38057105838219E-005</v>
      </c>
      <c r="C565" s="21" t="n">
        <f aca="false">IF(B565="","",A565/$B$6)</f>
        <v>0.529</v>
      </c>
      <c r="D565" s="21" t="n">
        <f aca="false">IF(B565="","",NORMDIST(B565,$B$15,$B$16,TRUE()))</f>
        <v>0.517393919623627</v>
      </c>
      <c r="E565" s="21" t="n">
        <f aca="false">IF(B565="","",IF(B565&gt;=$B$15,1-TDIST((B565-$B$15)/$B$18,$B$17,1),TDIST(($B$15-B565)/$B$18,$B$17,1)))</f>
        <v>0.519857288178421</v>
      </c>
      <c r="F565" s="21" t="n">
        <f aca="false">IF(B565="","",IF(B565&lt;$B$19,0.5*EXP((B565-$B$19)/$B$20),1-0.5*EXP(-(B565-$B$19)/$B$20)))</f>
        <v>0.528342085159847</v>
      </c>
      <c r="G565" s="21" t="n">
        <f aca="false">IF(B565="","",1/(1+EXP(-(B565-$B$15)/$B$21)))</f>
        <v>0.519766415272532</v>
      </c>
      <c r="H565" s="21" t="n">
        <f aca="false">IF(B565="","",MAX(ABS($A565/$B$6-D565),ABS(($A565-1)/$B$6-D565)))</f>
        <v>0.0116060803763731</v>
      </c>
      <c r="I565" s="21" t="n">
        <f aca="false">IF(B565="","",MAX(ABS($A565/$B$6-E565),ABS(($A565-1)/$B$6-E565)))</f>
        <v>0.00914271182157944</v>
      </c>
      <c r="J565" s="21" t="n">
        <f aca="false">IF(B565="","",MAX(ABS($A565/$B$6-F565),ABS(($A565-1)/$B$6-F565)))</f>
        <v>0.000657914840152762</v>
      </c>
      <c r="K565" s="21" t="n">
        <f aca="false">IF(B565="","",MAX(ABS($A565/$B$6-G565),ABS(($A565-1)/$B$6-G565)))</f>
        <v>0.00923358472746771</v>
      </c>
    </row>
    <row r="566" customFormat="false" ht="15" hidden="false" customHeight="false" outlineLevel="0" collapsed="false">
      <c r="A566" s="11" t="n">
        <v>530</v>
      </c>
      <c r="B566" s="9" t="n">
        <f aca="false">IF(A566&gt;$B$6,"",SMALL(BTC_Data!$C$3:$C$1002,A566))</f>
        <v>4.63324334709636E-005</v>
      </c>
      <c r="C566" s="21" t="n">
        <f aca="false">IF(B566="","",A566/$B$6)</f>
        <v>0.53</v>
      </c>
      <c r="D566" s="21" t="n">
        <f aca="false">IF(B566="","",NORMDIST(B566,$B$15,$B$16,TRUE()))</f>
        <v>0.518184821899243</v>
      </c>
      <c r="E566" s="21" t="n">
        <f aca="false">IF(B566="","",IF(B566&gt;=$B$15,1-TDIST((B566-$B$15)/$B$18,$B$17,1),TDIST(($B$15-B566)/$B$18,$B$17,1)))</f>
        <v>0.5207598328821</v>
      </c>
      <c r="F566" s="21" t="n">
        <f aca="false">IF(B566="","",IF(B566&lt;$B$19,0.5*EXP((B566-$B$19)/$B$20),1-0.5*EXP(-(B566-$B$19)/$B$20)))</f>
        <v>0.529648244206922</v>
      </c>
      <c r="G566" s="21" t="n">
        <f aca="false">IF(B566="","",1/(1+EXP(-(B566-$B$15)/$B$21)))</f>
        <v>0.520664802381341</v>
      </c>
      <c r="H566" s="21" t="n">
        <f aca="false">IF(B566="","",MAX(ABS($A566/$B$6-D566),ABS(($A566-1)/$B$6-D566)))</f>
        <v>0.0118151781007568</v>
      </c>
      <c r="I566" s="21" t="n">
        <f aca="false">IF(B566="","",MAX(ABS($A566/$B$6-E566),ABS(($A566-1)/$B$6-E566)))</f>
        <v>0.00924016711789977</v>
      </c>
      <c r="J566" s="21" t="n">
        <f aca="false">IF(B566="","",MAX(ABS($A566/$B$6-F566),ABS(($A566-1)/$B$6-F566)))</f>
        <v>0.000648244206921445</v>
      </c>
      <c r="K566" s="21" t="n">
        <f aca="false">IF(B566="","",MAX(ABS($A566/$B$6-G566),ABS(($A566-1)/$B$6-G566)))</f>
        <v>0.00933519761865953</v>
      </c>
    </row>
    <row r="567" customFormat="false" ht="15" hidden="false" customHeight="false" outlineLevel="0" collapsed="false">
      <c r="A567" s="11" t="n">
        <v>531</v>
      </c>
      <c r="B567" s="9" t="n">
        <f aca="false">IF(A567&gt;$B$6,"",SMALL(BTC_Data!$C$3:$C$1002,A567))</f>
        <v>5.48104451749687E-005</v>
      </c>
      <c r="C567" s="21" t="n">
        <f aca="false">IF(B567="","",A567/$B$6)</f>
        <v>0.531</v>
      </c>
      <c r="D567" s="21" t="n">
        <f aca="false">IF(B567="","",NORMDIST(B567,$B$15,$B$16,TRUE()))</f>
        <v>0.520838026371244</v>
      </c>
      <c r="E567" s="21" t="n">
        <f aca="false">IF(B567="","",IF(B567&gt;=$B$15,1-TDIST((B567-$B$15)/$B$18,$B$17,1),TDIST(($B$15-B567)/$B$18,$B$17,1)))</f>
        <v>0.523787189486661</v>
      </c>
      <c r="F567" s="21" t="n">
        <f aca="false">IF(B567="","",IF(B567&lt;$B$19,0.5*EXP((B567-$B$19)/$B$20),1-0.5*EXP(-(B567-$B$19)/$B$20)))</f>
        <v>0.534004478166046</v>
      </c>
      <c r="G567" s="21" t="n">
        <f aca="false">IF(B567="","",1/(1+EXP(-(B567-$B$15)/$B$21)))</f>
        <v>0.523678185979093</v>
      </c>
      <c r="H567" s="21" t="n">
        <f aca="false">IF(B567="","",MAX(ABS($A567/$B$6-D567),ABS(($A567-1)/$B$6-D567)))</f>
        <v>0.0101619736287563</v>
      </c>
      <c r="I567" s="21" t="n">
        <f aca="false">IF(B567="","",MAX(ABS($A567/$B$6-E567),ABS(($A567-1)/$B$6-E567)))</f>
        <v>0.00721281051333955</v>
      </c>
      <c r="J567" s="21" t="n">
        <f aca="false">IF(B567="","",MAX(ABS($A567/$B$6-F567),ABS(($A567-1)/$B$6-F567)))</f>
        <v>0.00400447816604632</v>
      </c>
      <c r="K567" s="21" t="n">
        <f aca="false">IF(B567="","",MAX(ABS($A567/$B$6-G567),ABS(($A567-1)/$B$6-G567)))</f>
        <v>0.0073218140209067</v>
      </c>
    </row>
    <row r="568" customFormat="false" ht="15" hidden="false" customHeight="false" outlineLevel="0" collapsed="false">
      <c r="A568" s="11" t="n">
        <v>532</v>
      </c>
      <c r="B568" s="9" t="n">
        <f aca="false">IF(A568&gt;$B$6,"",SMALL(BTC_Data!$C$3:$C$1002,A568))</f>
        <v>5.5207477208219E-005</v>
      </c>
      <c r="C568" s="21" t="n">
        <f aca="false">IF(B568="","",A568/$B$6)</f>
        <v>0.532</v>
      </c>
      <c r="D568" s="21" t="n">
        <f aca="false">IF(B568="","",NORMDIST(B568,$B$15,$B$16,TRUE()))</f>
        <v>0.520962256335597</v>
      </c>
      <c r="E568" s="21" t="n">
        <f aca="false">IF(B568="","",IF(B568&gt;=$B$15,1-TDIST((B568-$B$15)/$B$18,$B$17,1),TDIST(($B$15-B568)/$B$18,$B$17,1)))</f>
        <v>0.52392892338845</v>
      </c>
      <c r="F568" s="21" t="n">
        <f aca="false">IF(B568="","",IF(B568&lt;$B$19,0.5*EXP((B568-$B$19)/$B$20),1-0.5*EXP(-(B568-$B$19)/$B$20)))</f>
        <v>0.534207492187259</v>
      </c>
      <c r="G568" s="21" t="n">
        <f aca="false">IF(B568="","",1/(1+EXP(-(B568-$B$15)/$B$21)))</f>
        <v>0.523819264596948</v>
      </c>
      <c r="H568" s="21" t="n">
        <f aca="false">IF(B568="","",MAX(ABS($A568/$B$6-D568),ABS(($A568-1)/$B$6-D568)))</f>
        <v>0.0110377436644031</v>
      </c>
      <c r="I568" s="21" t="n">
        <f aca="false">IF(B568="","",MAX(ABS($A568/$B$6-E568),ABS(($A568-1)/$B$6-E568)))</f>
        <v>0.0080710766115496</v>
      </c>
      <c r="J568" s="21" t="n">
        <f aca="false">IF(B568="","",MAX(ABS($A568/$B$6-F568),ABS(($A568-1)/$B$6-F568)))</f>
        <v>0.00320749218725847</v>
      </c>
      <c r="K568" s="21" t="n">
        <f aca="false">IF(B568="","",MAX(ABS($A568/$B$6-G568),ABS(($A568-1)/$B$6-G568)))</f>
        <v>0.00818073540305209</v>
      </c>
    </row>
    <row r="569" customFormat="false" ht="15" hidden="false" customHeight="false" outlineLevel="0" collapsed="false">
      <c r="A569" s="11" t="n">
        <v>533</v>
      </c>
      <c r="B569" s="9" t="n">
        <f aca="false">IF(A569&gt;$B$6,"",SMALL(BTC_Data!$C$3:$C$1002,A569))</f>
        <v>5.71619796900791E-005</v>
      </c>
      <c r="C569" s="21" t="n">
        <f aca="false">IF(B569="","",A569/$B$6)</f>
        <v>0.533</v>
      </c>
      <c r="D569" s="21" t="n">
        <f aca="false">IF(B569="","",NORMDIST(B569,$B$15,$B$16,TRUE()))</f>
        <v>0.521573783555972</v>
      </c>
      <c r="E569" s="21" t="n">
        <f aca="false">IF(B569="","",IF(B569&gt;=$B$15,1-TDIST((B569-$B$15)/$B$18,$B$17,1),TDIST(($B$15-B569)/$B$18,$B$17,1)))</f>
        <v>0.524626594028812</v>
      </c>
      <c r="F569" s="21" t="n">
        <f aca="false">IF(B569="","",IF(B569&lt;$B$19,0.5*EXP((B569-$B$19)/$B$20),1-0.5*EXP(-(B569-$B$19)/$B$20)))</f>
        <v>0.535205597494483</v>
      </c>
      <c r="G569" s="21" t="n">
        <f aca="false">IF(B569="","",1/(1+EXP(-(B569-$B$15)/$B$21)))</f>
        <v>0.524513708155095</v>
      </c>
      <c r="H569" s="21" t="n">
        <f aca="false">IF(B569="","",MAX(ABS($A569/$B$6-D569),ABS(($A569-1)/$B$6-D569)))</f>
        <v>0.0114262164440277</v>
      </c>
      <c r="I569" s="21" t="n">
        <f aca="false">IF(B569="","",MAX(ABS($A569/$B$6-E569),ABS(($A569-1)/$B$6-E569)))</f>
        <v>0.00837340597118774</v>
      </c>
      <c r="J569" s="21" t="n">
        <f aca="false">IF(B569="","",MAX(ABS($A569/$B$6-F569),ABS(($A569-1)/$B$6-F569)))</f>
        <v>0.00320559749448335</v>
      </c>
      <c r="K569" s="21" t="n">
        <f aca="false">IF(B569="","",MAX(ABS($A569/$B$6-G569),ABS(($A569-1)/$B$6-G569)))</f>
        <v>0.00848629184490468</v>
      </c>
    </row>
    <row r="570" customFormat="false" ht="15" hidden="false" customHeight="false" outlineLevel="0" collapsed="false">
      <c r="A570" s="11" t="n">
        <v>534</v>
      </c>
      <c r="B570" s="9" t="n">
        <f aca="false">IF(A570&gt;$B$6,"",SMALL(BTC_Data!$C$3:$C$1002,A570))</f>
        <v>5.73147561651055E-005</v>
      </c>
      <c r="C570" s="21" t="n">
        <f aca="false">IF(B570="","",A570/$B$6)</f>
        <v>0.534</v>
      </c>
      <c r="D570" s="21" t="n">
        <f aca="false">IF(B570="","",NORMDIST(B570,$B$15,$B$16,TRUE()))</f>
        <v>0.521621582332178</v>
      </c>
      <c r="E570" s="21" t="n">
        <f aca="false">IF(B570="","",IF(B570&gt;=$B$15,1-TDIST((B570-$B$15)/$B$18,$B$17,1),TDIST(($B$15-B570)/$B$18,$B$17,1)))</f>
        <v>0.524681124579592</v>
      </c>
      <c r="F570" s="21" t="n">
        <f aca="false">IF(B570="","",IF(B570&lt;$B$19,0.5*EXP((B570-$B$19)/$B$20),1-0.5*EXP(-(B570-$B$19)/$B$20)))</f>
        <v>0.535283525637303</v>
      </c>
      <c r="G570" s="21" t="n">
        <f aca="false">IF(B570="","",1/(1+EXP(-(B570-$B$15)/$B$21)))</f>
        <v>0.524567986366948</v>
      </c>
      <c r="H570" s="21" t="n">
        <f aca="false">IF(B570="","",MAX(ABS($A570/$B$6-D570),ABS(($A570-1)/$B$6-D570)))</f>
        <v>0.0123784176678219</v>
      </c>
      <c r="I570" s="21" t="n">
        <f aca="false">IF(B570="","",MAX(ABS($A570/$B$6-E570),ABS(($A570-1)/$B$6-E570)))</f>
        <v>0.00931887542040766</v>
      </c>
      <c r="J570" s="21" t="n">
        <f aca="false">IF(B570="","",MAX(ABS($A570/$B$6-F570),ABS(($A570-1)/$B$6-F570)))</f>
        <v>0.00228352563730294</v>
      </c>
      <c r="K570" s="21" t="n">
        <f aca="false">IF(B570="","",MAX(ABS($A570/$B$6-G570),ABS(($A570-1)/$B$6-G570)))</f>
        <v>0.00943201363305168</v>
      </c>
    </row>
    <row r="571" customFormat="false" ht="15" hidden="false" customHeight="false" outlineLevel="0" collapsed="false">
      <c r="A571" s="11" t="n">
        <v>535</v>
      </c>
      <c r="B571" s="9" t="n">
        <f aca="false">IF(A571&gt;$B$6,"",SMALL(BTC_Data!$C$3:$C$1002,A571))</f>
        <v>5.83918540966177E-005</v>
      </c>
      <c r="C571" s="21" t="n">
        <f aca="false">IF(B571="","",A571/$B$6)</f>
        <v>0.535</v>
      </c>
      <c r="D571" s="21" t="n">
        <f aca="false">IF(B571="","",NORMDIST(B571,$B$15,$B$16,TRUE()))</f>
        <v>0.5219585622808</v>
      </c>
      <c r="E571" s="21" t="n">
        <f aca="false">IF(B571="","",IF(B571&gt;=$B$15,1-TDIST((B571-$B$15)/$B$18,$B$17,1),TDIST(($B$15-B571)/$B$18,$B$17,1)))</f>
        <v>0.525065557280494</v>
      </c>
      <c r="F571" s="21" t="n">
        <f aca="false">IF(B571="","",IF(B571&lt;$B$19,0.5*EXP((B571-$B$19)/$B$20),1-0.5*EXP(-(B571-$B$19)/$B$20)))</f>
        <v>0.535832560533799</v>
      </c>
      <c r="G571" s="21" t="n">
        <f aca="false">IF(B571="","",1/(1+EXP(-(B571-$B$15)/$B$21)))</f>
        <v>0.524950639665591</v>
      </c>
      <c r="H571" s="21" t="n">
        <f aca="false">IF(B571="","",MAX(ABS($A571/$B$6-D571),ABS(($A571-1)/$B$6-D571)))</f>
        <v>0.0130414377191999</v>
      </c>
      <c r="I571" s="21" t="n">
        <f aca="false">IF(B571="","",MAX(ABS($A571/$B$6-E571),ABS(($A571-1)/$B$6-E571)))</f>
        <v>0.00993444271950639</v>
      </c>
      <c r="J571" s="21" t="n">
        <f aca="false">IF(B571="","",MAX(ABS($A571/$B$6-F571),ABS(($A571-1)/$B$6-F571)))</f>
        <v>0.00183256053379854</v>
      </c>
      <c r="K571" s="21" t="n">
        <f aca="false">IF(B571="","",MAX(ABS($A571/$B$6-G571),ABS(($A571-1)/$B$6-G571)))</f>
        <v>0.0100493603344088</v>
      </c>
    </row>
    <row r="572" customFormat="false" ht="15" hidden="false" customHeight="false" outlineLevel="0" collapsed="false">
      <c r="A572" s="11" t="n">
        <v>536</v>
      </c>
      <c r="B572" s="9" t="n">
        <f aca="false">IF(A572&gt;$B$6,"",SMALL(BTC_Data!$C$3:$C$1002,A572))</f>
        <v>5.93086128446441E-005</v>
      </c>
      <c r="C572" s="21" t="n">
        <f aca="false">IF(B572="","",A572/$B$6)</f>
        <v>0.536</v>
      </c>
      <c r="D572" s="21" t="n">
        <f aca="false">IF(B572="","",NORMDIST(B572,$B$15,$B$16,TRUE()))</f>
        <v>0.522245366290546</v>
      </c>
      <c r="E572" s="21" t="n">
        <f aca="false">IF(B572="","",IF(B572&gt;=$B$15,1-TDIST((B572-$B$15)/$B$18,$B$17,1),TDIST(($B$15-B572)/$B$18,$B$17,1)))</f>
        <v>0.525392739935968</v>
      </c>
      <c r="F572" s="21" t="n">
        <f aca="false">IF(B572="","",IF(B572&lt;$B$19,0.5*EXP((B572-$B$19)/$B$20),1-0.5*EXP(-(B572-$B$19)/$B$20)))</f>
        <v>0.536299353850241</v>
      </c>
      <c r="G572" s="21" t="n">
        <f aca="false">IF(B572="","",1/(1+EXP(-(B572-$B$15)/$B$21)))</f>
        <v>0.525276307283964</v>
      </c>
      <c r="H572" s="21" t="n">
        <f aca="false">IF(B572="","",MAX(ABS($A572/$B$6-D572),ABS(($A572-1)/$B$6-D572)))</f>
        <v>0.0137546337094543</v>
      </c>
      <c r="I572" s="21" t="n">
        <f aca="false">IF(B572="","",MAX(ABS($A572/$B$6-E572),ABS(($A572-1)/$B$6-E572)))</f>
        <v>0.0106072600640326</v>
      </c>
      <c r="J572" s="21" t="n">
        <f aca="false">IF(B572="","",MAX(ABS($A572/$B$6-F572),ABS(($A572-1)/$B$6-F572)))</f>
        <v>0.00129935385024071</v>
      </c>
      <c r="K572" s="21" t="n">
        <f aca="false">IF(B572="","",MAX(ABS($A572/$B$6-G572),ABS(($A572-1)/$B$6-G572)))</f>
        <v>0.0107236927160361</v>
      </c>
    </row>
    <row r="573" customFormat="false" ht="15" hidden="false" customHeight="false" outlineLevel="0" collapsed="false">
      <c r="A573" s="11" t="n">
        <v>537</v>
      </c>
      <c r="B573" s="9" t="n">
        <f aca="false">IF(A573&gt;$B$6,"",SMALL(BTC_Data!$C$3:$C$1002,A573))</f>
        <v>6.09118497809646E-005</v>
      </c>
      <c r="C573" s="21" t="n">
        <f aca="false">IF(B573="","",A573/$B$6)</f>
        <v>0.537</v>
      </c>
      <c r="D573" s="21" t="n">
        <f aca="false">IF(B573="","",NORMDIST(B573,$B$15,$B$16,TRUE()))</f>
        <v>0.522746904253358</v>
      </c>
      <c r="E573" s="21" t="n">
        <f aca="false">IF(B573="","",IF(B573&gt;=$B$15,1-TDIST((B573-$B$15)/$B$18,$B$17,1),TDIST(($B$15-B573)/$B$18,$B$17,1)))</f>
        <v>0.525964869588698</v>
      </c>
      <c r="F573" s="21" t="n">
        <f aca="false">IF(B573="","",IF(B573&lt;$B$19,0.5*EXP((B573-$B$19)/$B$20),1-0.5*EXP(-(B573-$B$19)/$B$20)))</f>
        <v>0.537114558669765</v>
      </c>
      <c r="G573" s="21" t="n">
        <f aca="false">IF(B573="","",1/(1+EXP(-(B573-$B$15)/$B$21)))</f>
        <v>0.525845786254807</v>
      </c>
      <c r="H573" s="21" t="n">
        <f aca="false">IF(B573="","",MAX(ABS($A573/$B$6-D573),ABS(($A573-1)/$B$6-D573)))</f>
        <v>0.0142530957466418</v>
      </c>
      <c r="I573" s="21" t="n">
        <f aca="false">IF(B573="","",MAX(ABS($A573/$B$6-E573),ABS(($A573-1)/$B$6-E573)))</f>
        <v>0.0110351304113024</v>
      </c>
      <c r="J573" s="21" t="n">
        <f aca="false">IF(B573="","",MAX(ABS($A573/$B$6-F573),ABS(($A573-1)/$B$6-F573)))</f>
        <v>0.0011145586697654</v>
      </c>
      <c r="K573" s="21" t="n">
        <f aca="false">IF(B573="","",MAX(ABS($A573/$B$6-G573),ABS(($A573-1)/$B$6-G573)))</f>
        <v>0.011154213745193</v>
      </c>
    </row>
    <row r="574" customFormat="false" ht="15" hidden="false" customHeight="false" outlineLevel="0" collapsed="false">
      <c r="A574" s="11" t="n">
        <v>538</v>
      </c>
      <c r="B574" s="9" t="n">
        <f aca="false">IF(A574&gt;$B$6,"",SMALL(BTC_Data!$C$3:$C$1002,A574))</f>
        <v>6.61610011292169E-005</v>
      </c>
      <c r="C574" s="21" t="n">
        <f aca="false">IF(B574="","",A574/$B$6)</f>
        <v>0.538</v>
      </c>
      <c r="D574" s="21" t="n">
        <f aca="false">IF(B574="","",NORMDIST(B574,$B$15,$B$16,TRUE()))</f>
        <v>0.524388731323796</v>
      </c>
      <c r="E574" s="21" t="n">
        <f aca="false">IF(B574="","",IF(B574&gt;=$B$15,1-TDIST((B574-$B$15)/$B$18,$B$17,1),TDIST(($B$15-B574)/$B$18,$B$17,1)))</f>
        <v>0.527837609477448</v>
      </c>
      <c r="F574" s="21" t="n">
        <f aca="false">IF(B574="","",IF(B574&lt;$B$19,0.5*EXP((B574-$B$19)/$B$20),1-0.5*EXP(-(B574-$B$19)/$B$20)))</f>
        <v>0.539773603014014</v>
      </c>
      <c r="G574" s="21" t="n">
        <f aca="false">IF(B574="","",1/(1+EXP(-(B574-$B$15)/$B$21)))</f>
        <v>0.527709836777916</v>
      </c>
      <c r="H574" s="21" t="n">
        <f aca="false">IF(B574="","",MAX(ABS($A574/$B$6-D574),ABS(($A574-1)/$B$6-D574)))</f>
        <v>0.0136112686762041</v>
      </c>
      <c r="I574" s="21" t="n">
        <f aca="false">IF(B574="","",MAX(ABS($A574/$B$6-E574),ABS(($A574-1)/$B$6-E574)))</f>
        <v>0.0101623905225522</v>
      </c>
      <c r="J574" s="21" t="n">
        <f aca="false">IF(B574="","",MAX(ABS($A574/$B$6-F574),ABS(($A574-1)/$B$6-F574)))</f>
        <v>0.0027736030140143</v>
      </c>
      <c r="K574" s="21" t="n">
        <f aca="false">IF(B574="","",MAX(ABS($A574/$B$6-G574),ABS(($A574-1)/$B$6-G574)))</f>
        <v>0.0102901632220838</v>
      </c>
    </row>
    <row r="575" customFormat="false" ht="15" hidden="false" customHeight="false" outlineLevel="0" collapsed="false">
      <c r="A575" s="11" t="n">
        <v>539</v>
      </c>
      <c r="B575" s="9" t="n">
        <f aca="false">IF(A575&gt;$B$6,"",SMALL(BTC_Data!$C$3:$C$1002,A575))</f>
        <v>6.73849202017518E-005</v>
      </c>
      <c r="C575" s="21" t="n">
        <f aca="false">IF(B575="","",A575/$B$6)</f>
        <v>0.539</v>
      </c>
      <c r="D575" s="21" t="n">
        <f aca="false">IF(B575="","",NORMDIST(B575,$B$15,$B$16,TRUE()))</f>
        <v>0.524771489653902</v>
      </c>
      <c r="E575" s="21" t="n">
        <f aca="false">IF(B575="","",IF(B575&gt;=$B$15,1-TDIST((B575-$B$15)/$B$18,$B$17,1),TDIST(($B$15-B575)/$B$18,$B$17,1)))</f>
        <v>0.52827416044469</v>
      </c>
      <c r="F575" s="21" t="n">
        <f aca="false">IF(B575="","",IF(B575&lt;$B$19,0.5*EXP((B575-$B$19)/$B$20),1-0.5*EXP(-(B575-$B$19)/$B$20)))</f>
        <v>0.540391400208843</v>
      </c>
      <c r="G575" s="21" t="n">
        <f aca="false">IF(B575="","",1/(1+EXP(-(B575-$B$15)/$B$21)))</f>
        <v>0.528144359230547</v>
      </c>
      <c r="H575" s="21" t="n">
        <f aca="false">IF(B575="","",MAX(ABS($A575/$B$6-D575),ABS(($A575-1)/$B$6-D575)))</f>
        <v>0.014228510346098</v>
      </c>
      <c r="I575" s="21" t="n">
        <f aca="false">IF(B575="","",MAX(ABS($A575/$B$6-E575),ABS(($A575-1)/$B$6-E575)))</f>
        <v>0.0107258395553097</v>
      </c>
      <c r="J575" s="21" t="n">
        <f aca="false">IF(B575="","",MAX(ABS($A575/$B$6-F575),ABS(($A575-1)/$B$6-F575)))</f>
        <v>0.00239140020884288</v>
      </c>
      <c r="K575" s="21" t="n">
        <f aca="false">IF(B575="","",MAX(ABS($A575/$B$6-G575),ABS(($A575-1)/$B$6-G575)))</f>
        <v>0.0108556407694532</v>
      </c>
    </row>
    <row r="576" customFormat="false" ht="15" hidden="false" customHeight="false" outlineLevel="0" collapsed="false">
      <c r="A576" s="11" t="n">
        <v>540</v>
      </c>
      <c r="B576" s="9" t="n">
        <f aca="false">IF(A576&gt;$B$6,"",SMALL(BTC_Data!$C$3:$C$1002,A576))</f>
        <v>6.7632588305333E-005</v>
      </c>
      <c r="C576" s="21" t="n">
        <f aca="false">IF(B576="","",A576/$B$6)</f>
        <v>0.54</v>
      </c>
      <c r="D576" s="21" t="n">
        <f aca="false">IF(B576="","",NORMDIST(B576,$B$15,$B$16,TRUE()))</f>
        <v>0.52484894055908</v>
      </c>
      <c r="E576" s="21" t="n">
        <f aca="false">IF(B576="","",IF(B576&gt;=$B$15,1-TDIST((B576-$B$15)/$B$18,$B$17,1),TDIST(($B$15-B576)/$B$18,$B$17,1)))</f>
        <v>0.528362494364487</v>
      </c>
      <c r="F576" s="21" t="n">
        <f aca="false">IF(B576="","",IF(B576&lt;$B$19,0.5*EXP((B576-$B$19)/$B$20),1-0.5*EXP(-(B576-$B$19)/$B$20)))</f>
        <v>0.540516314625</v>
      </c>
      <c r="G576" s="21" t="n">
        <f aca="false">IF(B576="","",1/(1+EXP(-(B576-$B$15)/$B$21)))</f>
        <v>0.528232282550788</v>
      </c>
      <c r="H576" s="21" t="n">
        <f aca="false">IF(B576="","",MAX(ABS($A576/$B$6-D576),ABS(($A576-1)/$B$6-D576)))</f>
        <v>0.0151510594409203</v>
      </c>
      <c r="I576" s="21" t="n">
        <f aca="false">IF(B576="","",MAX(ABS($A576/$B$6-E576),ABS(($A576-1)/$B$6-E576)))</f>
        <v>0.0116375056355131</v>
      </c>
      <c r="J576" s="21" t="n">
        <f aca="false">IF(B576="","",MAX(ABS($A576/$B$6-F576),ABS(($A576-1)/$B$6-F576)))</f>
        <v>0.00151631462500013</v>
      </c>
      <c r="K576" s="21" t="n">
        <f aca="false">IF(B576="","",MAX(ABS($A576/$B$6-G576),ABS(($A576-1)/$B$6-G576)))</f>
        <v>0.0117677174492119</v>
      </c>
    </row>
    <row r="577" customFormat="false" ht="15" hidden="false" customHeight="false" outlineLevel="0" collapsed="false">
      <c r="A577" s="11" t="n">
        <v>541</v>
      </c>
      <c r="B577" s="9" t="n">
        <f aca="false">IF(A577&gt;$B$6,"",SMALL(BTC_Data!$C$3:$C$1002,A577))</f>
        <v>6.83468937321408E-005</v>
      </c>
      <c r="C577" s="21" t="n">
        <f aca="false">IF(B577="","",A577/$B$6)</f>
        <v>0.541</v>
      </c>
      <c r="D577" s="21" t="n">
        <f aca="false">IF(B577="","",NORMDIST(B577,$B$15,$B$16,TRUE()))</f>
        <v>0.52507231327421</v>
      </c>
      <c r="E577" s="21" t="n">
        <f aca="false">IF(B577="","",IF(B577&gt;=$B$15,1-TDIST((B577-$B$15)/$B$18,$B$17,1),TDIST(($B$15-B577)/$B$18,$B$17,1)))</f>
        <v>0.528617250700127</v>
      </c>
      <c r="F577" s="21" t="n">
        <f aca="false">IF(B577="","",IF(B577&lt;$B$19,0.5*EXP((B577-$B$19)/$B$20),1-0.5*EXP(-(B577-$B$19)/$B$20)))</f>
        <v>0.540876393117554</v>
      </c>
      <c r="G577" s="21" t="n">
        <f aca="false">IF(B577="","",1/(1+EXP(-(B577-$B$15)/$B$21)))</f>
        <v>0.528485854445466</v>
      </c>
      <c r="H577" s="21" t="n">
        <f aca="false">IF(B577="","",MAX(ABS($A577/$B$6-D577),ABS(($A577-1)/$B$6-D577)))</f>
        <v>0.0159276867257897</v>
      </c>
      <c r="I577" s="21" t="n">
        <f aca="false">IF(B577="","",MAX(ABS($A577/$B$6-E577),ABS(($A577-1)/$B$6-E577)))</f>
        <v>0.0123827492998735</v>
      </c>
      <c r="J577" s="21" t="n">
        <f aca="false">IF(B577="","",MAX(ABS($A577/$B$6-F577),ABS(($A577-1)/$B$6-F577)))</f>
        <v>0.00087639311755372</v>
      </c>
      <c r="K577" s="21" t="n">
        <f aca="false">IF(B577="","",MAX(ABS($A577/$B$6-G577),ABS(($A577-1)/$B$6-G577)))</f>
        <v>0.0125141455545341</v>
      </c>
    </row>
    <row r="578" customFormat="false" ht="15" hidden="false" customHeight="false" outlineLevel="0" collapsed="false">
      <c r="A578" s="11" t="n">
        <v>542</v>
      </c>
      <c r="B578" s="9" t="n">
        <f aca="false">IF(A578&gt;$B$6,"",SMALL(BTC_Data!$C$3:$C$1002,A578))</f>
        <v>7.41187730310955E-005</v>
      </c>
      <c r="C578" s="21" t="n">
        <f aca="false">IF(B578="","",A578/$B$6)</f>
        <v>0.542</v>
      </c>
      <c r="D578" s="21" t="n">
        <f aca="false">IF(B578="","",NORMDIST(B578,$B$15,$B$16,TRUE()))</f>
        <v>0.526876960774625</v>
      </c>
      <c r="E578" s="21" t="n">
        <f aca="false">IF(B578="","",IF(B578&gt;=$B$15,1-TDIST((B578-$B$15)/$B$18,$B$17,1),TDIST(($B$15-B578)/$B$18,$B$17,1)))</f>
        <v>0.530675247674563</v>
      </c>
      <c r="F578" s="21" t="n">
        <f aca="false">IF(B578="","",IF(B578&lt;$B$19,0.5*EXP((B578-$B$19)/$B$20),1-0.5*EXP(-(B578-$B$19)/$B$20)))</f>
        <v>0.543775641173876</v>
      </c>
      <c r="G578" s="21" t="n">
        <f aca="false">IF(B578="","",1/(1+EXP(-(B578-$B$15)/$B$21)))</f>
        <v>0.530534268283096</v>
      </c>
      <c r="H578" s="21" t="n">
        <f aca="false">IF(B578="","",MAX(ABS($A578/$B$6-D578),ABS(($A578-1)/$B$6-D578)))</f>
        <v>0.0151230392253748</v>
      </c>
      <c r="I578" s="21" t="n">
        <f aca="false">IF(B578="","",MAX(ABS($A578/$B$6-E578),ABS(($A578-1)/$B$6-E578)))</f>
        <v>0.0113247523254373</v>
      </c>
      <c r="J578" s="21" t="n">
        <f aca="false">IF(B578="","",MAX(ABS($A578/$B$6-F578),ABS(($A578-1)/$B$6-F578)))</f>
        <v>0.0027756411738763</v>
      </c>
      <c r="K578" s="21" t="n">
        <f aca="false">IF(B578="","",MAX(ABS($A578/$B$6-G578),ABS(($A578-1)/$B$6-G578)))</f>
        <v>0.0114657317169042</v>
      </c>
    </row>
    <row r="579" customFormat="false" ht="15" hidden="false" customHeight="false" outlineLevel="0" collapsed="false">
      <c r="A579" s="11" t="n">
        <v>543</v>
      </c>
      <c r="B579" s="9" t="n">
        <f aca="false">IF(A579&gt;$B$6,"",SMALL(BTC_Data!$C$3:$C$1002,A579))</f>
        <v>7.67172144111594E-005</v>
      </c>
      <c r="C579" s="21" t="n">
        <f aca="false">IF(B579="","",A579/$B$6)</f>
        <v>0.543</v>
      </c>
      <c r="D579" s="21" t="n">
        <f aca="false">IF(B579="","",NORMDIST(B579,$B$15,$B$16,TRUE()))</f>
        <v>0.527689216920755</v>
      </c>
      <c r="E579" s="21" t="n">
        <f aca="false">IF(B579="","",IF(B579&gt;=$B$15,1-TDIST((B579-$B$15)/$B$18,$B$17,1),TDIST(($B$15-B579)/$B$18,$B$17,1)))</f>
        <v>0.531601412857973</v>
      </c>
      <c r="F579" s="21" t="n">
        <f aca="false">IF(B579="","",IF(B579&lt;$B$19,0.5*EXP((B579-$B$19)/$B$20),1-0.5*EXP(-(B579-$B$19)/$B$20)))</f>
        <v>0.545074869949929</v>
      </c>
      <c r="G579" s="21" t="n">
        <f aca="false">IF(B579="","",1/(1+EXP(-(B579-$B$15)/$B$21)))</f>
        <v>0.53145611179501</v>
      </c>
      <c r="H579" s="21" t="n">
        <f aca="false">IF(B579="","",MAX(ABS($A579/$B$6-D579),ABS(($A579-1)/$B$6-D579)))</f>
        <v>0.0153107830792448</v>
      </c>
      <c r="I579" s="21" t="n">
        <f aca="false">IF(B579="","",MAX(ABS($A579/$B$6-E579),ABS(($A579-1)/$B$6-E579)))</f>
        <v>0.0113985871420269</v>
      </c>
      <c r="J579" s="21" t="n">
        <f aca="false">IF(B579="","",MAX(ABS($A579/$B$6-F579),ABS(($A579-1)/$B$6-F579)))</f>
        <v>0.00307486994992912</v>
      </c>
      <c r="K579" s="21" t="n">
        <f aca="false">IF(B579="","",MAX(ABS($A579/$B$6-G579),ABS(($A579-1)/$B$6-G579)))</f>
        <v>0.0115438882049901</v>
      </c>
    </row>
    <row r="580" customFormat="false" ht="15" hidden="false" customHeight="false" outlineLevel="0" collapsed="false">
      <c r="A580" s="11" t="n">
        <v>544</v>
      </c>
      <c r="B580" s="9" t="n">
        <f aca="false">IF(A580&gt;$B$6,"",SMALL(BTC_Data!$C$3:$C$1002,A580))</f>
        <v>7.96813040395694E-005</v>
      </c>
      <c r="C580" s="21" t="n">
        <f aca="false">IF(B580="","",A580/$B$6)</f>
        <v>0.544</v>
      </c>
      <c r="D580" s="21" t="n">
        <f aca="false">IF(B580="","",NORMDIST(B580,$B$15,$B$16,TRUE()))</f>
        <v>0.528615631597664</v>
      </c>
      <c r="E580" s="21" t="n">
        <f aca="false">IF(B580="","",IF(B580&gt;=$B$15,1-TDIST((B580-$B$15)/$B$18,$B$17,1),TDIST(($B$15-B580)/$B$18,$B$17,1)))</f>
        <v>0.532657649869013</v>
      </c>
      <c r="F580" s="21" t="n">
        <f aca="false">IF(B580="","",IF(B580&lt;$B$19,0.5*EXP((B580-$B$19)/$B$20),1-0.5*EXP(-(B580-$B$19)/$B$20)))</f>
        <v>0.54655240706514</v>
      </c>
      <c r="G580" s="21" t="n">
        <f aca="false">IF(B580="","",1/(1+EXP(-(B580-$B$15)/$B$21)))</f>
        <v>0.532507413116819</v>
      </c>
      <c r="H580" s="21" t="n">
        <f aca="false">IF(B580="","",MAX(ABS($A580/$B$6-D580),ABS(($A580-1)/$B$6-D580)))</f>
        <v>0.0153843684023363</v>
      </c>
      <c r="I580" s="21" t="n">
        <f aca="false">IF(B580="","",MAX(ABS($A580/$B$6-E580),ABS(($A580-1)/$B$6-E580)))</f>
        <v>0.0113423501309866</v>
      </c>
      <c r="J580" s="21" t="n">
        <f aca="false">IF(B580="","",MAX(ABS($A580/$B$6-F580),ABS(($A580-1)/$B$6-F580)))</f>
        <v>0.00355240706514026</v>
      </c>
      <c r="K580" s="21" t="n">
        <f aca="false">IF(B580="","",MAX(ABS($A580/$B$6-G580),ABS(($A580-1)/$B$6-G580)))</f>
        <v>0.0114925868831809</v>
      </c>
    </row>
    <row r="581" customFormat="false" ht="15" hidden="false" customHeight="false" outlineLevel="0" collapsed="false">
      <c r="A581" s="11" t="n">
        <v>545</v>
      </c>
      <c r="B581" s="9" t="n">
        <f aca="false">IF(A581&gt;$B$6,"",SMALL(BTC_Data!$C$3:$C$1002,A581))</f>
        <v>9.31146005573869E-005</v>
      </c>
      <c r="C581" s="21" t="n">
        <f aca="false">IF(B581="","",A581/$B$6)</f>
        <v>0.545</v>
      </c>
      <c r="D581" s="21" t="n">
        <f aca="false">IF(B581="","",NORMDIST(B581,$B$15,$B$16,TRUE()))</f>
        <v>0.532812141774357</v>
      </c>
      <c r="E581" s="21" t="n">
        <f aca="false">IF(B581="","",IF(B581&gt;=$B$15,1-TDIST((B581-$B$15)/$B$18,$B$17,1),TDIST(($B$15-B581)/$B$18,$B$17,1)))</f>
        <v>0.537440861190035</v>
      </c>
      <c r="F581" s="21" t="n">
        <f aca="false">IF(B581="","",IF(B581&lt;$B$19,0.5*EXP((B581-$B$19)/$B$20),1-0.5*EXP(-(B581-$B$19)/$B$20)))</f>
        <v>0.553188699579319</v>
      </c>
      <c r="G581" s="21" t="n">
        <f aca="false">IF(B581="","",1/(1+EXP(-(B581-$B$15)/$B$21)))</f>
        <v>0.537268171988164</v>
      </c>
      <c r="H581" s="21" t="n">
        <f aca="false">IF(B581="","",MAX(ABS($A581/$B$6-D581),ABS(($A581-1)/$B$6-D581)))</f>
        <v>0.0121878582256431</v>
      </c>
      <c r="I581" s="21" t="n">
        <f aca="false">IF(B581="","",MAX(ABS($A581/$B$6-E581),ABS(($A581-1)/$B$6-E581)))</f>
        <v>0.00755913880996506</v>
      </c>
      <c r="J581" s="21" t="n">
        <f aca="false">IF(B581="","",MAX(ABS($A581/$B$6-F581),ABS(($A581-1)/$B$6-F581)))</f>
        <v>0.00918869957931889</v>
      </c>
      <c r="K581" s="21" t="n">
        <f aca="false">IF(B581="","",MAX(ABS($A581/$B$6-G581),ABS(($A581-1)/$B$6-G581)))</f>
        <v>0.00773182801183647</v>
      </c>
    </row>
    <row r="582" customFormat="false" ht="15" hidden="false" customHeight="false" outlineLevel="0" collapsed="false">
      <c r="A582" s="11" t="n">
        <v>546</v>
      </c>
      <c r="B582" s="9" t="n">
        <f aca="false">IF(A582&gt;$B$6,"",SMALL(BTC_Data!$C$3:$C$1002,A582))</f>
        <v>0.000100639967808291</v>
      </c>
      <c r="C582" s="21" t="n">
        <f aca="false">IF(B582="","",A582/$B$6)</f>
        <v>0.546</v>
      </c>
      <c r="D582" s="21" t="n">
        <f aca="false">IF(B582="","",NORMDIST(B582,$B$15,$B$16,TRUE()))</f>
        <v>0.53516147477596</v>
      </c>
      <c r="E582" s="21" t="n">
        <f aca="false">IF(B582="","",IF(B582&gt;=$B$15,1-TDIST((B582-$B$15)/$B$18,$B$17,1),TDIST(($B$15-B582)/$B$18,$B$17,1)))</f>
        <v>0.540117582683008</v>
      </c>
      <c r="F582" s="21" t="n">
        <f aca="false">IF(B582="","",IF(B582&lt;$B$19,0.5*EXP((B582-$B$19)/$B$20),1-0.5*EXP(-(B582-$B$19)/$B$20)))</f>
        <v>0.556863831797962</v>
      </c>
      <c r="G582" s="21" t="n">
        <f aca="false">IF(B582="","",1/(1+EXP(-(B582-$B$15)/$B$21)))</f>
        <v>0.539932250825826</v>
      </c>
      <c r="H582" s="21" t="n">
        <f aca="false">IF(B582="","",MAX(ABS($A582/$B$6-D582),ABS(($A582-1)/$B$6-D582)))</f>
        <v>0.0108385252240399</v>
      </c>
      <c r="I582" s="21" t="n">
        <f aca="false">IF(B582="","",MAX(ABS($A582/$B$6-E582),ABS(($A582-1)/$B$6-E582)))</f>
        <v>0.0058824173169918</v>
      </c>
      <c r="J582" s="21" t="n">
        <f aca="false">IF(B582="","",MAX(ABS($A582/$B$6-F582),ABS(($A582-1)/$B$6-F582)))</f>
        <v>0.0118638317979615</v>
      </c>
      <c r="K582" s="21" t="n">
        <f aca="false">IF(B582="","",MAX(ABS($A582/$B$6-G582),ABS(($A582-1)/$B$6-G582)))</f>
        <v>0.00606774917417419</v>
      </c>
    </row>
    <row r="583" customFormat="false" ht="15" hidden="false" customHeight="false" outlineLevel="0" collapsed="false">
      <c r="A583" s="11" t="n">
        <v>547</v>
      </c>
      <c r="B583" s="9" t="n">
        <f aca="false">IF(A583&gt;$B$6,"",SMALL(BTC_Data!$C$3:$C$1002,A583))</f>
        <v>0.000100827713540363</v>
      </c>
      <c r="C583" s="21" t="n">
        <f aca="false">IF(B583="","",A583/$B$6)</f>
        <v>0.547</v>
      </c>
      <c r="D583" s="21" t="n">
        <f aca="false">IF(B583="","",NORMDIST(B583,$B$15,$B$16,TRUE()))</f>
        <v>0.53522007150674</v>
      </c>
      <c r="E583" s="21" t="n">
        <f aca="false">IF(B583="","",IF(B583&gt;=$B$15,1-TDIST((B583-$B$15)/$B$18,$B$17,1),TDIST(($B$15-B583)/$B$18,$B$17,1)))</f>
        <v>0.540184334657974</v>
      </c>
      <c r="F583" s="21" t="n">
        <f aca="false">IF(B583="","",IF(B583&lt;$B$19,0.5*EXP((B583-$B$19)/$B$20),1-0.5*EXP(-(B583-$B$19)/$B$20)))</f>
        <v>0.556955132872548</v>
      </c>
      <c r="G583" s="21" t="n">
        <f aca="false">IF(B583="","",1/(1+EXP(-(B583-$B$15)/$B$21)))</f>
        <v>0.539998686754939</v>
      </c>
      <c r="H583" s="21" t="n">
        <f aca="false">IF(B583="","",MAX(ABS($A583/$B$6-D583),ABS(($A583-1)/$B$6-D583)))</f>
        <v>0.0117799284932599</v>
      </c>
      <c r="I583" s="21" t="n">
        <f aca="false">IF(B583="","",MAX(ABS($A583/$B$6-E583),ABS(($A583-1)/$B$6-E583)))</f>
        <v>0.00681566534202605</v>
      </c>
      <c r="J583" s="21" t="n">
        <f aca="false">IF(B583="","",MAX(ABS($A583/$B$6-F583),ABS(($A583-1)/$B$6-F583)))</f>
        <v>0.0109551328725483</v>
      </c>
      <c r="K583" s="21" t="n">
        <f aca="false">IF(B583="","",MAX(ABS($A583/$B$6-G583),ABS(($A583-1)/$B$6-G583)))</f>
        <v>0.00700131324506115</v>
      </c>
    </row>
    <row r="584" customFormat="false" ht="15" hidden="false" customHeight="false" outlineLevel="0" collapsed="false">
      <c r="A584" s="11" t="n">
        <v>548</v>
      </c>
      <c r="B584" s="9" t="n">
        <f aca="false">IF(A584&gt;$B$6,"",SMALL(BTC_Data!$C$3:$C$1002,A584))</f>
        <v>0.000101056883222039</v>
      </c>
      <c r="C584" s="21" t="n">
        <f aca="false">IF(B584="","",A584/$B$6)</f>
        <v>0.548</v>
      </c>
      <c r="D584" s="21" t="n">
        <f aca="false">IF(B584="","",NORMDIST(B584,$B$15,$B$16,TRUE()))</f>
        <v>0.535291595901042</v>
      </c>
      <c r="E584" s="21" t="n">
        <f aca="false">IF(B584="","",IF(B584&gt;=$B$15,1-TDIST((B584-$B$15)/$B$18,$B$17,1),TDIST(($B$15-B584)/$B$18,$B$17,1)))</f>
        <v>0.54026581280911</v>
      </c>
      <c r="F584" s="21" t="n">
        <f aca="false">IF(B584="","",IF(B584&lt;$B$19,0.5*EXP((B584-$B$19)/$B$20),1-0.5*EXP(-(B584-$B$19)/$B$20)))</f>
        <v>0.55706655299126</v>
      </c>
      <c r="G584" s="21" t="n">
        <f aca="false">IF(B584="","",1/(1+EXP(-(B584-$B$15)/$B$21)))</f>
        <v>0.540079779085689</v>
      </c>
      <c r="H584" s="21" t="n">
        <f aca="false">IF(B584="","",MAX(ABS($A584/$B$6-D584),ABS(($A584-1)/$B$6-D584)))</f>
        <v>0.0127084040989581</v>
      </c>
      <c r="I584" s="21" t="n">
        <f aca="false">IF(B584="","",MAX(ABS($A584/$B$6-E584),ABS(($A584-1)/$B$6-E584)))</f>
        <v>0.00773418719088981</v>
      </c>
      <c r="J584" s="21" t="n">
        <f aca="false">IF(B584="","",MAX(ABS($A584/$B$6-F584),ABS(($A584-1)/$B$6-F584)))</f>
        <v>0.0100665529912597</v>
      </c>
      <c r="K584" s="21" t="n">
        <f aca="false">IF(B584="","",MAX(ABS($A584/$B$6-G584),ABS(($A584-1)/$B$6-G584)))</f>
        <v>0.00792022091431133</v>
      </c>
    </row>
    <row r="585" customFormat="false" ht="15" hidden="false" customHeight="false" outlineLevel="0" collapsed="false">
      <c r="A585" s="11" t="n">
        <v>549</v>
      </c>
      <c r="B585" s="9" t="n">
        <f aca="false">IF(A585&gt;$B$6,"",SMALL(BTC_Data!$C$3:$C$1002,A585))</f>
        <v>0.000101938387599088</v>
      </c>
      <c r="C585" s="21" t="n">
        <f aca="false">IF(B585="","",A585/$B$6)</f>
        <v>0.549</v>
      </c>
      <c r="D585" s="21" t="n">
        <f aca="false">IF(B585="","",NORMDIST(B585,$B$15,$B$16,TRUE()))</f>
        <v>0.535566704832062</v>
      </c>
      <c r="E585" s="21" t="n">
        <f aca="false">IF(B585="","",IF(B585&gt;=$B$15,1-TDIST((B585-$B$15)/$B$18,$B$17,1),TDIST(($B$15-B585)/$B$18,$B$17,1)))</f>
        <v>0.540579200274623</v>
      </c>
      <c r="F585" s="21" t="n">
        <f aca="false">IF(B585="","",IF(B585&lt;$B$19,0.5*EXP((B585-$B$19)/$B$20),1-0.5*EXP(-(B585-$B$19)/$B$20)))</f>
        <v>0.557494870910456</v>
      </c>
      <c r="G585" s="21" t="n">
        <f aca="false">IF(B585="","",1/(1+EXP(-(B585-$B$15)/$B$21)))</f>
        <v>0.540391682049361</v>
      </c>
      <c r="H585" s="21" t="n">
        <f aca="false">IF(B585="","",MAX(ABS($A585/$B$6-D585),ABS(($A585-1)/$B$6-D585)))</f>
        <v>0.0134332951679386</v>
      </c>
      <c r="I585" s="21" t="n">
        <f aca="false">IF(B585="","",MAX(ABS($A585/$B$6-E585),ABS(($A585-1)/$B$6-E585)))</f>
        <v>0.00842079972537713</v>
      </c>
      <c r="J585" s="21" t="n">
        <f aca="false">IF(B585="","",MAX(ABS($A585/$B$6-F585),ABS(($A585-1)/$B$6-F585)))</f>
        <v>0.00949487091045631</v>
      </c>
      <c r="K585" s="21" t="n">
        <f aca="false">IF(B585="","",MAX(ABS($A585/$B$6-G585),ABS(($A585-1)/$B$6-G585)))</f>
        <v>0.00860831795063943</v>
      </c>
    </row>
    <row r="586" customFormat="false" ht="15" hidden="false" customHeight="false" outlineLevel="0" collapsed="false">
      <c r="A586" s="11" t="n">
        <v>550</v>
      </c>
      <c r="B586" s="9" t="n">
        <f aca="false">IF(A586&gt;$B$6,"",SMALL(BTC_Data!$C$3:$C$1002,A586))</f>
        <v>0.000102014219061086</v>
      </c>
      <c r="C586" s="21" t="n">
        <f aca="false">IF(B586="","",A586/$B$6)</f>
        <v>0.55</v>
      </c>
      <c r="D586" s="21" t="n">
        <f aca="false">IF(B586="","",NORMDIST(B586,$B$15,$B$16,TRUE()))</f>
        <v>0.53559037030045</v>
      </c>
      <c r="E586" s="21" t="n">
        <f aca="false">IF(B586="","",IF(B586&gt;=$B$15,1-TDIST((B586-$B$15)/$B$18,$B$17,1),TDIST(($B$15-B586)/$B$18,$B$17,1)))</f>
        <v>0.540606158006498</v>
      </c>
      <c r="F586" s="21" t="n">
        <f aca="false">IF(B586="","",IF(B586&lt;$B$19,0.5*EXP((B586-$B$19)/$B$20),1-0.5*EXP(-(B586-$B$19)/$B$20)))</f>
        <v>0.557531697629381</v>
      </c>
      <c r="G586" s="21" t="n">
        <f aca="false">IF(B586="","",1/(1+EXP(-(B586-$B$15)/$B$21)))</f>
        <v>0.540418512044278</v>
      </c>
      <c r="H586" s="21" t="n">
        <f aca="false">IF(B586="","",MAX(ABS($A586/$B$6-D586),ABS(($A586-1)/$B$6-D586)))</f>
        <v>0.0144096296995501</v>
      </c>
      <c r="I586" s="21" t="n">
        <f aca="false">IF(B586="","",MAX(ABS($A586/$B$6-E586),ABS(($A586-1)/$B$6-E586)))</f>
        <v>0.00939384199350246</v>
      </c>
      <c r="J586" s="21" t="n">
        <f aca="false">IF(B586="","",MAX(ABS($A586/$B$6-F586),ABS(($A586-1)/$B$6-F586)))</f>
        <v>0.00853169762938111</v>
      </c>
      <c r="K586" s="21" t="n">
        <f aca="false">IF(B586="","",MAX(ABS($A586/$B$6-G586),ABS(($A586-1)/$B$6-G586)))</f>
        <v>0.00958148795572211</v>
      </c>
    </row>
    <row r="587" customFormat="false" ht="15" hidden="false" customHeight="false" outlineLevel="0" collapsed="false">
      <c r="A587" s="11" t="n">
        <v>551</v>
      </c>
      <c r="B587" s="9" t="n">
        <f aca="false">IF(A587&gt;$B$6,"",SMALL(BTC_Data!$C$3:$C$1002,A587))</f>
        <v>0.000102935289285178</v>
      </c>
      <c r="C587" s="21" t="n">
        <f aca="false">IF(B587="","",A587/$B$6)</f>
        <v>0.551</v>
      </c>
      <c r="D587" s="21" t="n">
        <f aca="false">IF(B587="","",NORMDIST(B587,$B$15,$B$16,TRUE()))</f>
        <v>0.535877807645603</v>
      </c>
      <c r="E587" s="21" t="n">
        <f aca="false">IF(B587="","",IF(B587&gt;=$B$15,1-TDIST((B587-$B$15)/$B$18,$B$17,1),TDIST(($B$15-B587)/$B$18,$B$17,1)))</f>
        <v>0.540933575848562</v>
      </c>
      <c r="F587" s="21" t="n">
        <f aca="false">IF(B587="","",IF(B587&lt;$B$19,0.5*EXP((B587-$B$19)/$B$20),1-0.5*EXP(-(B587-$B$19)/$B$20)))</f>
        <v>0.557978760676356</v>
      </c>
      <c r="G587" s="21" t="n">
        <f aca="false">IF(B587="","",1/(1+EXP(-(B587-$B$15)/$B$21)))</f>
        <v>0.540744377942892</v>
      </c>
      <c r="H587" s="21" t="n">
        <f aca="false">IF(B587="","",MAX(ABS($A587/$B$6-D587),ABS(($A587-1)/$B$6-D587)))</f>
        <v>0.0151221923543968</v>
      </c>
      <c r="I587" s="21" t="n">
        <f aca="false">IF(B587="","",MAX(ABS($A587/$B$6-E587),ABS(($A587-1)/$B$6-E587)))</f>
        <v>0.010066424151438</v>
      </c>
      <c r="J587" s="21" t="n">
        <f aca="false">IF(B587="","",MAX(ABS($A587/$B$6-F587),ABS(($A587-1)/$B$6-F587)))</f>
        <v>0.00797876067635617</v>
      </c>
      <c r="K587" s="21" t="n">
        <f aca="false">IF(B587="","",MAX(ABS($A587/$B$6-G587),ABS(($A587-1)/$B$6-G587)))</f>
        <v>0.0102556220571081</v>
      </c>
    </row>
    <row r="588" customFormat="false" ht="15" hidden="false" customHeight="false" outlineLevel="0" collapsed="false">
      <c r="A588" s="11" t="n">
        <v>552</v>
      </c>
      <c r="B588" s="9" t="n">
        <f aca="false">IF(A588&gt;$B$6,"",SMALL(BTC_Data!$C$3:$C$1002,A588))</f>
        <v>0.00010369919040909</v>
      </c>
      <c r="C588" s="21" t="n">
        <f aca="false">IF(B588="","",A588/$B$6)</f>
        <v>0.552</v>
      </c>
      <c r="D588" s="21" t="n">
        <f aca="false">IF(B588="","",NORMDIST(B588,$B$15,$B$16,TRUE()))</f>
        <v>0.536116183209016</v>
      </c>
      <c r="E588" s="21" t="n">
        <f aca="false">IF(B588="","",IF(B588&gt;=$B$15,1-TDIST((B588-$B$15)/$B$18,$B$17,1),TDIST(($B$15-B588)/$B$18,$B$17,1)))</f>
        <v>0.54120509810144</v>
      </c>
      <c r="F588" s="21" t="n">
        <f aca="false">IF(B588="","",IF(B588&lt;$B$19,0.5*EXP((B588-$B$19)/$B$20),1-0.5*EXP(-(B588-$B$19)/$B$20)))</f>
        <v>0.558349195327891</v>
      </c>
      <c r="G588" s="21" t="n">
        <f aca="false">IF(B588="","",1/(1+EXP(-(B588-$B$15)/$B$21)))</f>
        <v>0.541014612488257</v>
      </c>
      <c r="H588" s="21" t="n">
        <f aca="false">IF(B588="","",MAX(ABS($A588/$B$6-D588),ABS(($A588-1)/$B$6-D588)))</f>
        <v>0.0158838167909844</v>
      </c>
      <c r="I588" s="21" t="n">
        <f aca="false">IF(B588="","",MAX(ABS($A588/$B$6-E588),ABS(($A588-1)/$B$6-E588)))</f>
        <v>0.0107949018985601</v>
      </c>
      <c r="J588" s="21" t="n">
        <f aca="false">IF(B588="","",MAX(ABS($A588/$B$6-F588),ABS(($A588-1)/$B$6-F588)))</f>
        <v>0.00734919532789047</v>
      </c>
      <c r="K588" s="21" t="n">
        <f aca="false">IF(B588="","",MAX(ABS($A588/$B$6-G588),ABS(($A588-1)/$B$6-G588)))</f>
        <v>0.0109853875117433</v>
      </c>
    </row>
    <row r="589" customFormat="false" ht="15" hidden="false" customHeight="false" outlineLevel="0" collapsed="false">
      <c r="A589" s="11" t="n">
        <v>553</v>
      </c>
      <c r="B589" s="9" t="n">
        <f aca="false">IF(A589&gt;$B$6,"",SMALL(BTC_Data!$C$3:$C$1002,A589))</f>
        <v>0.000104038476253177</v>
      </c>
      <c r="C589" s="21" t="n">
        <f aca="false">IF(B589="","",A589/$B$6)</f>
        <v>0.553</v>
      </c>
      <c r="D589" s="21" t="n">
        <f aca="false">IF(B589="","",NORMDIST(B589,$B$15,$B$16,TRUE()))</f>
        <v>0.536222053300536</v>
      </c>
      <c r="E589" s="21" t="n">
        <f aca="false">IF(B589="","",IF(B589&gt;=$B$15,1-TDIST((B589-$B$15)/$B$18,$B$17,1),TDIST(($B$15-B589)/$B$18,$B$17,1)))</f>
        <v>0.541325686855476</v>
      </c>
      <c r="F589" s="21" t="n">
        <f aca="false">IF(B589="","",IF(B589&lt;$B$19,0.5*EXP((B589-$B$19)/$B$20),1-0.5*EXP(-(B589-$B$19)/$B$20)))</f>
        <v>0.558513623894201</v>
      </c>
      <c r="G589" s="21" t="n">
        <f aca="false">IF(B589="","",1/(1+EXP(-(B589-$B$15)/$B$21)))</f>
        <v>0.541134629137744</v>
      </c>
      <c r="H589" s="21" t="n">
        <f aca="false">IF(B589="","",MAX(ABS($A589/$B$6-D589),ABS(($A589-1)/$B$6-D589)))</f>
        <v>0.0167779466994642</v>
      </c>
      <c r="I589" s="21" t="n">
        <f aca="false">IF(B589="","",MAX(ABS($A589/$B$6-E589),ABS(($A589-1)/$B$6-E589)))</f>
        <v>0.0116743131445244</v>
      </c>
      <c r="J589" s="21" t="n">
        <f aca="false">IF(B589="","",MAX(ABS($A589/$B$6-F589),ABS(($A589-1)/$B$6-F589)))</f>
        <v>0.00651362389420074</v>
      </c>
      <c r="K589" s="21" t="n">
        <f aca="false">IF(B589="","",MAX(ABS($A589/$B$6-G589),ABS(($A589-1)/$B$6-G589)))</f>
        <v>0.0118653708622557</v>
      </c>
    </row>
    <row r="590" customFormat="false" ht="15" hidden="false" customHeight="false" outlineLevel="0" collapsed="false">
      <c r="A590" s="11" t="n">
        <v>554</v>
      </c>
      <c r="B590" s="9" t="n">
        <f aca="false">IF(A590&gt;$B$6,"",SMALL(BTC_Data!$C$3:$C$1002,A590))</f>
        <v>0.000104585749114872</v>
      </c>
      <c r="C590" s="21" t="n">
        <f aca="false">IF(B590="","",A590/$B$6)</f>
        <v>0.554</v>
      </c>
      <c r="D590" s="21" t="n">
        <f aca="false">IF(B590="","",NORMDIST(B590,$B$15,$B$16,TRUE()))</f>
        <v>0.536392817845775</v>
      </c>
      <c r="E590" s="21" t="n">
        <f aca="false">IF(B590="","",IF(B590&gt;=$B$15,1-TDIST((B590-$B$15)/$B$18,$B$17,1),TDIST(($B$15-B590)/$B$18,$B$17,1)))</f>
        <v>0.541520188379457</v>
      </c>
      <c r="F590" s="21" t="n">
        <f aca="false">IF(B590="","",IF(B590&lt;$B$19,0.5*EXP((B590-$B$19)/$B$20),1-0.5*EXP(-(B590-$B$19)/$B$20)))</f>
        <v>0.558778720494755</v>
      </c>
      <c r="G590" s="21" t="n">
        <f aca="false">IF(B590="","",1/(1+EXP(-(B590-$B$15)/$B$21)))</f>
        <v>0.541328207626804</v>
      </c>
      <c r="H590" s="21" t="n">
        <f aca="false">IF(B590="","",MAX(ABS($A590/$B$6-D590),ABS(($A590-1)/$B$6-D590)))</f>
        <v>0.0176071821542246</v>
      </c>
      <c r="I590" s="21" t="n">
        <f aca="false">IF(B590="","",MAX(ABS($A590/$B$6-E590),ABS(($A590-1)/$B$6-E590)))</f>
        <v>0.0124798116205432</v>
      </c>
      <c r="J590" s="21" t="n">
        <f aca="false">IF(B590="","",MAX(ABS($A590/$B$6-F590),ABS(($A590-1)/$B$6-F590)))</f>
        <v>0.00577872049475448</v>
      </c>
      <c r="K590" s="21" t="n">
        <f aca="false">IF(B590="","",MAX(ABS($A590/$B$6-G590),ABS(($A590-1)/$B$6-G590)))</f>
        <v>0.0126717923731957</v>
      </c>
    </row>
    <row r="591" customFormat="false" ht="15" hidden="false" customHeight="false" outlineLevel="0" collapsed="false">
      <c r="A591" s="11" t="n">
        <v>555</v>
      </c>
      <c r="B591" s="9" t="n">
        <f aca="false">IF(A591&gt;$B$6,"",SMALL(BTC_Data!$C$3:$C$1002,A591))</f>
        <v>0.000105288792180636</v>
      </c>
      <c r="C591" s="21" t="n">
        <f aca="false">IF(B591="","",A591/$B$6)</f>
        <v>0.555</v>
      </c>
      <c r="D591" s="21" t="n">
        <f aca="false">IF(B591="","",NORMDIST(B591,$B$15,$B$16,TRUE()))</f>
        <v>0.536612177238097</v>
      </c>
      <c r="E591" s="21" t="n">
        <f aca="false">IF(B591="","",IF(B591&gt;=$B$15,1-TDIST((B591-$B$15)/$B$18,$B$17,1),TDIST(($B$15-B591)/$B$18,$B$17,1)))</f>
        <v>0.541770032938597</v>
      </c>
      <c r="F591" s="21" t="n">
        <f aca="false">IF(B591="","",IF(B591&lt;$B$19,0.5*EXP((B591-$B$19)/$B$20),1-0.5*EXP(-(B591-$B$19)/$B$20)))</f>
        <v>0.559119037929514</v>
      </c>
      <c r="G591" s="21" t="n">
        <f aca="false">IF(B591="","",1/(1+EXP(-(B591-$B$15)/$B$21)))</f>
        <v>0.541576866023471</v>
      </c>
      <c r="H591" s="21" t="n">
        <f aca="false">IF(B591="","",MAX(ABS($A591/$B$6-D591),ABS(($A591-1)/$B$6-D591)))</f>
        <v>0.0183878227619027</v>
      </c>
      <c r="I591" s="21" t="n">
        <f aca="false">IF(B591="","",MAX(ABS($A591/$B$6-E591),ABS(($A591-1)/$B$6-E591)))</f>
        <v>0.0132299670614031</v>
      </c>
      <c r="J591" s="21" t="n">
        <f aca="false">IF(B591="","",MAX(ABS($A591/$B$6-F591),ABS(($A591-1)/$B$6-F591)))</f>
        <v>0.00511903792951407</v>
      </c>
      <c r="K591" s="21" t="n">
        <f aca="false">IF(B591="","",MAX(ABS($A591/$B$6-G591),ABS(($A591-1)/$B$6-G591)))</f>
        <v>0.0134231339765291</v>
      </c>
    </row>
    <row r="592" customFormat="false" ht="15" hidden="false" customHeight="false" outlineLevel="0" collapsed="false">
      <c r="A592" s="11" t="n">
        <v>556</v>
      </c>
      <c r="B592" s="9" t="n">
        <f aca="false">IF(A592&gt;$B$6,"",SMALL(BTC_Data!$C$3:$C$1002,A592))</f>
        <v>0.000105809679440405</v>
      </c>
      <c r="C592" s="21" t="n">
        <f aca="false">IF(B592="","",A592/$B$6)</f>
        <v>0.556</v>
      </c>
      <c r="D592" s="21" t="n">
        <f aca="false">IF(B592="","",NORMDIST(B592,$B$15,$B$16,TRUE()))</f>
        <v>0.536774694264404</v>
      </c>
      <c r="E592" s="21" t="n">
        <f aca="false">IF(B592="","",IF(B592&gt;=$B$15,1-TDIST((B592-$B$15)/$B$18,$B$17,1),TDIST(($B$15-B592)/$B$18,$B$17,1)))</f>
        <v>0.541955130661756</v>
      </c>
      <c r="F592" s="21" t="n">
        <f aca="false">IF(B592="","",IF(B592&lt;$B$19,0.5*EXP((B592-$B$19)/$B$20),1-0.5*EXP(-(B592-$B$19)/$B$20)))</f>
        <v>0.559371011104533</v>
      </c>
      <c r="G592" s="21" t="n">
        <f aca="false">IF(B592="","",1/(1+EXP(-(B592-$B$15)/$B$21)))</f>
        <v>0.541761084619839</v>
      </c>
      <c r="H592" s="21" t="n">
        <f aca="false">IF(B592="","",MAX(ABS($A592/$B$6-D592),ABS(($A592-1)/$B$6-D592)))</f>
        <v>0.0192253057355962</v>
      </c>
      <c r="I592" s="21" t="n">
        <f aca="false">IF(B592="","",MAX(ABS($A592/$B$6-E592),ABS(($A592-1)/$B$6-E592)))</f>
        <v>0.0140448693382442</v>
      </c>
      <c r="J592" s="21" t="n">
        <f aca="false">IF(B592="","",MAX(ABS($A592/$B$6-F592),ABS(($A592-1)/$B$6-F592)))</f>
        <v>0.00437101110453264</v>
      </c>
      <c r="K592" s="21" t="n">
        <f aca="false">IF(B592="","",MAX(ABS($A592/$B$6-G592),ABS(($A592-1)/$B$6-G592)))</f>
        <v>0.0142389153801606</v>
      </c>
    </row>
    <row r="593" customFormat="false" ht="15" hidden="false" customHeight="false" outlineLevel="0" collapsed="false">
      <c r="A593" s="11" t="n">
        <v>557</v>
      </c>
      <c r="B593" s="9" t="n">
        <f aca="false">IF(A593&gt;$B$6,"",SMALL(BTC_Data!$C$3:$C$1002,A593))</f>
        <v>0.000106848048045061</v>
      </c>
      <c r="C593" s="21" t="n">
        <f aca="false">IF(B593="","",A593/$B$6)</f>
        <v>0.557</v>
      </c>
      <c r="D593" s="21" t="n">
        <f aca="false">IF(B593="","",NORMDIST(B593,$B$15,$B$16,TRUE()))</f>
        <v>0.537098647331916</v>
      </c>
      <c r="E593" s="21" t="n">
        <f aca="false">IF(B593="","",IF(B593&gt;=$B$15,1-TDIST((B593-$B$15)/$B$18,$B$17,1),TDIST(($B$15-B593)/$B$18,$B$17,1)))</f>
        <v>0.542324082452888</v>
      </c>
      <c r="F593" s="21" t="n">
        <f aca="false">IF(B593="","",IF(B593&lt;$B$19,0.5*EXP((B593-$B$19)/$B$20),1-0.5*EXP(-(B593-$B$19)/$B$20)))</f>
        <v>0.559872880290371</v>
      </c>
      <c r="G593" s="21" t="n">
        <f aca="false">IF(B593="","",1/(1+EXP(-(B593-$B$15)/$B$21)))</f>
        <v>0.54212828315332</v>
      </c>
      <c r="H593" s="21" t="n">
        <f aca="false">IF(B593="","",MAX(ABS($A593/$B$6-D593),ABS(($A593-1)/$B$6-D593)))</f>
        <v>0.0199013526680837</v>
      </c>
      <c r="I593" s="21" t="n">
        <f aca="false">IF(B593="","",MAX(ABS($A593/$B$6-E593),ABS(($A593-1)/$B$6-E593)))</f>
        <v>0.0146759175471122</v>
      </c>
      <c r="J593" s="21" t="n">
        <f aca="false">IF(B593="","",MAX(ABS($A593/$B$6-F593),ABS(($A593-1)/$B$6-F593)))</f>
        <v>0.00387288029037092</v>
      </c>
      <c r="K593" s="21" t="n">
        <f aca="false">IF(B593="","",MAX(ABS($A593/$B$6-G593),ABS(($A593-1)/$B$6-G593)))</f>
        <v>0.0148717168466803</v>
      </c>
    </row>
    <row r="594" customFormat="false" ht="15" hidden="false" customHeight="false" outlineLevel="0" collapsed="false">
      <c r="A594" s="11" t="n">
        <v>558</v>
      </c>
      <c r="B594" s="9" t="n">
        <f aca="false">IF(A594&gt;$B$6,"",SMALL(BTC_Data!$C$3:$C$1002,A594))</f>
        <v>0.000108997772098718</v>
      </c>
      <c r="C594" s="21" t="n">
        <f aca="false">IF(B594="","",A594/$B$6)</f>
        <v>0.558</v>
      </c>
      <c r="D594" s="21" t="n">
        <f aca="false">IF(B594="","",NORMDIST(B594,$B$15,$B$16,TRUE()))</f>
        <v>0.53776924566779</v>
      </c>
      <c r="E594" s="21" t="n">
        <f aca="false">IF(B594="","",IF(B594&gt;=$B$15,1-TDIST((B594-$B$15)/$B$18,$B$17,1),TDIST(($B$15-B594)/$B$18,$B$17,1)))</f>
        <v>0.543087776955192</v>
      </c>
      <c r="F594" s="21" t="n">
        <f aca="false">IF(B594="","",IF(B594&lt;$B$19,0.5*EXP((B594-$B$19)/$B$20),1-0.5*EXP(-(B594-$B$19)/$B$20)))</f>
        <v>0.560910079021971</v>
      </c>
      <c r="G594" s="21" t="n">
        <f aca="false">IF(B594="","",1/(1+EXP(-(B594-$B$15)/$B$21)))</f>
        <v>0.542888344688755</v>
      </c>
      <c r="H594" s="21" t="n">
        <f aca="false">IF(B594="","",MAX(ABS($A594/$B$6-D594),ABS(($A594-1)/$B$6-D594)))</f>
        <v>0.0202307543322103</v>
      </c>
      <c r="I594" s="21" t="n">
        <f aca="false">IF(B594="","",MAX(ABS($A594/$B$6-E594),ABS(($A594-1)/$B$6-E594)))</f>
        <v>0.0149122230448084</v>
      </c>
      <c r="J594" s="21" t="n">
        <f aca="false">IF(B594="","",MAX(ABS($A594/$B$6-F594),ABS(($A594-1)/$B$6-F594)))</f>
        <v>0.00391007902197105</v>
      </c>
      <c r="K594" s="21" t="n">
        <f aca="false">IF(B594="","",MAX(ABS($A594/$B$6-G594),ABS(($A594-1)/$B$6-G594)))</f>
        <v>0.0151116553112449</v>
      </c>
    </row>
    <row r="595" customFormat="false" ht="15" hidden="false" customHeight="false" outlineLevel="0" collapsed="false">
      <c r="A595" s="11" t="n">
        <v>559</v>
      </c>
      <c r="B595" s="9" t="n">
        <f aca="false">IF(A595&gt;$B$6,"",SMALL(BTC_Data!$C$3:$C$1002,A595))</f>
        <v>0.000113427204528449</v>
      </c>
      <c r="C595" s="21" t="n">
        <f aca="false">IF(B595="","",A595/$B$6)</f>
        <v>0.559</v>
      </c>
      <c r="D595" s="21" t="n">
        <f aca="false">IF(B595="","",NORMDIST(B595,$B$15,$B$16,TRUE()))</f>
        <v>0.539150649895928</v>
      </c>
      <c r="E595" s="21" t="n">
        <f aca="false">IF(B595="","",IF(B595&gt;=$B$15,1-TDIST((B595-$B$15)/$B$18,$B$17,1),TDIST(($B$15-B595)/$B$18,$B$17,1)))</f>
        <v>0.544660723824638</v>
      </c>
      <c r="F595" s="21" t="n">
        <f aca="false">IF(B595="","",IF(B595&lt;$B$19,0.5*EXP((B595-$B$19)/$B$20),1-0.5*EXP(-(B595-$B$19)/$B$20)))</f>
        <v>0.5630394910286</v>
      </c>
      <c r="G595" s="21" t="n">
        <f aca="false">IF(B595="","",1/(1+EXP(-(B595-$B$15)/$B$21)))</f>
        <v>0.544453792019839</v>
      </c>
      <c r="H595" s="21" t="n">
        <f aca="false">IF(B595="","",MAX(ABS($A595/$B$6-D595),ABS(($A595-1)/$B$6-D595)))</f>
        <v>0.0198493501040725</v>
      </c>
      <c r="I595" s="21" t="n">
        <f aca="false">IF(B595="","",MAX(ABS($A595/$B$6-E595),ABS(($A595-1)/$B$6-E595)))</f>
        <v>0.0143392761753623</v>
      </c>
      <c r="J595" s="21" t="n">
        <f aca="false">IF(B595="","",MAX(ABS($A595/$B$6-F595),ABS(($A595-1)/$B$6-F595)))</f>
        <v>0.00503949102860024</v>
      </c>
      <c r="K595" s="21" t="n">
        <f aca="false">IF(B595="","",MAX(ABS($A595/$B$6-G595),ABS(($A595-1)/$B$6-G595)))</f>
        <v>0.0145462079801616</v>
      </c>
    </row>
    <row r="596" customFormat="false" ht="15" hidden="false" customHeight="false" outlineLevel="0" collapsed="false">
      <c r="A596" s="11" t="n">
        <v>560</v>
      </c>
      <c r="B596" s="9" t="n">
        <f aca="false">IF(A596&gt;$B$6,"",SMALL(BTC_Data!$C$3:$C$1002,A596))</f>
        <v>0.000118100582547909</v>
      </c>
      <c r="C596" s="21" t="n">
        <f aca="false">IF(B596="","",A596/$B$6)</f>
        <v>0.56</v>
      </c>
      <c r="D596" s="21" t="n">
        <f aca="false">IF(B596="","",NORMDIST(B596,$B$15,$B$16,TRUE()))</f>
        <v>0.540607620925009</v>
      </c>
      <c r="E596" s="21" t="n">
        <f aca="false">IF(B596="","",IF(B596&gt;=$B$15,1-TDIST((B596-$B$15)/$B$18,$B$17,1),TDIST(($B$15-B596)/$B$18,$B$17,1)))</f>
        <v>0.546319367297192</v>
      </c>
      <c r="F596" s="21" t="n">
        <f aca="false">IF(B596="","",IF(B596&lt;$B$19,0.5*EXP((B596-$B$19)/$B$20),1-0.5*EXP(-(B596-$B$19)/$B$20)))</f>
        <v>0.56527498323343</v>
      </c>
      <c r="G596" s="21" t="n">
        <f aca="false">IF(B596="","",1/(1+EXP(-(B596-$B$15)/$B$21)))</f>
        <v>0.546104502019856</v>
      </c>
      <c r="H596" s="21" t="n">
        <f aca="false">IF(B596="","",MAX(ABS($A596/$B$6-D596),ABS(($A596-1)/$B$6-D596)))</f>
        <v>0.0193923790749909</v>
      </c>
      <c r="I596" s="21" t="n">
        <f aca="false">IF(B596="","",MAX(ABS($A596/$B$6-E596),ABS(($A596-1)/$B$6-E596)))</f>
        <v>0.0136806327028085</v>
      </c>
      <c r="J596" s="21" t="n">
        <f aca="false">IF(B596="","",MAX(ABS($A596/$B$6-F596),ABS(($A596-1)/$B$6-F596)))</f>
        <v>0.00627498323343023</v>
      </c>
      <c r="K596" s="21" t="n">
        <f aca="false">IF(B596="","",MAX(ABS($A596/$B$6-G596),ABS(($A596-1)/$B$6-G596)))</f>
        <v>0.0138954979801444</v>
      </c>
    </row>
    <row r="597" customFormat="false" ht="15" hidden="false" customHeight="false" outlineLevel="0" collapsed="false">
      <c r="A597" s="11" t="n">
        <v>561</v>
      </c>
      <c r="B597" s="9" t="n">
        <f aca="false">IF(A597&gt;$B$6,"",SMALL(BTC_Data!$C$3:$C$1002,A597))</f>
        <v>0.00011950021827567</v>
      </c>
      <c r="C597" s="21" t="n">
        <f aca="false">IF(B597="","",A597/$B$6)</f>
        <v>0.561</v>
      </c>
      <c r="D597" s="21" t="n">
        <f aca="false">IF(B597="","",NORMDIST(B597,$B$15,$B$16,TRUE()))</f>
        <v>0.541043865764323</v>
      </c>
      <c r="E597" s="21" t="n">
        <f aca="false">IF(B597="","",IF(B597&gt;=$B$15,1-TDIST((B597-$B$15)/$B$18,$B$17,1),TDIST(($B$15-B597)/$B$18,$B$17,1)))</f>
        <v>0.546815925244042</v>
      </c>
      <c r="F597" s="21" t="n">
        <f aca="false">IF(B597="","",IF(B597&lt;$B$19,0.5*EXP((B597-$B$19)/$B$20),1-0.5*EXP(-(B597-$B$19)/$B$20)))</f>
        <v>0.56594226535692</v>
      </c>
      <c r="G597" s="21" t="n">
        <f aca="false">IF(B597="","",1/(1+EXP(-(B597-$B$15)/$B$21)))</f>
        <v>0.546598679679756</v>
      </c>
      <c r="H597" s="21" t="n">
        <f aca="false">IF(B597="","",MAX(ABS($A597/$B$6-D597),ABS(($A597-1)/$B$6-D597)))</f>
        <v>0.0199561342356774</v>
      </c>
      <c r="I597" s="21" t="n">
        <f aca="false">IF(B597="","",MAX(ABS($A597/$B$6-E597),ABS(($A597-1)/$B$6-E597)))</f>
        <v>0.0141840747559581</v>
      </c>
      <c r="J597" s="21" t="n">
        <f aca="false">IF(B597="","",MAX(ABS($A597/$B$6-F597),ABS(($A597-1)/$B$6-F597)))</f>
        <v>0.00594226535692033</v>
      </c>
      <c r="K597" s="21" t="n">
        <f aca="false">IF(B597="","",MAX(ABS($A597/$B$6-G597),ABS(($A597-1)/$B$6-G597)))</f>
        <v>0.0144013203202437</v>
      </c>
    </row>
    <row r="598" customFormat="false" ht="15" hidden="false" customHeight="false" outlineLevel="0" collapsed="false">
      <c r="A598" s="11" t="n">
        <v>562</v>
      </c>
      <c r="B598" s="9" t="n">
        <f aca="false">IF(A598&gt;$B$6,"",SMALL(BTC_Data!$C$3:$C$1002,A598))</f>
        <v>0.000125231287739558</v>
      </c>
      <c r="C598" s="21" t="n">
        <f aca="false">IF(B598="","",A598/$B$6)</f>
        <v>0.562</v>
      </c>
      <c r="D598" s="21" t="n">
        <f aca="false">IF(B598="","",NORMDIST(B598,$B$15,$B$16,TRUE()))</f>
        <v>0.54282963049901</v>
      </c>
      <c r="E598" s="21" t="n">
        <f aca="false">IF(B598="","",IF(B598&gt;=$B$15,1-TDIST((B598-$B$15)/$B$18,$B$17,1),TDIST(($B$15-B598)/$B$18,$B$17,1)))</f>
        <v>0.548848227466693</v>
      </c>
      <c r="F598" s="21" t="n">
        <f aca="false">IF(B598="","",IF(B598&lt;$B$19,0.5*EXP((B598-$B$19)/$B$20),1-0.5*EXP(-(B598-$B$19)/$B$20)))</f>
        <v>0.568663909862587</v>
      </c>
      <c r="G598" s="21" t="n">
        <f aca="false">IF(B598="","",1/(1+EXP(-(B598-$B$15)/$B$21)))</f>
        <v>0.548621214231824</v>
      </c>
      <c r="H598" s="21" t="n">
        <f aca="false">IF(B598="","",MAX(ABS($A598/$B$6-D598),ABS(($A598-1)/$B$6-D598)))</f>
        <v>0.0191703695009905</v>
      </c>
      <c r="I598" s="21" t="n">
        <f aca="false">IF(B598="","",MAX(ABS($A598/$B$6-E598),ABS(($A598-1)/$B$6-E598)))</f>
        <v>0.013151772533307</v>
      </c>
      <c r="J598" s="21" t="n">
        <f aca="false">IF(B598="","",MAX(ABS($A598/$B$6-F598),ABS(($A598-1)/$B$6-F598)))</f>
        <v>0.00766390986258692</v>
      </c>
      <c r="K598" s="21" t="n">
        <f aca="false">IF(B598="","",MAX(ABS($A598/$B$6-G598),ABS(($A598-1)/$B$6-G598)))</f>
        <v>0.013378785768176</v>
      </c>
    </row>
    <row r="599" customFormat="false" ht="15" hidden="false" customHeight="false" outlineLevel="0" collapsed="false">
      <c r="A599" s="11" t="n">
        <v>563</v>
      </c>
      <c r="B599" s="9" t="n">
        <f aca="false">IF(A599&gt;$B$6,"",SMALL(BTC_Data!$C$3:$C$1002,A599))</f>
        <v>0.000125826819758812</v>
      </c>
      <c r="C599" s="21" t="n">
        <f aca="false">IF(B599="","",A599/$B$6)</f>
        <v>0.563</v>
      </c>
      <c r="D599" s="21" t="n">
        <f aca="false">IF(B599="","",NORMDIST(B599,$B$15,$B$16,TRUE()))</f>
        <v>0.543015145517076</v>
      </c>
      <c r="E599" s="21" t="n">
        <f aca="false">IF(B599="","",IF(B599&gt;=$B$15,1-TDIST((B599-$B$15)/$B$18,$B$17,1),TDIST(($B$15-B599)/$B$18,$B$17,1)))</f>
        <v>0.549059320919653</v>
      </c>
      <c r="F599" s="21" t="n">
        <f aca="false">IF(B599="","",IF(B599&lt;$B$19,0.5*EXP((B599-$B$19)/$B$20),1-0.5*EXP(-(B599-$B$19)/$B$20)))</f>
        <v>0.568945743193543</v>
      </c>
      <c r="G599" s="21" t="n">
        <f aca="false">IF(B599="","",1/(1+EXP(-(B599-$B$15)/$B$21)))</f>
        <v>0.548831290715368</v>
      </c>
      <c r="H599" s="21" t="n">
        <f aca="false">IF(B599="","",MAX(ABS($A599/$B$6-D599),ABS(($A599-1)/$B$6-D599)))</f>
        <v>0.0199848544829243</v>
      </c>
      <c r="I599" s="21" t="n">
        <f aca="false">IF(B599="","",MAX(ABS($A599/$B$6-E599),ABS(($A599-1)/$B$6-E599)))</f>
        <v>0.0139406790803469</v>
      </c>
      <c r="J599" s="21" t="n">
        <f aca="false">IF(B599="","",MAX(ABS($A599/$B$6-F599),ABS(($A599-1)/$B$6-F599)))</f>
        <v>0.00694574319354335</v>
      </c>
      <c r="K599" s="21" t="n">
        <f aca="false">IF(B599="","",MAX(ABS($A599/$B$6-G599),ABS(($A599-1)/$B$6-G599)))</f>
        <v>0.0141687092846323</v>
      </c>
    </row>
    <row r="600" customFormat="false" ht="15" hidden="false" customHeight="false" outlineLevel="0" collapsed="false">
      <c r="A600" s="11" t="n">
        <v>564</v>
      </c>
      <c r="B600" s="9" t="n">
        <f aca="false">IF(A600&gt;$B$6,"",SMALL(BTC_Data!$C$3:$C$1002,A600))</f>
        <v>0.000126934013617186</v>
      </c>
      <c r="C600" s="21" t="n">
        <f aca="false">IF(B600="","",A600/$B$6)</f>
        <v>0.564</v>
      </c>
      <c r="D600" s="21" t="n">
        <f aca="false">IF(B600="","",NORMDIST(B600,$B$15,$B$16,TRUE()))</f>
        <v>0.543360024090705</v>
      </c>
      <c r="E600" s="21" t="n">
        <f aca="false">IF(B600="","",IF(B600&gt;=$B$15,1-TDIST((B600-$B$15)/$B$18,$B$17,1),TDIST(($B$15-B600)/$B$18,$B$17,1)))</f>
        <v>0.549451733729172</v>
      </c>
      <c r="F600" s="21" t="n">
        <f aca="false">IF(B600="","",IF(B600&lt;$B$19,0.5*EXP((B600-$B$19)/$B$20),1-0.5*EXP(-(B600-$B$19)/$B$20)))</f>
        <v>0.569469229256403</v>
      </c>
      <c r="G600" s="21" t="n">
        <f aca="false">IF(B600="","",1/(1+EXP(-(B600-$B$15)/$B$21)))</f>
        <v>0.54922181180034</v>
      </c>
      <c r="H600" s="21" t="n">
        <f aca="false">IF(B600="","",MAX(ABS($A600/$B$6-D600),ABS(($A600-1)/$B$6-D600)))</f>
        <v>0.0206399759092948</v>
      </c>
      <c r="I600" s="21" t="n">
        <f aca="false">IF(B600="","",MAX(ABS($A600/$B$6-E600),ABS(($A600-1)/$B$6-E600)))</f>
        <v>0.0145482662708279</v>
      </c>
      <c r="J600" s="21" t="n">
        <f aca="false">IF(B600="","",MAX(ABS($A600/$B$6-F600),ABS(($A600-1)/$B$6-F600)))</f>
        <v>0.00646922925640281</v>
      </c>
      <c r="K600" s="21" t="n">
        <f aca="false">IF(B600="","",MAX(ABS($A600/$B$6-G600),ABS(($A600-1)/$B$6-G600)))</f>
        <v>0.0147781881996598</v>
      </c>
    </row>
    <row r="601" customFormat="false" ht="15" hidden="false" customHeight="false" outlineLevel="0" collapsed="false">
      <c r="A601" s="11" t="n">
        <v>565</v>
      </c>
      <c r="B601" s="9" t="n">
        <f aca="false">IF(A601&gt;$B$6,"",SMALL(BTC_Data!$C$3:$C$1002,A601))</f>
        <v>0.0001293549424497</v>
      </c>
      <c r="C601" s="21" t="n">
        <f aca="false">IF(B601="","",A601/$B$6)</f>
        <v>0.565</v>
      </c>
      <c r="D601" s="21" t="n">
        <f aca="false">IF(B601="","",NORMDIST(B601,$B$15,$B$16,TRUE()))</f>
        <v>0.544114002369784</v>
      </c>
      <c r="E601" s="21" t="n">
        <f aca="false">IF(B601="","",IF(B601&gt;=$B$15,1-TDIST((B601-$B$15)/$B$18,$B$17,1),TDIST(($B$15-B601)/$B$18,$B$17,1)))</f>
        <v>0.550309554598188</v>
      </c>
      <c r="F601" s="21" t="n">
        <f aca="false">IF(B601="","",IF(B601&lt;$B$19,0.5*EXP((B601-$B$19)/$B$20),1-0.5*EXP(-(B601-$B$19)/$B$20)))</f>
        <v>0.57061164122201</v>
      </c>
      <c r="G601" s="21" t="n">
        <f aca="false">IF(B601="","",1/(1+EXP(-(B601-$B$15)/$B$21)))</f>
        <v>0.550075491722897</v>
      </c>
      <c r="H601" s="21" t="n">
        <f aca="false">IF(B601="","",MAX(ABS($A601/$B$6-D601),ABS(($A601-1)/$B$6-D601)))</f>
        <v>0.0208859976302156</v>
      </c>
      <c r="I601" s="21" t="n">
        <f aca="false">IF(B601="","",MAX(ABS($A601/$B$6-E601),ABS(($A601-1)/$B$6-E601)))</f>
        <v>0.0146904454018122</v>
      </c>
      <c r="J601" s="21" t="n">
        <f aca="false">IF(B601="","",MAX(ABS($A601/$B$6-F601),ABS(($A601-1)/$B$6-F601)))</f>
        <v>0.00661164122200997</v>
      </c>
      <c r="K601" s="21" t="n">
        <f aca="false">IF(B601="","",MAX(ABS($A601/$B$6-G601),ABS(($A601-1)/$B$6-G601)))</f>
        <v>0.0149245082771029</v>
      </c>
    </row>
    <row r="602" customFormat="false" ht="15" hidden="false" customHeight="false" outlineLevel="0" collapsed="false">
      <c r="A602" s="11" t="n">
        <v>566</v>
      </c>
      <c r="B602" s="9" t="n">
        <f aca="false">IF(A602&gt;$B$6,"",SMALL(BTC_Data!$C$3:$C$1002,A602))</f>
        <v>0.000133105108225839</v>
      </c>
      <c r="C602" s="21" t="n">
        <f aca="false">IF(B602="","",A602/$B$6)</f>
        <v>0.566</v>
      </c>
      <c r="D602" s="21" t="n">
        <f aca="false">IF(B602="","",NORMDIST(B602,$B$15,$B$16,TRUE()))</f>
        <v>0.545281645953076</v>
      </c>
      <c r="E602" s="21" t="n">
        <f aca="false">IF(B602="","",IF(B602&gt;=$B$15,1-TDIST((B602-$B$15)/$B$18,$B$17,1),TDIST(($B$15-B602)/$B$18,$B$17,1)))</f>
        <v>0.551637800069336</v>
      </c>
      <c r="F602" s="21" t="n">
        <f aca="false">IF(B602="","",IF(B602&lt;$B$19,0.5*EXP((B602-$B$19)/$B$20),1-0.5*EXP(-(B602-$B$19)/$B$20)))</f>
        <v>0.572375324697221</v>
      </c>
      <c r="G602" s="21" t="n">
        <f aca="false">IF(B602="","",1/(1+EXP(-(B602-$B$15)/$B$21)))</f>
        <v>0.551397309947068</v>
      </c>
      <c r="H602" s="21" t="n">
        <f aca="false">IF(B602="","",MAX(ABS($A602/$B$6-D602),ABS(($A602-1)/$B$6-D602)))</f>
        <v>0.0207183540469238</v>
      </c>
      <c r="I602" s="21" t="n">
        <f aca="false">IF(B602="","",MAX(ABS($A602/$B$6-E602),ABS(($A602-1)/$B$6-E602)))</f>
        <v>0.014362199930664</v>
      </c>
      <c r="J602" s="21" t="n">
        <f aca="false">IF(B602="","",MAX(ABS($A602/$B$6-F602),ABS(($A602-1)/$B$6-F602)))</f>
        <v>0.0073753246972208</v>
      </c>
      <c r="K602" s="21" t="n">
        <f aca="false">IF(B602="","",MAX(ABS($A602/$B$6-G602),ABS(($A602-1)/$B$6-G602)))</f>
        <v>0.0146026900529317</v>
      </c>
    </row>
    <row r="603" customFormat="false" ht="15" hidden="false" customHeight="false" outlineLevel="0" collapsed="false">
      <c r="A603" s="11" t="n">
        <v>567</v>
      </c>
      <c r="B603" s="9" t="n">
        <f aca="false">IF(A603&gt;$B$6,"",SMALL(BTC_Data!$C$3:$C$1002,A603))</f>
        <v>0.000134089106689217</v>
      </c>
      <c r="C603" s="21" t="n">
        <f aca="false">IF(B603="","",A603/$B$6)</f>
        <v>0.567</v>
      </c>
      <c r="D603" s="21" t="n">
        <f aca="false">IF(B603="","",NORMDIST(B603,$B$15,$B$16,TRUE()))</f>
        <v>0.545587957235658</v>
      </c>
      <c r="E603" s="21" t="n">
        <f aca="false">IF(B603="","",IF(B603&gt;=$B$15,1-TDIST((B603-$B$15)/$B$18,$B$17,1),TDIST(($B$15-B603)/$B$18,$B$17,1)))</f>
        <v>0.551986198874199</v>
      </c>
      <c r="F603" s="21" t="n">
        <f aca="false">IF(B603="","",IF(B603&lt;$B$19,0.5*EXP((B603-$B$19)/$B$20),1-0.5*EXP(-(B603-$B$19)/$B$20)))</f>
        <v>0.572836893077418</v>
      </c>
      <c r="G603" s="21" t="n">
        <f aca="false">IF(B603="","",1/(1+EXP(-(B603-$B$15)/$B$21)))</f>
        <v>0.551744019732117</v>
      </c>
      <c r="H603" s="21" t="n">
        <f aca="false">IF(B603="","",MAX(ABS($A603/$B$6-D603),ABS(($A603-1)/$B$6-D603)))</f>
        <v>0.0214120427643416</v>
      </c>
      <c r="I603" s="21" t="n">
        <f aca="false">IF(B603="","",MAX(ABS($A603/$B$6-E603),ABS(($A603-1)/$B$6-E603)))</f>
        <v>0.0150138011258009</v>
      </c>
      <c r="J603" s="21" t="n">
        <f aca="false">IF(B603="","",MAX(ABS($A603/$B$6-F603),ABS(($A603-1)/$B$6-F603)))</f>
        <v>0.00683689307741797</v>
      </c>
      <c r="K603" s="21" t="n">
        <f aca="false">IF(B603="","",MAX(ABS($A603/$B$6-G603),ABS(($A603-1)/$B$6-G603)))</f>
        <v>0.015255980267883</v>
      </c>
    </row>
    <row r="604" customFormat="false" ht="15" hidden="false" customHeight="false" outlineLevel="0" collapsed="false">
      <c r="A604" s="11" t="n">
        <v>568</v>
      </c>
      <c r="B604" s="9" t="n">
        <f aca="false">IF(A604&gt;$B$6,"",SMALL(BTC_Data!$C$3:$C$1002,A604))</f>
        <v>0.000135604279701163</v>
      </c>
      <c r="C604" s="21" t="n">
        <f aca="false">IF(B604="","",A604/$B$6)</f>
        <v>0.568</v>
      </c>
      <c r="D604" s="21" t="n">
        <f aca="false">IF(B604="","",NORMDIST(B604,$B$15,$B$16,TRUE()))</f>
        <v>0.546059566066524</v>
      </c>
      <c r="E604" s="21" t="n">
        <f aca="false">IF(B604="","",IF(B604&gt;=$B$15,1-TDIST((B604-$B$15)/$B$18,$B$17,1),TDIST(($B$15-B604)/$B$18,$B$17,1)))</f>
        <v>0.552522571338064</v>
      </c>
      <c r="F604" s="21" t="n">
        <f aca="false">IF(B604="","",IF(B604&lt;$B$19,0.5*EXP((B604-$B$19)/$B$20),1-0.5*EXP(-(B604-$B$19)/$B$20)))</f>
        <v>0.573546647769397</v>
      </c>
      <c r="G604" s="21" t="n">
        <f aca="false">IF(B604="","",1/(1+EXP(-(B604-$B$15)/$B$21)))</f>
        <v>0.552277789292973</v>
      </c>
      <c r="H604" s="21" t="n">
        <f aca="false">IF(B604="","",MAX(ABS($A604/$B$6-D604),ABS(($A604-1)/$B$6-D604)))</f>
        <v>0.0219404339334757</v>
      </c>
      <c r="I604" s="21" t="n">
        <f aca="false">IF(B604="","",MAX(ABS($A604/$B$6-E604),ABS(($A604-1)/$B$6-E604)))</f>
        <v>0.0154774286619365</v>
      </c>
      <c r="J604" s="21" t="n">
        <f aca="false">IF(B604="","",MAX(ABS($A604/$B$6-F604),ABS(($A604-1)/$B$6-F604)))</f>
        <v>0.0065466477693974</v>
      </c>
      <c r="K604" s="21" t="n">
        <f aca="false">IF(B604="","",MAX(ABS($A604/$B$6-G604),ABS(($A604-1)/$B$6-G604)))</f>
        <v>0.0157222107070271</v>
      </c>
    </row>
    <row r="605" customFormat="false" ht="15" hidden="false" customHeight="false" outlineLevel="0" collapsed="false">
      <c r="A605" s="11" t="n">
        <v>569</v>
      </c>
      <c r="B605" s="9" t="n">
        <f aca="false">IF(A605&gt;$B$6,"",SMALL(BTC_Data!$C$3:$C$1002,A605))</f>
        <v>0.000138323988113642</v>
      </c>
      <c r="C605" s="21" t="n">
        <f aca="false">IF(B605="","",A605/$B$6)</f>
        <v>0.569</v>
      </c>
      <c r="D605" s="21" t="n">
        <f aca="false">IF(B605="","",NORMDIST(B605,$B$15,$B$16,TRUE()))</f>
        <v>0.546905932143435</v>
      </c>
      <c r="E605" s="21" t="n">
        <f aca="false">IF(B605="","",IF(B605&gt;=$B$15,1-TDIST((B605-$B$15)/$B$18,$B$17,1),TDIST(($B$15-B605)/$B$18,$B$17,1)))</f>
        <v>0.553485053911483</v>
      </c>
      <c r="F605" s="21" t="n">
        <f aca="false">IF(B605="","",IF(B605&lt;$B$19,0.5*EXP((B605-$B$19)/$B$20),1-0.5*EXP(-(B605-$B$19)/$B$20)))</f>
        <v>0.57481768779889</v>
      </c>
      <c r="G605" s="21" t="n">
        <f aca="false">IF(B605="","",1/(1+EXP(-(B605-$B$15)/$B$21)))</f>
        <v>0.553235593159277</v>
      </c>
      <c r="H605" s="21" t="n">
        <f aca="false">IF(B605="","",MAX(ABS($A605/$B$6-D605),ABS(($A605-1)/$B$6-D605)))</f>
        <v>0.0220940678565653</v>
      </c>
      <c r="I605" s="21" t="n">
        <f aca="false">IF(B605="","",MAX(ABS($A605/$B$6-E605),ABS(($A605-1)/$B$6-E605)))</f>
        <v>0.0155149460885174</v>
      </c>
      <c r="J605" s="21" t="n">
        <f aca="false">IF(B605="","",MAX(ABS($A605/$B$6-F605),ABS(($A605-1)/$B$6-F605)))</f>
        <v>0.0068176877988898</v>
      </c>
      <c r="K605" s="21" t="n">
        <f aca="false">IF(B605="","",MAX(ABS($A605/$B$6-G605),ABS(($A605-1)/$B$6-G605)))</f>
        <v>0.0157644068407232</v>
      </c>
    </row>
    <row r="606" customFormat="false" ht="15" hidden="false" customHeight="false" outlineLevel="0" collapsed="false">
      <c r="A606" s="11" t="n">
        <v>570</v>
      </c>
      <c r="B606" s="9" t="n">
        <f aca="false">IF(A606&gt;$B$6,"",SMALL(BTC_Data!$C$3:$C$1002,A606))</f>
        <v>0.000139356464731844</v>
      </c>
      <c r="C606" s="21" t="n">
        <f aca="false">IF(B606="","",A606/$B$6)</f>
        <v>0.57</v>
      </c>
      <c r="D606" s="21" t="n">
        <f aca="false">IF(B606="","",NORMDIST(B606,$B$15,$B$16,TRUE()))</f>
        <v>0.547227180561115</v>
      </c>
      <c r="E606" s="21" t="n">
        <f aca="false">IF(B606="","",IF(B606&gt;=$B$15,1-TDIST((B606-$B$15)/$B$18,$B$17,1),TDIST(($B$15-B606)/$B$18,$B$17,1)))</f>
        <v>0.553850338100594</v>
      </c>
      <c r="F606" s="21" t="n">
        <f aca="false">IF(B606="","",IF(B606&lt;$B$19,0.5*EXP((B606-$B$19)/$B$20),1-0.5*EXP(-(B606-$B$19)/$B$20)))</f>
        <v>0.575299217117984</v>
      </c>
      <c r="G606" s="21" t="n">
        <f aca="false">IF(B606="","",1/(1+EXP(-(B606-$B$15)/$B$21)))</f>
        <v>0.55359909895859</v>
      </c>
      <c r="H606" s="21" t="n">
        <f aca="false">IF(B606="","",MAX(ABS($A606/$B$6-D606),ABS(($A606-1)/$B$6-D606)))</f>
        <v>0.0227728194388852</v>
      </c>
      <c r="I606" s="21" t="n">
        <f aca="false">IF(B606="","",MAX(ABS($A606/$B$6-E606),ABS(($A606-1)/$B$6-E606)))</f>
        <v>0.0161496618994061</v>
      </c>
      <c r="J606" s="21" t="n">
        <f aca="false">IF(B606="","",MAX(ABS($A606/$B$6-F606),ABS(($A606-1)/$B$6-F606)))</f>
        <v>0.00629921711798431</v>
      </c>
      <c r="K606" s="21" t="n">
        <f aca="false">IF(B606="","",MAX(ABS($A606/$B$6-G606),ABS(($A606-1)/$B$6-G606)))</f>
        <v>0.0164009010414098</v>
      </c>
    </row>
    <row r="607" customFormat="false" ht="15" hidden="false" customHeight="false" outlineLevel="0" collapsed="false">
      <c r="A607" s="11" t="n">
        <v>571</v>
      </c>
      <c r="B607" s="9" t="n">
        <f aca="false">IF(A607&gt;$B$6,"",SMALL(BTC_Data!$C$3:$C$1002,A607))</f>
        <v>0.000140811085537429</v>
      </c>
      <c r="C607" s="21" t="n">
        <f aca="false">IF(B607="","",A607/$B$6)</f>
        <v>0.571</v>
      </c>
      <c r="D607" s="21" t="n">
        <f aca="false">IF(B607="","",NORMDIST(B607,$B$15,$B$16,TRUE()))</f>
        <v>0.547679723913152</v>
      </c>
      <c r="E607" s="21" t="n">
        <f aca="false">IF(B607="","",IF(B607&gt;=$B$15,1-TDIST((B607-$B$15)/$B$18,$B$17,1),TDIST(($B$15-B607)/$B$18,$B$17,1)))</f>
        <v>0.554364879196613</v>
      </c>
      <c r="F607" s="21" t="n">
        <f aca="false">IF(B607="","",IF(B607&lt;$B$19,0.5*EXP((B607-$B$19)/$B$20),1-0.5*EXP(-(B607-$B$19)/$B$20)))</f>
        <v>0.575976701976145</v>
      </c>
      <c r="G607" s="21" t="n">
        <f aca="false">IF(B607="","",1/(1+EXP(-(B607-$B$15)/$B$21)))</f>
        <v>0.554111132445924</v>
      </c>
      <c r="H607" s="21" t="n">
        <f aca="false">IF(B607="","",MAX(ABS($A607/$B$6-D607),ABS(($A607-1)/$B$6-D607)))</f>
        <v>0.0233202760868481</v>
      </c>
      <c r="I607" s="21" t="n">
        <f aca="false">IF(B607="","",MAX(ABS($A607/$B$6-E607),ABS(($A607-1)/$B$6-E607)))</f>
        <v>0.016635120803387</v>
      </c>
      <c r="J607" s="21" t="n">
        <f aca="false">IF(B607="","",MAX(ABS($A607/$B$6-F607),ABS(($A607-1)/$B$6-F607)))</f>
        <v>0.00597670197614508</v>
      </c>
      <c r="K607" s="21" t="n">
        <f aca="false">IF(B607="","",MAX(ABS($A607/$B$6-G607),ABS(($A607-1)/$B$6-G607)))</f>
        <v>0.0168888675540758</v>
      </c>
    </row>
    <row r="608" customFormat="false" ht="15" hidden="false" customHeight="false" outlineLevel="0" collapsed="false">
      <c r="A608" s="11" t="n">
        <v>572</v>
      </c>
      <c r="B608" s="9" t="n">
        <f aca="false">IF(A608&gt;$B$6,"",SMALL(BTC_Data!$C$3:$C$1002,A608))</f>
        <v>0.000140849803077936</v>
      </c>
      <c r="C608" s="21" t="n">
        <f aca="false">IF(B608="","",A608/$B$6)</f>
        <v>0.572</v>
      </c>
      <c r="D608" s="21" t="n">
        <f aca="false">IF(B608="","",NORMDIST(B608,$B$15,$B$16,TRUE()))</f>
        <v>0.547691768384379</v>
      </c>
      <c r="E608" s="21" t="n">
        <f aca="false">IF(B608="","",IF(B608&gt;=$B$15,1-TDIST((B608-$B$15)/$B$18,$B$17,1),TDIST(($B$15-B608)/$B$18,$B$17,1)))</f>
        <v>0.554378573170775</v>
      </c>
      <c r="F608" s="21" t="n">
        <f aca="false">IF(B608="","",IF(B608&lt;$B$19,0.5*EXP((B608-$B$19)/$B$20),1-0.5*EXP(-(B608-$B$19)/$B$20)))</f>
        <v>0.575994719770056</v>
      </c>
      <c r="G608" s="21" t="n">
        <f aca="false">IF(B608="","",1/(1+EXP(-(B608-$B$15)/$B$21)))</f>
        <v>0.554124759641578</v>
      </c>
      <c r="H608" s="21" t="n">
        <f aca="false">IF(B608="","",MAX(ABS($A608/$B$6-D608),ABS(($A608-1)/$B$6-D608)))</f>
        <v>0.0243082316156212</v>
      </c>
      <c r="I608" s="21" t="n">
        <f aca="false">IF(B608="","",MAX(ABS($A608/$B$6-E608),ABS(($A608-1)/$B$6-E608)))</f>
        <v>0.0176214268292249</v>
      </c>
      <c r="J608" s="21" t="n">
        <f aca="false">IF(B608="","",MAX(ABS($A608/$B$6-F608),ABS(($A608-1)/$B$6-F608)))</f>
        <v>0.00499471977005639</v>
      </c>
      <c r="K608" s="21" t="n">
        <f aca="false">IF(B608="","",MAX(ABS($A608/$B$6-G608),ABS(($A608-1)/$B$6-G608)))</f>
        <v>0.0178752403584217</v>
      </c>
    </row>
    <row r="609" customFormat="false" ht="15" hidden="false" customHeight="false" outlineLevel="0" collapsed="false">
      <c r="A609" s="11" t="n">
        <v>573</v>
      </c>
      <c r="B609" s="9" t="n">
        <f aca="false">IF(A609&gt;$B$6,"",SMALL(BTC_Data!$C$3:$C$1002,A609))</f>
        <v>0.000140895761907345</v>
      </c>
      <c r="C609" s="21" t="n">
        <f aca="false">IF(B609="","",A609/$B$6)</f>
        <v>0.573</v>
      </c>
      <c r="D609" s="21" t="n">
        <f aca="false">IF(B609="","",NORMDIST(B609,$B$15,$B$16,TRUE()))</f>
        <v>0.547706065459695</v>
      </c>
      <c r="E609" s="21" t="n">
        <f aca="false">IF(B609="","",IF(B609&gt;=$B$15,1-TDIST((B609-$B$15)/$B$18,$B$17,1),TDIST(($B$15-B609)/$B$18,$B$17,1)))</f>
        <v>0.554394828206947</v>
      </c>
      <c r="F609" s="21" t="n">
        <f aca="false">IF(B609="","",IF(B609&lt;$B$19,0.5*EXP((B609-$B$19)/$B$20),1-0.5*EXP(-(B609-$B$19)/$B$20)))</f>
        <v>0.576016106413641</v>
      </c>
      <c r="G609" s="21" t="n">
        <f aca="false">IF(B609="","",1/(1+EXP(-(B609-$B$15)/$B$21)))</f>
        <v>0.554140935407476</v>
      </c>
      <c r="H609" s="21" t="n">
        <f aca="false">IF(B609="","",MAX(ABS($A609/$B$6-D609),ABS(($A609-1)/$B$6-D609)))</f>
        <v>0.0252939345403047</v>
      </c>
      <c r="I609" s="21" t="n">
        <f aca="false">IF(B609="","",MAX(ABS($A609/$B$6-E609),ABS(($A609-1)/$B$6-E609)))</f>
        <v>0.0186051717930529</v>
      </c>
      <c r="J609" s="21" t="n">
        <f aca="false">IF(B609="","",MAX(ABS($A609/$B$6-F609),ABS(($A609-1)/$B$6-F609)))</f>
        <v>0.0040161064136407</v>
      </c>
      <c r="K609" s="21" t="n">
        <f aca="false">IF(B609="","",MAX(ABS($A609/$B$6-G609),ABS(($A609-1)/$B$6-G609)))</f>
        <v>0.0188590645925235</v>
      </c>
    </row>
    <row r="610" customFormat="false" ht="15" hidden="false" customHeight="false" outlineLevel="0" collapsed="false">
      <c r="A610" s="11" t="n">
        <v>574</v>
      </c>
      <c r="B610" s="9" t="n">
        <f aca="false">IF(A610&gt;$B$6,"",SMALL(BTC_Data!$C$3:$C$1002,A610))</f>
        <v>0.000145993803825961</v>
      </c>
      <c r="C610" s="21" t="n">
        <f aca="false">IF(B610="","",A610/$B$6)</f>
        <v>0.574</v>
      </c>
      <c r="D610" s="21" t="n">
        <f aca="false">IF(B610="","",NORMDIST(B610,$B$15,$B$16,TRUE()))</f>
        <v>0.549291598636604</v>
      </c>
      <c r="E610" s="21" t="n">
        <f aca="false">IF(B610="","",IF(B610&gt;=$B$15,1-TDIST((B610-$B$15)/$B$18,$B$17,1),TDIST(($B$15-B610)/$B$18,$B$17,1)))</f>
        <v>0.556197234864045</v>
      </c>
      <c r="F610" s="21" t="n">
        <f aca="false">IF(B610="","",IF(B610&lt;$B$19,0.5*EXP((B610-$B$19)/$B$20),1-0.5*EXP(-(B610-$B$19)/$B$20)))</f>
        <v>0.578381763018773</v>
      </c>
      <c r="G610" s="21" t="n">
        <f aca="false">IF(B610="","",1/(1+EXP(-(B610-$B$15)/$B$21)))</f>
        <v>0.555934533450496</v>
      </c>
      <c r="H610" s="21" t="n">
        <f aca="false">IF(B610="","",MAX(ABS($A610/$B$6-D610),ABS(($A610-1)/$B$6-D610)))</f>
        <v>0.0247084013633956</v>
      </c>
      <c r="I610" s="21" t="n">
        <f aca="false">IF(B610="","",MAX(ABS($A610/$B$6-E610),ABS(($A610-1)/$B$6-E610)))</f>
        <v>0.0178027651359546</v>
      </c>
      <c r="J610" s="21" t="n">
        <f aca="false">IF(B610="","",MAX(ABS($A610/$B$6-F610),ABS(($A610-1)/$B$6-F610)))</f>
        <v>0.00538176301877347</v>
      </c>
      <c r="K610" s="21" t="n">
        <f aca="false">IF(B610="","",MAX(ABS($A610/$B$6-G610),ABS(($A610-1)/$B$6-G610)))</f>
        <v>0.0180654665495038</v>
      </c>
    </row>
    <row r="611" customFormat="false" ht="15" hidden="false" customHeight="false" outlineLevel="0" collapsed="false">
      <c r="A611" s="11" t="n">
        <v>575</v>
      </c>
      <c r="B611" s="9" t="n">
        <f aca="false">IF(A611&gt;$B$6,"",SMALL(BTC_Data!$C$3:$C$1002,A611))</f>
        <v>0.000152677596164885</v>
      </c>
      <c r="C611" s="21" t="n">
        <f aca="false">IF(B611="","",A611/$B$6)</f>
        <v>0.575</v>
      </c>
      <c r="D611" s="21" t="n">
        <f aca="false">IF(B611="","",NORMDIST(B611,$B$15,$B$16,TRUE()))</f>
        <v>0.551369118325802</v>
      </c>
      <c r="E611" s="21" t="n">
        <f aca="false">IF(B611="","",IF(B611&gt;=$B$15,1-TDIST((B611-$B$15)/$B$18,$B$17,1),TDIST(($B$15-B611)/$B$18,$B$17,1)))</f>
        <v>0.558558115299471</v>
      </c>
      <c r="F611" s="21" t="n">
        <f aca="false">IF(B611="","",IF(B611&lt;$B$19,0.5*EXP((B611-$B$19)/$B$20),1-0.5*EXP(-(B611-$B$19)/$B$20)))</f>
        <v>0.581463274310463</v>
      </c>
      <c r="G611" s="21" t="n">
        <f aca="false">IF(B611="","",1/(1+EXP(-(B611-$B$15)/$B$21)))</f>
        <v>0.558283817939526</v>
      </c>
      <c r="H611" s="21" t="n">
        <f aca="false">IF(B611="","",MAX(ABS($A611/$B$6-D611),ABS(($A611-1)/$B$6-D611)))</f>
        <v>0.0236308816741982</v>
      </c>
      <c r="I611" s="21" t="n">
        <f aca="false">IF(B611="","",MAX(ABS($A611/$B$6-E611),ABS(($A611-1)/$B$6-E611)))</f>
        <v>0.0164418847005294</v>
      </c>
      <c r="J611" s="21" t="n">
        <f aca="false">IF(B611="","",MAX(ABS($A611/$B$6-F611),ABS(($A611-1)/$B$6-F611)))</f>
        <v>0.0074632743104629</v>
      </c>
      <c r="K611" s="21" t="n">
        <f aca="false">IF(B611="","",MAX(ABS($A611/$B$6-G611),ABS(($A611-1)/$B$6-G611)))</f>
        <v>0.016716182060474</v>
      </c>
    </row>
    <row r="612" customFormat="false" ht="15" hidden="false" customHeight="false" outlineLevel="0" collapsed="false">
      <c r="A612" s="11" t="n">
        <v>576</v>
      </c>
      <c r="B612" s="9" t="n">
        <f aca="false">IF(A612&gt;$B$6,"",SMALL(BTC_Data!$C$3:$C$1002,A612))</f>
        <v>0.000155249816608638</v>
      </c>
      <c r="C612" s="21" t="n">
        <f aca="false">IF(B612="","",A612/$B$6)</f>
        <v>0.576</v>
      </c>
      <c r="D612" s="21" t="n">
        <f aca="false">IF(B612="","",NORMDIST(B612,$B$15,$B$16,TRUE()))</f>
        <v>0.552168268228084</v>
      </c>
      <c r="E612" s="21" t="n">
        <f aca="false">IF(B612="","",IF(B612&gt;=$B$15,1-TDIST((B612-$B$15)/$B$18,$B$17,1),TDIST(($B$15-B612)/$B$18,$B$17,1)))</f>
        <v>0.55946601289413</v>
      </c>
      <c r="F612" s="21" t="n">
        <f aca="false">IF(B612="","",IF(B612&lt;$B$19,0.5*EXP((B612-$B$19)/$B$20),1-0.5*EXP(-(B612-$B$19)/$B$20)))</f>
        <v>0.582643166270862</v>
      </c>
      <c r="G612" s="21" t="n">
        <f aca="false">IF(B612="","",1/(1+EXP(-(B612-$B$15)/$B$21)))</f>
        <v>0.559187238208052</v>
      </c>
      <c r="H612" s="21" t="n">
        <f aca="false">IF(B612="","",MAX(ABS($A612/$B$6-D612),ABS(($A612-1)/$B$6-D612)))</f>
        <v>0.0238317317719159</v>
      </c>
      <c r="I612" s="21" t="n">
        <f aca="false">IF(B612="","",MAX(ABS($A612/$B$6-E612),ABS(($A612-1)/$B$6-E612)))</f>
        <v>0.0165339871058704</v>
      </c>
      <c r="J612" s="21" t="n">
        <f aca="false">IF(B612="","",MAX(ABS($A612/$B$6-F612),ABS(($A612-1)/$B$6-F612)))</f>
        <v>0.00764316627086203</v>
      </c>
      <c r="K612" s="21" t="n">
        <f aca="false">IF(B612="","",MAX(ABS($A612/$B$6-G612),ABS(($A612-1)/$B$6-G612)))</f>
        <v>0.016812761791948</v>
      </c>
    </row>
    <row r="613" customFormat="false" ht="15" hidden="false" customHeight="false" outlineLevel="0" collapsed="false">
      <c r="A613" s="11" t="n">
        <v>577</v>
      </c>
      <c r="B613" s="9" t="n">
        <f aca="false">IF(A613&gt;$B$6,"",SMALL(BTC_Data!$C$3:$C$1002,A613))</f>
        <v>0.00015904055463789</v>
      </c>
      <c r="C613" s="21" t="n">
        <f aca="false">IF(B613="","",A613/$B$6)</f>
        <v>0.577</v>
      </c>
      <c r="D613" s="21" t="n">
        <f aca="false">IF(B613="","",NORMDIST(B613,$B$15,$B$16,TRUE()))</f>
        <v>0.553345606280588</v>
      </c>
      <c r="E613" s="21" t="n">
        <f aca="false">IF(B613="","",IF(B613&gt;=$B$15,1-TDIST((B613-$B$15)/$B$18,$B$17,1),TDIST(($B$15-B613)/$B$18,$B$17,1)))</f>
        <v>0.560803301024522</v>
      </c>
      <c r="F613" s="21" t="n">
        <f aca="false">IF(B613="","",IF(B613&lt;$B$19,0.5*EXP((B613-$B$19)/$B$20),1-0.5*EXP(-(B613-$B$19)/$B$20)))</f>
        <v>0.584375938791871</v>
      </c>
      <c r="G613" s="21" t="n">
        <f aca="false">IF(B613="","",1/(1+EXP(-(B613-$B$15)/$B$21)))</f>
        <v>0.560517912797411</v>
      </c>
      <c r="H613" s="21" t="n">
        <f aca="false">IF(B613="","",MAX(ABS($A613/$B$6-D613),ABS(($A613-1)/$B$6-D613)))</f>
        <v>0.0236543937194125</v>
      </c>
      <c r="I613" s="21" t="n">
        <f aca="false">IF(B613="","",MAX(ABS($A613/$B$6-E613),ABS(($A613-1)/$B$6-E613)))</f>
        <v>0.0161966989754782</v>
      </c>
      <c r="J613" s="21" t="n">
        <f aca="false">IF(B613="","",MAX(ABS($A613/$B$6-F613),ABS(($A613-1)/$B$6-F613)))</f>
        <v>0.00837593879187148</v>
      </c>
      <c r="K613" s="21" t="n">
        <f aca="false">IF(B613="","",MAX(ABS($A613/$B$6-G613),ABS(($A613-1)/$B$6-G613)))</f>
        <v>0.016482087202589</v>
      </c>
    </row>
    <row r="614" customFormat="false" ht="15" hidden="false" customHeight="false" outlineLevel="0" collapsed="false">
      <c r="A614" s="11" t="n">
        <v>578</v>
      </c>
      <c r="B614" s="9" t="n">
        <f aca="false">IF(A614&gt;$B$6,"",SMALL(BTC_Data!$C$3:$C$1002,A614))</f>
        <v>0.000159192299708399</v>
      </c>
      <c r="C614" s="21" t="n">
        <f aca="false">IF(B614="","",A614/$B$6)</f>
        <v>0.578</v>
      </c>
      <c r="D614" s="21" t="n">
        <f aca="false">IF(B614="","",NORMDIST(B614,$B$15,$B$16,TRUE()))</f>
        <v>0.553392725974468</v>
      </c>
      <c r="E614" s="21" t="n">
        <f aca="false">IF(B614="","",IF(B614&gt;=$B$15,1-TDIST((B614-$B$15)/$B$18,$B$17,1),TDIST(($B$15-B614)/$B$18,$B$17,1)))</f>
        <v>0.560856815718808</v>
      </c>
      <c r="F614" s="21" t="n">
        <f aca="false">IF(B614="","",IF(B614&lt;$B$19,0.5*EXP((B614-$B$19)/$B$20),1-0.5*EXP(-(B614-$B$19)/$B$20)))</f>
        <v>0.584445152556361</v>
      </c>
      <c r="G614" s="21" t="n">
        <f aca="false">IF(B614="","",1/(1+EXP(-(B614-$B$15)/$B$21)))</f>
        <v>0.560571162367333</v>
      </c>
      <c r="H614" s="21" t="n">
        <f aca="false">IF(B614="","",MAX(ABS($A614/$B$6-D614),ABS(($A614-1)/$B$6-D614)))</f>
        <v>0.0246072740255318</v>
      </c>
      <c r="I614" s="21" t="n">
        <f aca="false">IF(B614="","",MAX(ABS($A614/$B$6-E614),ABS(($A614-1)/$B$6-E614)))</f>
        <v>0.0171431842811915</v>
      </c>
      <c r="J614" s="21" t="n">
        <f aca="false">IF(B614="","",MAX(ABS($A614/$B$6-F614),ABS(($A614-1)/$B$6-F614)))</f>
        <v>0.00744515255636102</v>
      </c>
      <c r="K614" s="21" t="n">
        <f aca="false">IF(B614="","",MAX(ABS($A614/$B$6-G614),ABS(($A614-1)/$B$6-G614)))</f>
        <v>0.0174288376326672</v>
      </c>
    </row>
    <row r="615" customFormat="false" ht="15" hidden="false" customHeight="false" outlineLevel="0" collapsed="false">
      <c r="A615" s="11" t="n">
        <v>579</v>
      </c>
      <c r="B615" s="9" t="n">
        <f aca="false">IF(A615&gt;$B$6,"",SMALL(BTC_Data!$C$3:$C$1002,A615))</f>
        <v>0.000159314963623869</v>
      </c>
      <c r="C615" s="21" t="n">
        <f aca="false">IF(B615="","",A615/$B$6)</f>
        <v>0.579</v>
      </c>
      <c r="D615" s="21" t="n">
        <f aca="false">IF(B615="","",NORMDIST(B615,$B$15,$B$16,TRUE()))</f>
        <v>0.553430814872676</v>
      </c>
      <c r="E615" s="21" t="n">
        <f aca="false">IF(B615="","",IF(B615&gt;=$B$15,1-TDIST((B615-$B$15)/$B$18,$B$17,1),TDIST(($B$15-B615)/$B$18,$B$17,1)))</f>
        <v>0.560900073602186</v>
      </c>
      <c r="F615" s="21" t="n">
        <f aca="false">IF(B615="","",IF(B615&lt;$B$19,0.5*EXP((B615-$B$19)/$B$20),1-0.5*EXP(-(B615-$B$19)/$B$20)))</f>
        <v>0.584501093437667</v>
      </c>
      <c r="G615" s="21" t="n">
        <f aca="false">IF(B615="","",1/(1+EXP(-(B615-$B$15)/$B$21)))</f>
        <v>0.560614205914473</v>
      </c>
      <c r="H615" s="21" t="n">
        <f aca="false">IF(B615="","",MAX(ABS($A615/$B$6-D615),ABS(($A615-1)/$B$6-D615)))</f>
        <v>0.0255691851273242</v>
      </c>
      <c r="I615" s="21" t="n">
        <f aca="false">IF(B615="","",MAX(ABS($A615/$B$6-E615),ABS(($A615-1)/$B$6-E615)))</f>
        <v>0.0180999263978137</v>
      </c>
      <c r="J615" s="21" t="n">
        <f aca="false">IF(B615="","",MAX(ABS($A615/$B$6-F615),ABS(($A615-1)/$B$6-F615)))</f>
        <v>0.00650109343766747</v>
      </c>
      <c r="K615" s="21" t="n">
        <f aca="false">IF(B615="","",MAX(ABS($A615/$B$6-G615),ABS(($A615-1)/$B$6-G615)))</f>
        <v>0.0183857940855274</v>
      </c>
    </row>
    <row r="616" customFormat="false" ht="15" hidden="false" customHeight="false" outlineLevel="0" collapsed="false">
      <c r="A616" s="11" t="n">
        <v>580</v>
      </c>
      <c r="B616" s="9" t="n">
        <f aca="false">IF(A616&gt;$B$6,"",SMALL(BTC_Data!$C$3:$C$1002,A616))</f>
        <v>0.000165747367146585</v>
      </c>
      <c r="C616" s="21" t="n">
        <f aca="false">IF(B616="","",A616/$B$6)</f>
        <v>0.58</v>
      </c>
      <c r="D616" s="21" t="n">
        <f aca="false">IF(B616="","",NORMDIST(B616,$B$15,$B$16,TRUE()))</f>
        <v>0.555427469054805</v>
      </c>
      <c r="E616" s="21" t="n">
        <f aca="false">IF(B616="","",IF(B616&gt;=$B$15,1-TDIST((B616-$B$15)/$B$18,$B$17,1),TDIST(($B$15-B616)/$B$18,$B$17,1)))</f>
        <v>0.5631672191533</v>
      </c>
      <c r="F616" s="21" t="n">
        <f aca="false">IF(B616="","",IF(B616&lt;$B$19,0.5*EXP((B616-$B$19)/$B$20),1-0.5*EXP(-(B616-$B$19)/$B$20)))</f>
        <v>0.587424063948048</v>
      </c>
      <c r="G616" s="21" t="n">
        <f aca="false">IF(B616="","",1/(1+EXP(-(B616-$B$15)/$B$21)))</f>
        <v>0.562870084517179</v>
      </c>
      <c r="H616" s="21" t="n">
        <f aca="false">IF(B616="","",MAX(ABS($A616/$B$6-D616),ABS(($A616-1)/$B$6-D616)))</f>
        <v>0.024572530945195</v>
      </c>
      <c r="I616" s="21" t="n">
        <f aca="false">IF(B616="","",MAX(ABS($A616/$B$6-E616),ABS(($A616-1)/$B$6-E616)))</f>
        <v>0.0168327808466996</v>
      </c>
      <c r="J616" s="21" t="n">
        <f aca="false">IF(B616="","",MAX(ABS($A616/$B$6-F616),ABS(($A616-1)/$B$6-F616)))</f>
        <v>0.00842406394804751</v>
      </c>
      <c r="K616" s="21" t="n">
        <f aca="false">IF(B616="","",MAX(ABS($A616/$B$6-G616),ABS(($A616-1)/$B$6-G616)))</f>
        <v>0.0171299154828214</v>
      </c>
    </row>
    <row r="617" customFormat="false" ht="15" hidden="false" customHeight="false" outlineLevel="0" collapsed="false">
      <c r="A617" s="11" t="n">
        <v>581</v>
      </c>
      <c r="B617" s="9" t="n">
        <f aca="false">IF(A617&gt;$B$6,"",SMALL(BTC_Data!$C$3:$C$1002,A617))</f>
        <v>0.000166024658873498</v>
      </c>
      <c r="C617" s="21" t="n">
        <f aca="false">IF(B617="","",A617/$B$6)</f>
        <v>0.581</v>
      </c>
      <c r="D617" s="21" t="n">
        <f aca="false">IF(B617="","",NORMDIST(B617,$B$15,$B$16,TRUE()))</f>
        <v>0.55551351072214</v>
      </c>
      <c r="E617" s="21" t="n">
        <f aca="false">IF(B617="","",IF(B617&gt;=$B$15,1-TDIST((B617-$B$15)/$B$18,$B$17,1),TDIST(($B$15-B617)/$B$18,$B$17,1)))</f>
        <v>0.563264896018908</v>
      </c>
      <c r="F617" s="21" t="n">
        <f aca="false">IF(B617="","",IF(B617&lt;$B$19,0.5*EXP((B617-$B$19)/$B$20),1-0.5*EXP(-(B617-$B$19)/$B$20)))</f>
        <v>0.587549605670786</v>
      </c>
      <c r="G617" s="21" t="n">
        <f aca="false">IF(B617="","",1/(1+EXP(-(B617-$B$15)/$B$21)))</f>
        <v>0.562967274462757</v>
      </c>
      <c r="H617" s="21" t="n">
        <f aca="false">IF(B617="","",MAX(ABS($A617/$B$6-D617),ABS(($A617-1)/$B$6-D617)))</f>
        <v>0.02548648927786</v>
      </c>
      <c r="I617" s="21" t="n">
        <f aca="false">IF(B617="","",MAX(ABS($A617/$B$6-E617),ABS(($A617-1)/$B$6-E617)))</f>
        <v>0.0177351039810921</v>
      </c>
      <c r="J617" s="21" t="n">
        <f aca="false">IF(B617="","",MAX(ABS($A617/$B$6-F617),ABS(($A617-1)/$B$6-F617)))</f>
        <v>0.00754960567078633</v>
      </c>
      <c r="K617" s="21" t="n">
        <f aca="false">IF(B617="","",MAX(ABS($A617/$B$6-G617),ABS(($A617-1)/$B$6-G617)))</f>
        <v>0.0180327255372434</v>
      </c>
    </row>
    <row r="618" customFormat="false" ht="15" hidden="false" customHeight="false" outlineLevel="0" collapsed="false">
      <c r="A618" s="11" t="n">
        <v>582</v>
      </c>
      <c r="B618" s="9" t="n">
        <f aca="false">IF(A618&gt;$B$6,"",SMALL(BTC_Data!$C$3:$C$1002,A618))</f>
        <v>0.000166911702775163</v>
      </c>
      <c r="C618" s="21" t="n">
        <f aca="false">IF(B618="","",A618/$B$6)</f>
        <v>0.582</v>
      </c>
      <c r="D618" s="21" t="n">
        <f aca="false">IF(B618="","",NORMDIST(B618,$B$15,$B$16,TRUE()))</f>
        <v>0.555788736600638</v>
      </c>
      <c r="E618" s="21" t="n">
        <f aca="false">IF(B618="","",IF(B618&gt;=$B$15,1-TDIST((B618-$B$15)/$B$18,$B$17,1),TDIST(($B$15-B618)/$B$18,$B$17,1)))</f>
        <v>0.563577328145573</v>
      </c>
      <c r="F618" s="21" t="n">
        <f aca="false">IF(B618="","",IF(B618&lt;$B$19,0.5*EXP((B618-$B$19)/$B$20),1-0.5*EXP(-(B618-$B$19)/$B$20)))</f>
        <v>0.587950951553837</v>
      </c>
      <c r="G618" s="21" t="n">
        <f aca="false">IF(B618="","",1/(1+EXP(-(B618-$B$15)/$B$21)))</f>
        <v>0.563278148270077</v>
      </c>
      <c r="H618" s="21" t="n">
        <f aca="false">IF(B618="","",MAX(ABS($A618/$B$6-D618),ABS(($A618-1)/$B$6-D618)))</f>
        <v>0.0262112633993621</v>
      </c>
      <c r="I618" s="21" t="n">
        <f aca="false">IF(B618="","",MAX(ABS($A618/$B$6-E618),ABS(($A618-1)/$B$6-E618)))</f>
        <v>0.0184226718544275</v>
      </c>
      <c r="J618" s="21" t="n">
        <f aca="false">IF(B618="","",MAX(ABS($A618/$B$6-F618),ABS(($A618-1)/$B$6-F618)))</f>
        <v>0.00695095155383652</v>
      </c>
      <c r="K618" s="21" t="n">
        <f aca="false">IF(B618="","",MAX(ABS($A618/$B$6-G618),ABS(($A618-1)/$B$6-G618)))</f>
        <v>0.0187218517299234</v>
      </c>
    </row>
    <row r="619" customFormat="false" ht="15" hidden="false" customHeight="false" outlineLevel="0" collapsed="false">
      <c r="A619" s="11" t="n">
        <v>583</v>
      </c>
      <c r="B619" s="9" t="n">
        <f aca="false">IF(A619&gt;$B$6,"",SMALL(BTC_Data!$C$3:$C$1002,A619))</f>
        <v>0.000170836102666438</v>
      </c>
      <c r="C619" s="21" t="n">
        <f aca="false">IF(B619="","",A619/$B$6)</f>
        <v>0.583</v>
      </c>
      <c r="D619" s="21" t="n">
        <f aca="false">IF(B619="","",NORMDIST(B619,$B$15,$B$16,TRUE()))</f>
        <v>0.557006047837977</v>
      </c>
      <c r="E619" s="21" t="n">
        <f aca="false">IF(B619="","",IF(B619&gt;=$B$15,1-TDIST((B619-$B$15)/$B$18,$B$17,1),TDIST(($B$15-B619)/$B$18,$B$17,1)))</f>
        <v>0.564958982218819</v>
      </c>
      <c r="F619" s="21" t="n">
        <f aca="false">IF(B619="","",IF(B619&lt;$B$19,0.5*EXP((B619-$B$19)/$B$20),1-0.5*EXP(-(B619-$B$19)/$B$20)))</f>
        <v>0.589721878267718</v>
      </c>
      <c r="G619" s="21" t="n">
        <f aca="false">IF(B619="","",1/(1+EXP(-(B619-$B$15)/$B$21)))</f>
        <v>0.564652895536794</v>
      </c>
      <c r="H619" s="21" t="n">
        <f aca="false">IF(B619="","",MAX(ABS($A619/$B$6-D619),ABS(($A619-1)/$B$6-D619)))</f>
        <v>0.0259939521620234</v>
      </c>
      <c r="I619" s="21" t="n">
        <f aca="false">IF(B619="","",MAX(ABS($A619/$B$6-E619),ABS(($A619-1)/$B$6-E619)))</f>
        <v>0.0180410177811808</v>
      </c>
      <c r="J619" s="21" t="n">
        <f aca="false">IF(B619="","",MAX(ABS($A619/$B$6-F619),ABS(($A619-1)/$B$6-F619)))</f>
        <v>0.00772187826771831</v>
      </c>
      <c r="K619" s="21" t="n">
        <f aca="false">IF(B619="","",MAX(ABS($A619/$B$6-G619),ABS(($A619-1)/$B$6-G619)))</f>
        <v>0.0183471044632055</v>
      </c>
    </row>
    <row r="620" customFormat="false" ht="15" hidden="false" customHeight="false" outlineLevel="0" collapsed="false">
      <c r="A620" s="11" t="n">
        <v>584</v>
      </c>
      <c r="B620" s="9" t="n">
        <f aca="false">IF(A620&gt;$B$6,"",SMALL(BTC_Data!$C$3:$C$1002,A620))</f>
        <v>0.000172310848246093</v>
      </c>
      <c r="C620" s="21" t="n">
        <f aca="false">IF(B620="","",A620/$B$6)</f>
        <v>0.584</v>
      </c>
      <c r="D620" s="21" t="n">
        <f aca="false">IF(B620="","",NORMDIST(B620,$B$15,$B$16,TRUE()))</f>
        <v>0.557463361356419</v>
      </c>
      <c r="E620" s="21" t="n">
        <f aca="false">IF(B620="","",IF(B620&gt;=$B$15,1-TDIST((B620-$B$15)/$B$18,$B$17,1),TDIST(($B$15-B620)/$B$18,$B$17,1)))</f>
        <v>0.565477942018339</v>
      </c>
      <c r="F620" s="21" t="n">
        <f aca="false">IF(B620="","",IF(B620&lt;$B$19,0.5*EXP((B620-$B$19)/$B$20),1-0.5*EXP(-(B620-$B$19)/$B$20)))</f>
        <v>0.590385403439889</v>
      </c>
      <c r="G620" s="21" t="n">
        <f aca="false">IF(B620="","",1/(1+EXP(-(B620-$B$15)/$B$21)))</f>
        <v>0.565169254476272</v>
      </c>
      <c r="H620" s="21" t="n">
        <f aca="false">IF(B620="","",MAX(ABS($A620/$B$6-D620),ABS(($A620-1)/$B$6-D620)))</f>
        <v>0.0265366386435807</v>
      </c>
      <c r="I620" s="21" t="n">
        <f aca="false">IF(B620="","",MAX(ABS($A620/$B$6-E620),ABS(($A620-1)/$B$6-E620)))</f>
        <v>0.0185220579816613</v>
      </c>
      <c r="J620" s="21" t="n">
        <f aca="false">IF(B620="","",MAX(ABS($A620/$B$6-F620),ABS(($A620-1)/$B$6-F620)))</f>
        <v>0.00738540343988858</v>
      </c>
      <c r="K620" s="21" t="n">
        <f aca="false">IF(B620="","",MAX(ABS($A620/$B$6-G620),ABS(($A620-1)/$B$6-G620)))</f>
        <v>0.018830745523728</v>
      </c>
    </row>
    <row r="621" customFormat="false" ht="15" hidden="false" customHeight="false" outlineLevel="0" collapsed="false">
      <c r="A621" s="11" t="n">
        <v>585</v>
      </c>
      <c r="B621" s="9" t="n">
        <f aca="false">IF(A621&gt;$B$6,"",SMALL(BTC_Data!$C$3:$C$1002,A621))</f>
        <v>0.000173441977600719</v>
      </c>
      <c r="C621" s="21" t="n">
        <f aca="false">IF(B621="","",A621/$B$6)</f>
        <v>0.585</v>
      </c>
      <c r="D621" s="21" t="n">
        <f aca="false">IF(B621="","",NORMDIST(B621,$B$15,$B$16,TRUE()))</f>
        <v>0.557814068823099</v>
      </c>
      <c r="E621" s="21" t="n">
        <f aca="false">IF(B621="","",IF(B621&gt;=$B$15,1-TDIST((B621-$B$15)/$B$18,$B$17,1),TDIST(($B$15-B621)/$B$18,$B$17,1)))</f>
        <v>0.565875890267338</v>
      </c>
      <c r="F621" s="21" t="n">
        <f aca="false">IF(B621="","",IF(B621&lt;$B$19,0.5*EXP((B621-$B$19)/$B$20),1-0.5*EXP(-(B621-$B$19)/$B$20)))</f>
        <v>0.590893599754787</v>
      </c>
      <c r="G621" s="21" t="n">
        <f aca="false">IF(B621="","",1/(1+EXP(-(B621-$B$15)/$B$21)))</f>
        <v>0.565565205864133</v>
      </c>
      <c r="H621" s="21" t="n">
        <f aca="false">IF(B621="","",MAX(ABS($A621/$B$6-D621),ABS(($A621-1)/$B$6-D621)))</f>
        <v>0.0271859311769009</v>
      </c>
      <c r="I621" s="21" t="n">
        <f aca="false">IF(B621="","",MAX(ABS($A621/$B$6-E621),ABS(($A621-1)/$B$6-E621)))</f>
        <v>0.0191241097326615</v>
      </c>
      <c r="J621" s="21" t="n">
        <f aca="false">IF(B621="","",MAX(ABS($A621/$B$6-F621),ABS(($A621-1)/$B$6-F621)))</f>
        <v>0.00689359975478698</v>
      </c>
      <c r="K621" s="21" t="n">
        <f aca="false">IF(B621="","",MAX(ABS($A621/$B$6-G621),ABS(($A621-1)/$B$6-G621)))</f>
        <v>0.0194347941358671</v>
      </c>
    </row>
    <row r="622" customFormat="false" ht="15" hidden="false" customHeight="false" outlineLevel="0" collapsed="false">
      <c r="A622" s="11" t="n">
        <v>586</v>
      </c>
      <c r="B622" s="9" t="n">
        <f aca="false">IF(A622&gt;$B$6,"",SMALL(BTC_Data!$C$3:$C$1002,A622))</f>
        <v>0.000174796209959194</v>
      </c>
      <c r="C622" s="21" t="n">
        <f aca="false">IF(B622="","",A622/$B$6)</f>
        <v>0.586</v>
      </c>
      <c r="D622" s="21" t="n">
        <f aca="false">IF(B622="","",NORMDIST(B622,$B$15,$B$16,TRUE()))</f>
        <v>0.558233889919288</v>
      </c>
      <c r="E622" s="21" t="n">
        <f aca="false">IF(B622="","",IF(B622&gt;=$B$15,1-TDIST((B622-$B$15)/$B$18,$B$17,1),TDIST(($B$15-B622)/$B$18,$B$17,1)))</f>
        <v>0.566352221720326</v>
      </c>
      <c r="F622" s="21" t="n">
        <f aca="false">IF(B622="","",IF(B622&lt;$B$19,0.5*EXP((B622-$B$19)/$B$20),1-0.5*EXP(-(B622-$B$19)/$B$20)))</f>
        <v>0.59150120304367</v>
      </c>
      <c r="G622" s="21" t="n">
        <f aca="false">IF(B622="","",1/(1+EXP(-(B622-$B$15)/$B$21)))</f>
        <v>0.566039144297695</v>
      </c>
      <c r="H622" s="21" t="n">
        <f aca="false">IF(B622="","",MAX(ABS($A622/$B$6-D622),ABS(($A622-1)/$B$6-D622)))</f>
        <v>0.0277661100807118</v>
      </c>
      <c r="I622" s="21" t="n">
        <f aca="false">IF(B622="","",MAX(ABS($A622/$B$6-E622),ABS(($A622-1)/$B$6-E622)))</f>
        <v>0.0196477782796737</v>
      </c>
      <c r="J622" s="21" t="n">
        <f aca="false">IF(B622="","",MAX(ABS($A622/$B$6-F622),ABS(($A622-1)/$B$6-F622)))</f>
        <v>0.00650120304366975</v>
      </c>
      <c r="K622" s="21" t="n">
        <f aca="false">IF(B622="","",MAX(ABS($A622/$B$6-G622),ABS(($A622-1)/$B$6-G622)))</f>
        <v>0.0199608557023052</v>
      </c>
    </row>
    <row r="623" customFormat="false" ht="15" hidden="false" customHeight="false" outlineLevel="0" collapsed="false">
      <c r="A623" s="11" t="n">
        <v>587</v>
      </c>
      <c r="B623" s="9" t="n">
        <f aca="false">IF(A623&gt;$B$6,"",SMALL(BTC_Data!$C$3:$C$1002,A623))</f>
        <v>0.00017489423461492</v>
      </c>
      <c r="C623" s="21" t="n">
        <f aca="false">IF(B623="","",A623/$B$6)</f>
        <v>0.587</v>
      </c>
      <c r="D623" s="21" t="n">
        <f aca="false">IF(B623="","",NORMDIST(B623,$B$15,$B$16,TRUE()))</f>
        <v>0.558264275685729</v>
      </c>
      <c r="E623" s="21" t="n">
        <f aca="false">IF(B623="","",IF(B623&gt;=$B$15,1-TDIST((B623-$B$15)/$B$18,$B$17,1),TDIST(($B$15-B623)/$B$18,$B$17,1)))</f>
        <v>0.566386695882604</v>
      </c>
      <c r="F623" s="21" t="n">
        <f aca="false">IF(B623="","",IF(B623&lt;$B$19,0.5*EXP((B623-$B$19)/$B$20),1-0.5*EXP(-(B623-$B$19)/$B$20)))</f>
        <v>0.591545148715427</v>
      </c>
      <c r="G623" s="21" t="n">
        <f aca="false">IF(B623="","",1/(1+EXP(-(B623-$B$15)/$B$21)))</f>
        <v>0.566073445146243</v>
      </c>
      <c r="H623" s="21" t="n">
        <f aca="false">IF(B623="","",MAX(ABS($A623/$B$6-D623),ABS(($A623-1)/$B$6-D623)))</f>
        <v>0.0287357243142712</v>
      </c>
      <c r="I623" s="21" t="n">
        <f aca="false">IF(B623="","",MAX(ABS($A623/$B$6-E623),ABS(($A623-1)/$B$6-E623)))</f>
        <v>0.0206133041173958</v>
      </c>
      <c r="J623" s="21" t="n">
        <f aca="false">IF(B623="","",MAX(ABS($A623/$B$6-F623),ABS(($A623-1)/$B$6-F623)))</f>
        <v>0.00554514871542655</v>
      </c>
      <c r="K623" s="21" t="n">
        <f aca="false">IF(B623="","",MAX(ABS($A623/$B$6-G623),ABS(($A623-1)/$B$6-G623)))</f>
        <v>0.0209265548537568</v>
      </c>
    </row>
    <row r="624" customFormat="false" ht="15" hidden="false" customHeight="false" outlineLevel="0" collapsed="false">
      <c r="A624" s="11" t="n">
        <v>588</v>
      </c>
      <c r="B624" s="9" t="n">
        <f aca="false">IF(A624&gt;$B$6,"",SMALL(BTC_Data!$C$3:$C$1002,A624))</f>
        <v>0.000178765237498713</v>
      </c>
      <c r="C624" s="21" t="n">
        <f aca="false">IF(B624="","",A624/$B$6)</f>
        <v>0.588</v>
      </c>
      <c r="D624" s="21" t="n">
        <f aca="false">IF(B624="","",NORMDIST(B624,$B$15,$B$16,TRUE()))</f>
        <v>0.559463936535275</v>
      </c>
      <c r="E624" s="21" t="n">
        <f aca="false">IF(B624="","",IF(B624&gt;=$B$15,1-TDIST((B624-$B$15)/$B$18,$B$17,1),TDIST(($B$15-B624)/$B$18,$B$17,1)))</f>
        <v>0.567747585126955</v>
      </c>
      <c r="F624" s="21" t="n">
        <f aca="false">IF(B624="","",IF(B624&lt;$B$19,0.5*EXP((B624-$B$19)/$B$20),1-0.5*EXP(-(B624-$B$19)/$B$20)))</f>
        <v>0.59327679301995</v>
      </c>
      <c r="G624" s="21" t="n">
        <f aca="false">IF(B624="","",1/(1+EXP(-(B624-$B$15)/$B$21)))</f>
        <v>0.56742747960637</v>
      </c>
      <c r="H624" s="21" t="n">
        <f aca="false">IF(B624="","",MAX(ABS($A624/$B$6-D624),ABS(($A624-1)/$B$6-D624)))</f>
        <v>0.0285360634647246</v>
      </c>
      <c r="I624" s="21" t="n">
        <f aca="false">IF(B624="","",MAX(ABS($A624/$B$6-E624),ABS(($A624-1)/$B$6-E624)))</f>
        <v>0.0202524148730453</v>
      </c>
      <c r="J624" s="21" t="n">
        <f aca="false">IF(B624="","",MAX(ABS($A624/$B$6-F624),ABS(($A624-1)/$B$6-F624)))</f>
        <v>0.0062767930199501</v>
      </c>
      <c r="K624" s="21" t="n">
        <f aca="false">IF(B624="","",MAX(ABS($A624/$B$6-G624),ABS(($A624-1)/$B$6-G624)))</f>
        <v>0.02057252039363</v>
      </c>
    </row>
    <row r="625" customFormat="false" ht="15" hidden="false" customHeight="false" outlineLevel="0" collapsed="false">
      <c r="A625" s="11" t="n">
        <v>589</v>
      </c>
      <c r="B625" s="9" t="n">
        <f aca="false">IF(A625&gt;$B$6,"",SMALL(BTC_Data!$C$3:$C$1002,A625))</f>
        <v>0.000179037183056785</v>
      </c>
      <c r="C625" s="21" t="n">
        <f aca="false">IF(B625="","",A625/$B$6)</f>
        <v>0.589</v>
      </c>
      <c r="D625" s="21" t="n">
        <f aca="false">IF(B625="","",NORMDIST(B625,$B$15,$B$16,TRUE()))</f>
        <v>0.559548194684167</v>
      </c>
      <c r="E625" s="21" t="n">
        <f aca="false">IF(B625="","",IF(B625&gt;=$B$15,1-TDIST((B625-$B$15)/$B$18,$B$17,1),TDIST(($B$15-B625)/$B$18,$B$17,1)))</f>
        <v>0.567843153439428</v>
      </c>
      <c r="F625" s="21" t="n">
        <f aca="false">IF(B625="","",IF(B625&lt;$B$19,0.5*EXP((B625-$B$19)/$B$20),1-0.5*EXP(-(B625-$B$19)/$B$20)))</f>
        <v>0.593398168084707</v>
      </c>
      <c r="G625" s="21" t="n">
        <f aca="false">IF(B625="","",1/(1+EXP(-(B625-$B$15)/$B$21)))</f>
        <v>0.567522565574406</v>
      </c>
      <c r="H625" s="21" t="n">
        <f aca="false">IF(B625="","",MAX(ABS($A625/$B$6-D625),ABS(($A625-1)/$B$6-D625)))</f>
        <v>0.029451805315833</v>
      </c>
      <c r="I625" s="21" t="n">
        <f aca="false">IF(B625="","",MAX(ABS($A625/$B$6-E625),ABS(($A625-1)/$B$6-E625)))</f>
        <v>0.0211568465605718</v>
      </c>
      <c r="J625" s="21" t="n">
        <f aca="false">IF(B625="","",MAX(ABS($A625/$B$6-F625),ABS(($A625-1)/$B$6-F625)))</f>
        <v>0.0053981680847065</v>
      </c>
      <c r="K625" s="21" t="n">
        <f aca="false">IF(B625="","",MAX(ABS($A625/$B$6-G625),ABS(($A625-1)/$B$6-G625)))</f>
        <v>0.021477434425594</v>
      </c>
    </row>
    <row r="626" customFormat="false" ht="15" hidden="false" customHeight="false" outlineLevel="0" collapsed="false">
      <c r="A626" s="11" t="n">
        <v>590</v>
      </c>
      <c r="B626" s="9" t="n">
        <f aca="false">IF(A626&gt;$B$6,"",SMALL(BTC_Data!$C$3:$C$1002,A626))</f>
        <v>0.000179312700626655</v>
      </c>
      <c r="C626" s="21" t="n">
        <f aca="false">IF(B626="","",A626/$B$6)</f>
        <v>0.59</v>
      </c>
      <c r="D626" s="21" t="n">
        <f aca="false">IF(B626="","",NORMDIST(B626,$B$15,$B$16,TRUE()))</f>
        <v>0.559633556816389</v>
      </c>
      <c r="E626" s="21" t="n">
        <f aca="false">IF(B626="","",IF(B626&gt;=$B$15,1-TDIST((B626-$B$15)/$B$18,$B$17,1),TDIST(($B$15-B626)/$B$18,$B$17,1)))</f>
        <v>0.567939972076578</v>
      </c>
      <c r="F626" s="21" t="n">
        <f aca="false">IF(B626="","",IF(B626&lt;$B$19,0.5*EXP((B626-$B$19)/$B$20),1-0.5*EXP(-(B626-$B$19)/$B$20)))</f>
        <v>0.59352110047633</v>
      </c>
      <c r="G626" s="21" t="n">
        <f aca="false">IF(B626="","",1/(1+EXP(-(B626-$B$15)/$B$21)))</f>
        <v>0.567618895426154</v>
      </c>
      <c r="H626" s="21" t="n">
        <f aca="false">IF(B626="","",MAX(ABS($A626/$B$6-D626),ABS(($A626-1)/$B$6-D626)))</f>
        <v>0.0303664431836106</v>
      </c>
      <c r="I626" s="21" t="n">
        <f aca="false">IF(B626="","",MAX(ABS($A626/$B$6-E626),ABS(($A626-1)/$B$6-E626)))</f>
        <v>0.0220600279234221</v>
      </c>
      <c r="J626" s="21" t="n">
        <f aca="false">IF(B626="","",MAX(ABS($A626/$B$6-F626),ABS(($A626-1)/$B$6-F626)))</f>
        <v>0.00452110047633014</v>
      </c>
      <c r="K626" s="21" t="n">
        <f aca="false">IF(B626="","",MAX(ABS($A626/$B$6-G626),ABS(($A626-1)/$B$6-G626)))</f>
        <v>0.0223811045738465</v>
      </c>
    </row>
    <row r="627" customFormat="false" ht="15" hidden="false" customHeight="false" outlineLevel="0" collapsed="false">
      <c r="A627" s="11" t="n">
        <v>591</v>
      </c>
      <c r="B627" s="9" t="n">
        <f aca="false">IF(A627&gt;$B$6,"",SMALL(BTC_Data!$C$3:$C$1002,A627))</f>
        <v>0.000180250647530356</v>
      </c>
      <c r="C627" s="21" t="n">
        <f aca="false">IF(B627="","",A627/$B$6)</f>
        <v>0.591</v>
      </c>
      <c r="D627" s="21" t="n">
        <f aca="false">IF(B627="","",NORMDIST(B627,$B$15,$B$16,TRUE()))</f>
        <v>0.559924135078973</v>
      </c>
      <c r="E627" s="21" t="n">
        <f aca="false">IF(B627="","",IF(B627&gt;=$B$15,1-TDIST((B627-$B$15)/$B$18,$B$17,1),TDIST(($B$15-B627)/$B$18,$B$17,1)))</f>
        <v>0.568269535044125</v>
      </c>
      <c r="F627" s="21" t="n">
        <f aca="false">IF(B627="","",IF(B627&lt;$B$19,0.5*EXP((B627-$B$19)/$B$20),1-0.5*EXP(-(B627-$B$19)/$B$20)))</f>
        <v>0.593939321735789</v>
      </c>
      <c r="G627" s="21" t="n">
        <f aca="false">IF(B627="","",1/(1+EXP(-(B627-$B$15)/$B$21)))</f>
        <v>0.56794679362066</v>
      </c>
      <c r="H627" s="21" t="n">
        <f aca="false">IF(B627="","",MAX(ABS($A627/$B$6-D627),ABS(($A627-1)/$B$6-D627)))</f>
        <v>0.0310758649210272</v>
      </c>
      <c r="I627" s="21" t="n">
        <f aca="false">IF(B627="","",MAX(ABS($A627/$B$6-E627),ABS(($A627-1)/$B$6-E627)))</f>
        <v>0.0227304649558755</v>
      </c>
      <c r="J627" s="21" t="n">
        <f aca="false">IF(B627="","",MAX(ABS($A627/$B$6-F627),ABS(($A627-1)/$B$6-F627)))</f>
        <v>0.0039393217357887</v>
      </c>
      <c r="K627" s="21" t="n">
        <f aca="false">IF(B627="","",MAX(ABS($A627/$B$6-G627),ABS(($A627-1)/$B$6-G627)))</f>
        <v>0.0230532063793405</v>
      </c>
    </row>
    <row r="628" customFormat="false" ht="15" hidden="false" customHeight="false" outlineLevel="0" collapsed="false">
      <c r="A628" s="11" t="n">
        <v>592</v>
      </c>
      <c r="B628" s="9" t="n">
        <f aca="false">IF(A628&gt;$B$6,"",SMALL(BTC_Data!$C$3:$C$1002,A628))</f>
        <v>0.000180617424873075</v>
      </c>
      <c r="C628" s="21" t="n">
        <f aca="false">IF(B628="","",A628/$B$6)</f>
        <v>0.592</v>
      </c>
      <c r="D628" s="21" t="n">
        <f aca="false">IF(B628="","",NORMDIST(B628,$B$15,$B$16,TRUE()))</f>
        <v>0.56003775483471</v>
      </c>
      <c r="E628" s="21" t="n">
        <f aca="false">IF(B628="","",IF(B628&gt;=$B$15,1-TDIST((B628-$B$15)/$B$18,$B$17,1),TDIST(($B$15-B628)/$B$18,$B$17,1)))</f>
        <v>0.568398392414745</v>
      </c>
      <c r="F628" s="21" t="n">
        <f aca="false">IF(B628="","",IF(B628&lt;$B$19,0.5*EXP((B628-$B$19)/$B$20),1-0.5*EXP(-(B628-$B$19)/$B$20)))</f>
        <v>0.594102747072322</v>
      </c>
      <c r="G628" s="21" t="n">
        <f aca="false">IF(B628="","",1/(1+EXP(-(B628-$B$15)/$B$21)))</f>
        <v>0.568074999658234</v>
      </c>
      <c r="H628" s="21" t="n">
        <f aca="false">IF(B628="","",MAX(ABS($A628/$B$6-D628),ABS(($A628-1)/$B$6-D628)))</f>
        <v>0.03196224516529</v>
      </c>
      <c r="I628" s="21" t="n">
        <f aca="false">IF(B628="","",MAX(ABS($A628/$B$6-E628),ABS(($A628-1)/$B$6-E628)))</f>
        <v>0.0236016075852548</v>
      </c>
      <c r="J628" s="21" t="n">
        <f aca="false">IF(B628="","",MAX(ABS($A628/$B$6-F628),ABS(($A628-1)/$B$6-F628)))</f>
        <v>0.0031027470723215</v>
      </c>
      <c r="K628" s="21" t="n">
        <f aca="false">IF(B628="","",MAX(ABS($A628/$B$6-G628),ABS(($A628-1)/$B$6-G628)))</f>
        <v>0.0239250003417663</v>
      </c>
    </row>
    <row r="629" customFormat="false" ht="15" hidden="false" customHeight="false" outlineLevel="0" collapsed="false">
      <c r="A629" s="11" t="n">
        <v>593</v>
      </c>
      <c r="B629" s="9" t="n">
        <f aca="false">IF(A629&gt;$B$6,"",SMALL(BTC_Data!$C$3:$C$1002,A629))</f>
        <v>0.000181112266034678</v>
      </c>
      <c r="C629" s="21" t="n">
        <f aca="false">IF(B629="","",A629/$B$6)</f>
        <v>0.593</v>
      </c>
      <c r="D629" s="21" t="n">
        <f aca="false">IF(B629="","",NORMDIST(B629,$B$15,$B$16,TRUE()))</f>
        <v>0.5601910381786</v>
      </c>
      <c r="E629" s="21" t="n">
        <f aca="false">IF(B629="","",IF(B629&gt;=$B$15,1-TDIST((B629-$B$15)/$B$18,$B$17,1),TDIST(($B$15-B629)/$B$18,$B$17,1)))</f>
        <v>0.568572227413764</v>
      </c>
      <c r="F629" s="21" t="n">
        <f aca="false">IF(B629="","",IF(B629&lt;$B$19,0.5*EXP((B629-$B$19)/$B$20),1-0.5*EXP(-(B629-$B$19)/$B$20)))</f>
        <v>0.594323129703569</v>
      </c>
      <c r="G629" s="21" t="n">
        <f aca="false">IF(B629="","",1/(1+EXP(-(B629-$B$15)/$B$21)))</f>
        <v>0.568247955605324</v>
      </c>
      <c r="H629" s="21" t="n">
        <f aca="false">IF(B629="","",MAX(ABS($A629/$B$6-D629),ABS(($A629-1)/$B$6-D629)))</f>
        <v>0.0328089618213998</v>
      </c>
      <c r="I629" s="21" t="n">
        <f aca="false">IF(B629="","",MAX(ABS($A629/$B$6-E629),ABS(($A629-1)/$B$6-E629)))</f>
        <v>0.0244277725862363</v>
      </c>
      <c r="J629" s="21" t="n">
        <f aca="false">IF(B629="","",MAX(ABS($A629/$B$6-F629),ABS(($A629-1)/$B$6-F629)))</f>
        <v>0.0023231297035694</v>
      </c>
      <c r="K629" s="21" t="n">
        <f aca="false">IF(B629="","",MAX(ABS($A629/$B$6-G629),ABS(($A629-1)/$B$6-G629)))</f>
        <v>0.0247520443946762</v>
      </c>
    </row>
    <row r="630" customFormat="false" ht="15" hidden="false" customHeight="false" outlineLevel="0" collapsed="false">
      <c r="A630" s="11" t="n">
        <v>594</v>
      </c>
      <c r="B630" s="9" t="n">
        <f aca="false">IF(A630&gt;$B$6,"",SMALL(BTC_Data!$C$3:$C$1002,A630))</f>
        <v>0.000186720207347113</v>
      </c>
      <c r="C630" s="21" t="n">
        <f aca="false">IF(B630="","",A630/$B$6)</f>
        <v>0.594</v>
      </c>
      <c r="D630" s="21" t="n">
        <f aca="false">IF(B630="","",NORMDIST(B630,$B$15,$B$16,TRUE()))</f>
        <v>0.561927533388623</v>
      </c>
      <c r="E630" s="21" t="n">
        <f aca="false">IF(B630="","",IF(B630&gt;=$B$15,1-TDIST((B630-$B$15)/$B$18,$B$17,1),TDIST(($B$15-B630)/$B$18,$B$17,1)))</f>
        <v>0.570541118180405</v>
      </c>
      <c r="F630" s="21" t="n">
        <f aca="false">IF(B630="","",IF(B630&lt;$B$19,0.5*EXP((B630-$B$19)/$B$20),1-0.5*EXP(-(B630-$B$19)/$B$20)))</f>
        <v>0.596812338043126</v>
      </c>
      <c r="G630" s="21" t="n">
        <f aca="false">IF(B630="","",1/(1+EXP(-(B630-$B$15)/$B$21)))</f>
        <v>0.57020685998445</v>
      </c>
      <c r="H630" s="21" t="n">
        <f aca="false">IF(B630="","",MAX(ABS($A630/$B$6-D630),ABS(($A630-1)/$B$6-D630)))</f>
        <v>0.0320724666113773</v>
      </c>
      <c r="I630" s="21" t="n">
        <f aca="false">IF(B630="","",MAX(ABS($A630/$B$6-E630),ABS(($A630-1)/$B$6-E630)))</f>
        <v>0.023458881819595</v>
      </c>
      <c r="J630" s="21" t="n">
        <f aca="false">IF(B630="","",MAX(ABS($A630/$B$6-F630),ABS(($A630-1)/$B$6-F630)))</f>
        <v>0.00381233804312564</v>
      </c>
      <c r="K630" s="21" t="n">
        <f aca="false">IF(B630="","",MAX(ABS($A630/$B$6-G630),ABS(($A630-1)/$B$6-G630)))</f>
        <v>0.0237931400155503</v>
      </c>
    </row>
    <row r="631" customFormat="false" ht="15" hidden="false" customHeight="false" outlineLevel="0" collapsed="false">
      <c r="A631" s="11" t="n">
        <v>595</v>
      </c>
      <c r="B631" s="9" t="n">
        <f aca="false">IF(A631&gt;$B$6,"",SMALL(BTC_Data!$C$3:$C$1002,A631))</f>
        <v>0.000187048248232236</v>
      </c>
      <c r="C631" s="21" t="n">
        <f aca="false">IF(B631="","",A631/$B$6)</f>
        <v>0.595</v>
      </c>
      <c r="D631" s="21" t="n">
        <f aca="false">IF(B631="","",NORMDIST(B631,$B$15,$B$16,TRUE()))</f>
        <v>0.562029074453035</v>
      </c>
      <c r="E631" s="21" t="n">
        <f aca="false">IF(B631="","",IF(B631&gt;=$B$15,1-TDIST((B631-$B$15)/$B$18,$B$17,1),TDIST(($B$15-B631)/$B$18,$B$17,1)))</f>
        <v>0.570656223949063</v>
      </c>
      <c r="F631" s="21" t="n">
        <f aca="false">IF(B631="","",IF(B631&lt;$B$19,0.5*EXP((B631-$B$19)/$B$20),1-0.5*EXP(-(B631-$B$19)/$B$20)))</f>
        <v>0.596957472453359</v>
      </c>
      <c r="G631" s="21" t="n">
        <f aca="false">IF(B631="","",1/(1+EXP(-(B631-$B$15)/$B$21)))</f>
        <v>0.570321380200162</v>
      </c>
      <c r="H631" s="21" t="n">
        <f aca="false">IF(B631="","",MAX(ABS($A631/$B$6-D631),ABS(($A631-1)/$B$6-D631)))</f>
        <v>0.0329709255469646</v>
      </c>
      <c r="I631" s="21" t="n">
        <f aca="false">IF(B631="","",MAX(ABS($A631/$B$6-E631),ABS(($A631-1)/$B$6-E631)))</f>
        <v>0.024343776050937</v>
      </c>
      <c r="J631" s="21" t="n">
        <f aca="false">IF(B631="","",MAX(ABS($A631/$B$6-F631),ABS(($A631-1)/$B$6-F631)))</f>
        <v>0.00295747245335942</v>
      </c>
      <c r="K631" s="21" t="n">
        <f aca="false">IF(B631="","",MAX(ABS($A631/$B$6-G631),ABS(($A631-1)/$B$6-G631)))</f>
        <v>0.0246786197998379</v>
      </c>
    </row>
    <row r="632" customFormat="false" ht="15" hidden="false" customHeight="false" outlineLevel="0" collapsed="false">
      <c r="A632" s="11" t="n">
        <v>596</v>
      </c>
      <c r="B632" s="9" t="n">
        <f aca="false">IF(A632&gt;$B$6,"",SMALL(BTC_Data!$C$3:$C$1002,A632))</f>
        <v>0.000188392796822923</v>
      </c>
      <c r="C632" s="21" t="n">
        <f aca="false">IF(B632="","",A632/$B$6)</f>
        <v>0.596</v>
      </c>
      <c r="D632" s="21" t="n">
        <f aca="false">IF(B632="","",NORMDIST(B632,$B$15,$B$16,TRUE()))</f>
        <v>0.562445220362845</v>
      </c>
      <c r="E632" s="21" t="n">
        <f aca="false">IF(B632="","",IF(B632&gt;=$B$15,1-TDIST((B632-$B$15)/$B$18,$B$17,1),TDIST(($B$15-B632)/$B$18,$B$17,1)))</f>
        <v>0.571127933414713</v>
      </c>
      <c r="F632" s="21" t="n">
        <f aca="false">IF(B632="","",IF(B632&lt;$B$19,0.5*EXP((B632-$B$19)/$B$20),1-0.5*EXP(-(B632-$B$19)/$B$20)))</f>
        <v>0.59755179244358</v>
      </c>
      <c r="G632" s="21" t="n">
        <f aca="false">IF(B632="","",1/(1+EXP(-(B632-$B$15)/$B$21)))</f>
        <v>0.570790688025199</v>
      </c>
      <c r="H632" s="21" t="n">
        <f aca="false">IF(B632="","",MAX(ABS($A632/$B$6-D632),ABS(($A632-1)/$B$6-D632)))</f>
        <v>0.0335547796371549</v>
      </c>
      <c r="I632" s="21" t="n">
        <f aca="false">IF(B632="","",MAX(ABS($A632/$B$6-E632),ABS(($A632-1)/$B$6-E632)))</f>
        <v>0.0248720665852874</v>
      </c>
      <c r="J632" s="21" t="n">
        <f aca="false">IF(B632="","",MAX(ABS($A632/$B$6-F632),ABS(($A632-1)/$B$6-F632)))</f>
        <v>0.00255179244357995</v>
      </c>
      <c r="K632" s="21" t="n">
        <f aca="false">IF(B632="","",MAX(ABS($A632/$B$6-G632),ABS(($A632-1)/$B$6-G632)))</f>
        <v>0.0252093119748013</v>
      </c>
    </row>
    <row r="633" customFormat="false" ht="15" hidden="false" customHeight="false" outlineLevel="0" collapsed="false">
      <c r="A633" s="11" t="n">
        <v>597</v>
      </c>
      <c r="B633" s="9" t="n">
        <f aca="false">IF(A633&gt;$B$6,"",SMALL(BTC_Data!$C$3:$C$1002,A633))</f>
        <v>0.00018868819120299</v>
      </c>
      <c r="C633" s="21" t="n">
        <f aca="false">IF(B633="","",A633/$B$6)</f>
        <v>0.597</v>
      </c>
      <c r="D633" s="21" t="n">
        <f aca="false">IF(B633="","",NORMDIST(B633,$B$15,$B$16,TRUE()))</f>
        <v>0.562536637470134</v>
      </c>
      <c r="E633" s="21" t="n">
        <f aca="false">IF(B633="","",IF(B633&gt;=$B$15,1-TDIST((B633-$B$15)/$B$18,$B$17,1),TDIST(($B$15-B633)/$B$18,$B$17,1)))</f>
        <v>0.571231550280055</v>
      </c>
      <c r="F633" s="21" t="n">
        <f aca="false">IF(B633="","",IF(B633&lt;$B$19,0.5*EXP((B633-$B$19)/$B$20),1-0.5*EXP(-(B633-$B$19)/$B$20)))</f>
        <v>0.597682245779639</v>
      </c>
      <c r="G633" s="21" t="n">
        <f aca="false">IF(B633="","",1/(1+EXP(-(B633-$B$15)/$B$21)))</f>
        <v>0.570893776905231</v>
      </c>
      <c r="H633" s="21" t="n">
        <f aca="false">IF(B633="","",MAX(ABS($A633/$B$6-D633),ABS(($A633-1)/$B$6-D633)))</f>
        <v>0.0344633625298659</v>
      </c>
      <c r="I633" s="21" t="n">
        <f aca="false">IF(B633="","",MAX(ABS($A633/$B$6-E633),ABS(($A633-1)/$B$6-E633)))</f>
        <v>0.0257684497199451</v>
      </c>
      <c r="J633" s="21" t="n">
        <f aca="false">IF(B633="","",MAX(ABS($A633/$B$6-F633),ABS(($A633-1)/$B$6-F633)))</f>
        <v>0.00168224577963905</v>
      </c>
      <c r="K633" s="21" t="n">
        <f aca="false">IF(B633="","",MAX(ABS($A633/$B$6-G633),ABS(($A633-1)/$B$6-G633)))</f>
        <v>0.0261062230947691</v>
      </c>
    </row>
    <row r="634" customFormat="false" ht="15" hidden="false" customHeight="false" outlineLevel="0" collapsed="false">
      <c r="A634" s="11" t="n">
        <v>598</v>
      </c>
      <c r="B634" s="9" t="n">
        <f aca="false">IF(A634&gt;$B$6,"",SMALL(BTC_Data!$C$3:$C$1002,A634))</f>
        <v>0.000190121217842121</v>
      </c>
      <c r="C634" s="21" t="n">
        <f aca="false">IF(B634="","",A634/$B$6)</f>
        <v>0.598</v>
      </c>
      <c r="D634" s="21" t="n">
        <f aca="false">IF(B634="","",NORMDIST(B634,$B$15,$B$16,TRUE()))</f>
        <v>0.562980075589837</v>
      </c>
      <c r="E634" s="21" t="n">
        <f aca="false">IF(B634="","",IF(B634&gt;=$B$15,1-TDIST((B634-$B$15)/$B$18,$B$17,1),TDIST(($B$15-B634)/$B$18,$B$17,1)))</f>
        <v>0.571734134068895</v>
      </c>
      <c r="F634" s="21" t="n">
        <f aca="false">IF(B634="","",IF(B634&lt;$B$19,0.5*EXP((B634-$B$19)/$B$20),1-0.5*EXP(-(B634-$B$19)/$B$20)))</f>
        <v>0.598314505250729</v>
      </c>
      <c r="G634" s="21" t="n">
        <f aca="false">IF(B634="","",1/(1+EXP(-(B634-$B$15)/$B$21)))</f>
        <v>0.571393797518039</v>
      </c>
      <c r="H634" s="21" t="n">
        <f aca="false">IF(B634="","",MAX(ABS($A634/$B$6-D634),ABS(($A634-1)/$B$6-D634)))</f>
        <v>0.0350199244101632</v>
      </c>
      <c r="I634" s="21" t="n">
        <f aca="false">IF(B634="","",MAX(ABS($A634/$B$6-E634),ABS(($A634-1)/$B$6-E634)))</f>
        <v>0.0262658659311054</v>
      </c>
      <c r="J634" s="21" t="n">
        <f aca="false">IF(B634="","",MAX(ABS($A634/$B$6-F634),ABS(($A634-1)/$B$6-F634)))</f>
        <v>0.00131450525072896</v>
      </c>
      <c r="K634" s="21" t="n">
        <f aca="false">IF(B634="","",MAX(ABS($A634/$B$6-G634),ABS(($A634-1)/$B$6-G634)))</f>
        <v>0.0266062024819606</v>
      </c>
    </row>
    <row r="635" customFormat="false" ht="15" hidden="false" customHeight="false" outlineLevel="0" collapsed="false">
      <c r="A635" s="11" t="n">
        <v>599</v>
      </c>
      <c r="B635" s="9" t="n">
        <f aca="false">IF(A635&gt;$B$6,"",SMALL(BTC_Data!$C$3:$C$1002,A635))</f>
        <v>0.000191241345961268</v>
      </c>
      <c r="C635" s="21" t="n">
        <f aca="false">IF(B635="","",A635/$B$6)</f>
        <v>0.599</v>
      </c>
      <c r="D635" s="21" t="n">
        <f aca="false">IF(B635="","",NORMDIST(B635,$B$15,$B$16,TRUE()))</f>
        <v>0.56332663481746</v>
      </c>
      <c r="E635" s="21" t="n">
        <f aca="false">IF(B635="","",IF(B635&gt;=$B$15,1-TDIST((B635-$B$15)/$B$18,$B$17,1),TDIST(($B$15-B635)/$B$18,$B$17,1)))</f>
        <v>0.57212688034378</v>
      </c>
      <c r="F635" s="21" t="n">
        <f aca="false">IF(B635="","",IF(B635&lt;$B$19,0.5*EXP((B635-$B$19)/$B$20),1-0.5*EXP(-(B635-$B$19)/$B$20)))</f>
        <v>0.598808020167832</v>
      </c>
      <c r="G635" s="21" t="n">
        <f aca="false">IF(B635="","",1/(1+EXP(-(B635-$B$15)/$B$21)))</f>
        <v>0.571784538199512</v>
      </c>
      <c r="H635" s="21" t="n">
        <f aca="false">IF(B635="","",MAX(ABS($A635/$B$6-D635),ABS(($A635-1)/$B$6-D635)))</f>
        <v>0.0356733651825404</v>
      </c>
      <c r="I635" s="21" t="n">
        <f aca="false">IF(B635="","",MAX(ABS($A635/$B$6-E635),ABS(($A635-1)/$B$6-E635)))</f>
        <v>0.0268731196562202</v>
      </c>
      <c r="J635" s="21" t="n">
        <f aca="false">IF(B635="","",MAX(ABS($A635/$B$6-F635),ABS(($A635-1)/$B$6-F635)))</f>
        <v>0.000808020167831658</v>
      </c>
      <c r="K635" s="21" t="n">
        <f aca="false">IF(B635="","",MAX(ABS($A635/$B$6-G635),ABS(($A635-1)/$B$6-G635)))</f>
        <v>0.0272154618004878</v>
      </c>
    </row>
    <row r="636" customFormat="false" ht="15" hidden="false" customHeight="false" outlineLevel="0" collapsed="false">
      <c r="A636" s="11" t="n">
        <v>600</v>
      </c>
      <c r="B636" s="9" t="n">
        <f aca="false">IF(A636&gt;$B$6,"",SMALL(BTC_Data!$C$3:$C$1002,A636))</f>
        <v>0.000191970002783703</v>
      </c>
      <c r="C636" s="21" t="n">
        <f aca="false">IF(B636="","",A636/$B$6)</f>
        <v>0.6</v>
      </c>
      <c r="D636" s="21" t="n">
        <f aca="false">IF(B636="","",NORMDIST(B636,$B$15,$B$16,TRUE()))</f>
        <v>0.563552049693205</v>
      </c>
      <c r="E636" s="21" t="n">
        <f aca="false">IF(B636="","",IF(B636&gt;=$B$15,1-TDIST((B636-$B$15)/$B$18,$B$17,1),TDIST(($B$15-B636)/$B$18,$B$17,1)))</f>
        <v>0.572382319486583</v>
      </c>
      <c r="F636" s="21" t="n">
        <f aca="false">IF(B636="","",IF(B636&lt;$B$19,0.5*EXP((B636-$B$19)/$B$20),1-0.5*EXP(-(B636-$B$19)/$B$20)))</f>
        <v>0.599128732008741</v>
      </c>
      <c r="G636" s="21" t="n">
        <f aca="false">IF(B636="","",1/(1+EXP(-(B636-$B$15)/$B$21)))</f>
        <v>0.57203867169522</v>
      </c>
      <c r="H636" s="21" t="n">
        <f aca="false">IF(B636="","",MAX(ABS($A636/$B$6-D636),ABS(($A636-1)/$B$6-D636)))</f>
        <v>0.0364479503067949</v>
      </c>
      <c r="I636" s="21" t="n">
        <f aca="false">IF(B636="","",MAX(ABS($A636/$B$6-E636),ABS(($A636-1)/$B$6-E636)))</f>
        <v>0.0276176805134175</v>
      </c>
      <c r="J636" s="21" t="n">
        <f aca="false">IF(B636="","",MAX(ABS($A636/$B$6-F636),ABS(($A636-1)/$B$6-F636)))</f>
        <v>0.000871267991259361</v>
      </c>
      <c r="K636" s="21" t="n">
        <f aca="false">IF(B636="","",MAX(ABS($A636/$B$6-G636),ABS(($A636-1)/$B$6-G636)))</f>
        <v>0.0279613283047804</v>
      </c>
    </row>
    <row r="637" customFormat="false" ht="15" hidden="false" customHeight="false" outlineLevel="0" collapsed="false">
      <c r="A637" s="11" t="n">
        <v>601</v>
      </c>
      <c r="B637" s="9" t="n">
        <f aca="false">IF(A637&gt;$B$6,"",SMALL(BTC_Data!$C$3:$C$1002,A637))</f>
        <v>0.000197410621752381</v>
      </c>
      <c r="C637" s="21" t="n">
        <f aca="false">IF(B637="","",A637/$B$6)</f>
        <v>0.601</v>
      </c>
      <c r="D637" s="21" t="n">
        <f aca="false">IF(B637="","",NORMDIST(B637,$B$15,$B$16,TRUE()))</f>
        <v>0.565234484466192</v>
      </c>
      <c r="E637" s="21" t="n">
        <f aca="false">IF(B637="","",IF(B637&gt;=$B$15,1-TDIST((B637-$B$15)/$B$18,$B$17,1),TDIST(($B$15-B637)/$B$18,$B$17,1)))</f>
        <v>0.574288406642743</v>
      </c>
      <c r="F637" s="21" t="n">
        <f aca="false">IF(B637="","",IF(B637&lt;$B$19,0.5*EXP((B637-$B$19)/$B$20),1-0.5*EXP(-(B637-$B$19)/$B$20)))</f>
        <v>0.601515282450389</v>
      </c>
      <c r="G637" s="21" t="n">
        <f aca="false">IF(B637="","",1/(1+EXP(-(B637-$B$15)/$B$21)))</f>
        <v>0.57393498531583</v>
      </c>
      <c r="H637" s="21" t="n">
        <f aca="false">IF(B637="","",MAX(ABS($A637/$B$6-D637),ABS(($A637-1)/$B$6-D637)))</f>
        <v>0.0357655155338081</v>
      </c>
      <c r="I637" s="21" t="n">
        <f aca="false">IF(B637="","",MAX(ABS($A637/$B$6-E637),ABS(($A637-1)/$B$6-E637)))</f>
        <v>0.0267115933572568</v>
      </c>
      <c r="J637" s="21" t="n">
        <f aca="false">IF(B637="","",MAX(ABS($A637/$B$6-F637),ABS(($A637-1)/$B$6-F637)))</f>
        <v>0.00151528245038868</v>
      </c>
      <c r="K637" s="21" t="n">
        <f aca="false">IF(B637="","",MAX(ABS($A637/$B$6-G637),ABS(($A637-1)/$B$6-G637)))</f>
        <v>0.02706501468417</v>
      </c>
    </row>
    <row r="638" customFormat="false" ht="15" hidden="false" customHeight="false" outlineLevel="0" collapsed="false">
      <c r="A638" s="11" t="n">
        <v>602</v>
      </c>
      <c r="B638" s="9" t="n">
        <f aca="false">IF(A638&gt;$B$6,"",SMALL(BTC_Data!$C$3:$C$1002,A638))</f>
        <v>0.00019943862369165</v>
      </c>
      <c r="C638" s="21" t="n">
        <f aca="false">IF(B638="","",A638/$B$6)</f>
        <v>0.602</v>
      </c>
      <c r="D638" s="21" t="n">
        <f aca="false">IF(B638="","",NORMDIST(B638,$B$15,$B$16,TRUE()))</f>
        <v>0.565861315086424</v>
      </c>
      <c r="E638" s="21" t="n">
        <f aca="false">IF(B638="","",IF(B638&gt;=$B$15,1-TDIST((B638-$B$15)/$B$18,$B$17,1),TDIST(($B$15-B638)/$B$18,$B$17,1)))</f>
        <v>0.57499836296489</v>
      </c>
      <c r="F638" s="21" t="n">
        <f aca="false">IF(B638="","",IF(B638&lt;$B$19,0.5*EXP((B638-$B$19)/$B$20),1-0.5*EXP(-(B638-$B$19)/$B$20)))</f>
        <v>0.602401234395181</v>
      </c>
      <c r="G638" s="21" t="n">
        <f aca="false">IF(B638="","",1/(1+EXP(-(B638-$B$15)/$B$21)))</f>
        <v>0.574641287264711</v>
      </c>
      <c r="H638" s="21" t="n">
        <f aca="false">IF(B638="","",MAX(ABS($A638/$B$6-D638),ABS(($A638-1)/$B$6-D638)))</f>
        <v>0.036138684913576</v>
      </c>
      <c r="I638" s="21" t="n">
        <f aca="false">IF(B638="","",MAX(ABS($A638/$B$6-E638),ABS(($A638-1)/$B$6-E638)))</f>
        <v>0.0270016370351103</v>
      </c>
      <c r="J638" s="21" t="n">
        <f aca="false">IF(B638="","",MAX(ABS($A638/$B$6-F638),ABS(($A638-1)/$B$6-F638)))</f>
        <v>0.00140123439518125</v>
      </c>
      <c r="K638" s="21" t="n">
        <f aca="false">IF(B638="","",MAX(ABS($A638/$B$6-G638),ABS(($A638-1)/$B$6-G638)))</f>
        <v>0.0273587127352889</v>
      </c>
    </row>
    <row r="639" customFormat="false" ht="15" hidden="false" customHeight="false" outlineLevel="0" collapsed="false">
      <c r="A639" s="11" t="n">
        <v>603</v>
      </c>
      <c r="B639" s="9" t="n">
        <f aca="false">IF(A639&gt;$B$6,"",SMALL(BTC_Data!$C$3:$C$1002,A639))</f>
        <v>0.000199921159935501</v>
      </c>
      <c r="C639" s="21" t="n">
        <f aca="false">IF(B639="","",A639/$B$6)</f>
        <v>0.603</v>
      </c>
      <c r="D639" s="21" t="n">
        <f aca="false">IF(B639="","",NORMDIST(B639,$B$15,$B$16,TRUE()))</f>
        <v>0.566010436818425</v>
      </c>
      <c r="E639" s="21" t="n">
        <f aca="false">IF(B639="","",IF(B639&gt;=$B$15,1-TDIST((B639-$B$15)/$B$18,$B$17,1),TDIST(($B$15-B639)/$B$18,$B$17,1)))</f>
        <v>0.575167243843761</v>
      </c>
      <c r="F639" s="21" t="n">
        <f aca="false">IF(B639="","",IF(B639&lt;$B$19,0.5*EXP((B639-$B$19)/$B$20),1-0.5*EXP(-(B639-$B$19)/$B$20)))</f>
        <v>0.602611744686954</v>
      </c>
      <c r="G639" s="21" t="n">
        <f aca="false">IF(B639="","",1/(1+EXP(-(B639-$B$15)/$B$21)))</f>
        <v>0.574809297724552</v>
      </c>
      <c r="H639" s="21" t="n">
        <f aca="false">IF(B639="","",MAX(ABS($A639/$B$6-D639),ABS(($A639-1)/$B$6-D639)))</f>
        <v>0.0369895631815751</v>
      </c>
      <c r="I639" s="21" t="n">
        <f aca="false">IF(B639="","",MAX(ABS($A639/$B$6-E639),ABS(($A639-1)/$B$6-E639)))</f>
        <v>0.0278327561562393</v>
      </c>
      <c r="J639" s="21" t="n">
        <f aca="false">IF(B639="","",MAX(ABS($A639/$B$6-F639),ABS(($A639-1)/$B$6-F639)))</f>
        <v>0.000611744686954241</v>
      </c>
      <c r="K639" s="21" t="n">
        <f aca="false">IF(B639="","",MAX(ABS($A639/$B$6-G639),ABS(($A639-1)/$B$6-G639)))</f>
        <v>0.0281907022754483</v>
      </c>
    </row>
    <row r="640" customFormat="false" ht="15" hidden="false" customHeight="false" outlineLevel="0" collapsed="false">
      <c r="A640" s="11" t="n">
        <v>604</v>
      </c>
      <c r="B640" s="9" t="n">
        <f aca="false">IF(A640&gt;$B$6,"",SMALL(BTC_Data!$C$3:$C$1002,A640))</f>
        <v>0.000202483963200883</v>
      </c>
      <c r="C640" s="21" t="n">
        <f aca="false">IF(B640="","",A640/$B$6)</f>
        <v>0.604</v>
      </c>
      <c r="D640" s="21" t="n">
        <f aca="false">IF(B640="","",NORMDIST(B640,$B$15,$B$16,TRUE()))</f>
        <v>0.566802280863254</v>
      </c>
      <c r="E640" s="21" t="n">
        <f aca="false">IF(B640="","",IF(B640&gt;=$B$15,1-TDIST((B640-$B$15)/$B$18,$B$17,1),TDIST(($B$15-B640)/$B$18,$B$17,1)))</f>
        <v>0.576063904256686</v>
      </c>
      <c r="F640" s="21" t="n">
        <f aca="false">IF(B640="","",IF(B640&lt;$B$19,0.5*EXP((B640-$B$19)/$B$20),1-0.5*EXP(-(B640-$B$19)/$B$20)))</f>
        <v>0.603727921569223</v>
      </c>
      <c r="G640" s="21" t="n">
        <f aca="false">IF(B640="","",1/(1+EXP(-(B640-$B$15)/$B$21)))</f>
        <v>0.575701329355655</v>
      </c>
      <c r="H640" s="21" t="n">
        <f aca="false">IF(B640="","",MAX(ABS($A640/$B$6-D640),ABS(($A640-1)/$B$6-D640)))</f>
        <v>0.0371977191367457</v>
      </c>
      <c r="I640" s="21" t="n">
        <f aca="false">IF(B640="","",MAX(ABS($A640/$B$6-E640),ABS(($A640-1)/$B$6-E640)))</f>
        <v>0.0279360957433141</v>
      </c>
      <c r="J640" s="21" t="n">
        <f aca="false">IF(B640="","",MAX(ABS($A640/$B$6-F640),ABS(($A640-1)/$B$6-F640)))</f>
        <v>0.000727921569223411</v>
      </c>
      <c r="K640" s="21" t="n">
        <f aca="false">IF(B640="","",MAX(ABS($A640/$B$6-G640),ABS(($A640-1)/$B$6-G640)))</f>
        <v>0.0282986706443448</v>
      </c>
    </row>
    <row r="641" customFormat="false" ht="15" hidden="false" customHeight="false" outlineLevel="0" collapsed="false">
      <c r="A641" s="11" t="n">
        <v>605</v>
      </c>
      <c r="B641" s="9" t="n">
        <f aca="false">IF(A641&gt;$B$6,"",SMALL(BTC_Data!$C$3:$C$1002,A641))</f>
        <v>0.000202720684659541</v>
      </c>
      <c r="C641" s="21" t="n">
        <f aca="false">IF(B641="","",A641/$B$6)</f>
        <v>0.605</v>
      </c>
      <c r="D641" s="21" t="n">
        <f aca="false">IF(B641="","",NORMDIST(B641,$B$15,$B$16,TRUE()))</f>
        <v>0.566875408573975</v>
      </c>
      <c r="E641" s="21" t="n">
        <f aca="false">IF(B641="","",IF(B641&gt;=$B$15,1-TDIST((B641-$B$15)/$B$18,$B$17,1),TDIST(($B$15-B641)/$B$18,$B$17,1)))</f>
        <v>0.57614670286005</v>
      </c>
      <c r="F641" s="21" t="n">
        <f aca="false">IF(B641="","",IF(B641&lt;$B$19,0.5*EXP((B641-$B$19)/$B$20),1-0.5*EXP(-(B641-$B$19)/$B$20)))</f>
        <v>0.603830862489682</v>
      </c>
      <c r="G641" s="21" t="n">
        <f aca="false">IF(B641="","",1/(1+EXP(-(B641-$B$15)/$B$21)))</f>
        <v>0.575783699904967</v>
      </c>
      <c r="H641" s="21" t="n">
        <f aca="false">IF(B641="","",MAX(ABS($A641/$B$6-D641),ABS(($A641-1)/$B$6-D641)))</f>
        <v>0.0381245914260249</v>
      </c>
      <c r="I641" s="21" t="n">
        <f aca="false">IF(B641="","",MAX(ABS($A641/$B$6-E641),ABS(($A641-1)/$B$6-E641)))</f>
        <v>0.0288532971399498</v>
      </c>
      <c r="J641" s="21" t="n">
        <f aca="false">IF(B641="","",MAX(ABS($A641/$B$6-F641),ABS(($A641-1)/$B$6-F641)))</f>
        <v>0.00116913751031777</v>
      </c>
      <c r="K641" s="21" t="n">
        <f aca="false">IF(B641="","",MAX(ABS($A641/$B$6-G641),ABS(($A641-1)/$B$6-G641)))</f>
        <v>0.0292163000950327</v>
      </c>
    </row>
    <row r="642" customFormat="false" ht="15" hidden="false" customHeight="false" outlineLevel="0" collapsed="false">
      <c r="A642" s="11" t="n">
        <v>606</v>
      </c>
      <c r="B642" s="9" t="n">
        <f aca="false">IF(A642&gt;$B$6,"",SMALL(BTC_Data!$C$3:$C$1002,A642))</f>
        <v>0.000204828893944686</v>
      </c>
      <c r="C642" s="21" t="n">
        <f aca="false">IF(B642="","",A642/$B$6)</f>
        <v>0.606</v>
      </c>
      <c r="D642" s="21" t="n">
        <f aca="false">IF(B642="","",NORMDIST(B642,$B$15,$B$16,TRUE()))</f>
        <v>0.567526572781556</v>
      </c>
      <c r="E642" s="21" t="n">
        <f aca="false">IF(B642="","",IF(B642&gt;=$B$15,1-TDIST((B642-$B$15)/$B$18,$B$17,1),TDIST(($B$15-B642)/$B$18,$B$17,1)))</f>
        <v>0.576883913573929</v>
      </c>
      <c r="F642" s="21" t="n">
        <f aca="false">IF(B642="","",IF(B642&lt;$B$19,0.5*EXP((B642-$B$19)/$B$20),1-0.5*EXP(-(B642-$B$19)/$B$20)))</f>
        <v>0.6047464616448</v>
      </c>
      <c r="G642" s="21" t="n">
        <f aca="false">IF(B642="","",1/(1+EXP(-(B642-$B$15)/$B$21)))</f>
        <v>0.576517094663552</v>
      </c>
      <c r="H642" s="21" t="n">
        <f aca="false">IF(B642="","",MAX(ABS($A642/$B$6-D642),ABS(($A642-1)/$B$6-D642)))</f>
        <v>0.0384734272184436</v>
      </c>
      <c r="I642" s="21" t="n">
        <f aca="false">IF(B642="","",MAX(ABS($A642/$B$6-E642),ABS(($A642-1)/$B$6-E642)))</f>
        <v>0.0291160864260712</v>
      </c>
      <c r="J642" s="21" t="n">
        <f aca="false">IF(B642="","",MAX(ABS($A642/$B$6-F642),ABS(($A642-1)/$B$6-F642)))</f>
        <v>0.00125353835520015</v>
      </c>
      <c r="K642" s="21" t="n">
        <f aca="false">IF(B642="","",MAX(ABS($A642/$B$6-G642),ABS(($A642-1)/$B$6-G642)))</f>
        <v>0.0294829053364485</v>
      </c>
    </row>
    <row r="643" customFormat="false" ht="15" hidden="false" customHeight="false" outlineLevel="0" collapsed="false">
      <c r="A643" s="11" t="n">
        <v>607</v>
      </c>
      <c r="B643" s="9" t="n">
        <f aca="false">IF(A643&gt;$B$6,"",SMALL(BTC_Data!$C$3:$C$1002,A643))</f>
        <v>0.000207846986284066</v>
      </c>
      <c r="C643" s="21" t="n">
        <f aca="false">IF(B643="","",A643/$B$6)</f>
        <v>0.607</v>
      </c>
      <c r="D643" s="21" t="n">
        <f aca="false">IF(B643="","",NORMDIST(B643,$B$15,$B$16,TRUE()))</f>
        <v>0.568458453699912</v>
      </c>
      <c r="E643" s="21" t="n">
        <f aca="false">IF(B643="","",IF(B643&gt;=$B$15,1-TDIST((B643-$B$15)/$B$18,$B$17,1),TDIST(($B$15-B643)/$B$18,$B$17,1)))</f>
        <v>0.577938721951567</v>
      </c>
      <c r="F643" s="21" t="n">
        <f aca="false">IF(B643="","",IF(B643&lt;$B$19,0.5*EXP((B643-$B$19)/$B$20),1-0.5*EXP(-(B643-$B$19)/$B$20)))</f>
        <v>0.606053542837546</v>
      </c>
      <c r="G643" s="21" t="n">
        <f aca="false">IF(B643="","",1/(1+EXP(-(B643-$B$15)/$B$21)))</f>
        <v>0.577566428310372</v>
      </c>
      <c r="H643" s="21" t="n">
        <f aca="false">IF(B643="","",MAX(ABS($A643/$B$6-D643),ABS(($A643-1)/$B$6-D643)))</f>
        <v>0.0385415463000882</v>
      </c>
      <c r="I643" s="21" t="n">
        <f aca="false">IF(B643="","",MAX(ABS($A643/$B$6-E643),ABS(($A643-1)/$B$6-E643)))</f>
        <v>0.0290612780484332</v>
      </c>
      <c r="J643" s="21" t="n">
        <f aca="false">IF(B643="","",MAX(ABS($A643/$B$6-F643),ABS(($A643-1)/$B$6-F643)))</f>
        <v>0.000946457162454228</v>
      </c>
      <c r="K643" s="21" t="n">
        <f aca="false">IF(B643="","",MAX(ABS($A643/$B$6-G643),ABS(($A643-1)/$B$6-G643)))</f>
        <v>0.0294335716896281</v>
      </c>
    </row>
    <row r="644" customFormat="false" ht="15" hidden="false" customHeight="false" outlineLevel="0" collapsed="false">
      <c r="A644" s="11" t="n">
        <v>608</v>
      </c>
      <c r="B644" s="9" t="n">
        <f aca="false">IF(A644&gt;$B$6,"",SMALL(BTC_Data!$C$3:$C$1002,A644))</f>
        <v>0.000208572468305634</v>
      </c>
      <c r="C644" s="21" t="n">
        <f aca="false">IF(B644="","",A644/$B$6)</f>
        <v>0.608</v>
      </c>
      <c r="D644" s="21" t="n">
        <f aca="false">IF(B644="","",NORMDIST(B644,$B$15,$B$16,TRUE()))</f>
        <v>0.568682400483513</v>
      </c>
      <c r="E644" s="21" t="n">
        <f aca="false">IF(B644="","",IF(B644&gt;=$B$15,1-TDIST((B644-$B$15)/$B$18,$B$17,1),TDIST(($B$15-B644)/$B$18,$B$17,1)))</f>
        <v>0.578192172465574</v>
      </c>
      <c r="F644" s="21" t="n">
        <f aca="false">IF(B644="","",IF(B644&lt;$B$19,0.5*EXP((B644-$B$19)/$B$20),1-0.5*EXP(-(B644-$B$19)/$B$20)))</f>
        <v>0.606367091048244</v>
      </c>
      <c r="G644" s="21" t="n">
        <f aca="false">IF(B644="","",1/(1+EXP(-(B644-$B$15)/$B$21)))</f>
        <v>0.577818560729381</v>
      </c>
      <c r="H644" s="21" t="n">
        <f aca="false">IF(B644="","",MAX(ABS($A644/$B$6-D644),ABS(($A644-1)/$B$6-D644)))</f>
        <v>0.0393175995164871</v>
      </c>
      <c r="I644" s="21" t="n">
        <f aca="false">IF(B644="","",MAX(ABS($A644/$B$6-E644),ABS(($A644-1)/$B$6-E644)))</f>
        <v>0.0298078275344257</v>
      </c>
      <c r="J644" s="21" t="n">
        <f aca="false">IF(B644="","",MAX(ABS($A644/$B$6-F644),ABS(($A644-1)/$B$6-F644)))</f>
        <v>0.00163290895175605</v>
      </c>
      <c r="K644" s="21" t="n">
        <f aca="false">IF(B644="","",MAX(ABS($A644/$B$6-G644),ABS(($A644-1)/$B$6-G644)))</f>
        <v>0.0301814392706191</v>
      </c>
    </row>
    <row r="645" customFormat="false" ht="15" hidden="false" customHeight="false" outlineLevel="0" collapsed="false">
      <c r="A645" s="11" t="n">
        <v>609</v>
      </c>
      <c r="B645" s="9" t="n">
        <f aca="false">IF(A645&gt;$B$6,"",SMALL(BTC_Data!$C$3:$C$1002,A645))</f>
        <v>0.000214261260985449</v>
      </c>
      <c r="C645" s="21" t="n">
        <f aca="false">IF(B645="","",A645/$B$6)</f>
        <v>0.609</v>
      </c>
      <c r="D645" s="21" t="n">
        <f aca="false">IF(B645="","",NORMDIST(B645,$B$15,$B$16,TRUE()))</f>
        <v>0.570437685310875</v>
      </c>
      <c r="E645" s="21" t="n">
        <f aca="false">IF(B645="","",IF(B645&gt;=$B$15,1-TDIST((B645-$B$15)/$B$18,$B$17,1),TDIST(($B$15-B645)/$B$18,$B$17,1)))</f>
        <v>0.580178191422399</v>
      </c>
      <c r="F645" s="21" t="n">
        <f aca="false">IF(B645="","",IF(B645&lt;$B$19,0.5*EXP((B645-$B$19)/$B$20),1-0.5*EXP(-(B645-$B$19)/$B$20)))</f>
        <v>0.608817111996776</v>
      </c>
      <c r="G645" s="21" t="n">
        <f aca="false">IF(B645="","",1/(1+EXP(-(B645-$B$15)/$B$21)))</f>
        <v>0.579794215606643</v>
      </c>
      <c r="H645" s="21" t="n">
        <f aca="false">IF(B645="","",MAX(ABS($A645/$B$6-D645),ABS(($A645-1)/$B$6-D645)))</f>
        <v>0.0385623146891246</v>
      </c>
      <c r="I645" s="21" t="n">
        <f aca="false">IF(B645="","",MAX(ABS($A645/$B$6-E645),ABS(($A645-1)/$B$6-E645)))</f>
        <v>0.0288218085776013</v>
      </c>
      <c r="J645" s="21" t="n">
        <f aca="false">IF(B645="","",MAX(ABS($A645/$B$6-F645),ABS(($A645-1)/$B$6-F645)))</f>
        <v>0.000817111996776143</v>
      </c>
      <c r="K645" s="21" t="n">
        <f aca="false">IF(B645="","",MAX(ABS($A645/$B$6-G645),ABS(($A645-1)/$B$6-G645)))</f>
        <v>0.0292057843933566</v>
      </c>
    </row>
    <row r="646" customFormat="false" ht="15" hidden="false" customHeight="false" outlineLevel="0" collapsed="false">
      <c r="A646" s="11" t="n">
        <v>610</v>
      </c>
      <c r="B646" s="9" t="n">
        <f aca="false">IF(A646&gt;$B$6,"",SMALL(BTC_Data!$C$3:$C$1002,A646))</f>
        <v>0.000214471182714338</v>
      </c>
      <c r="C646" s="21" t="n">
        <f aca="false">IF(B646="","",A646/$B$6)</f>
        <v>0.61</v>
      </c>
      <c r="D646" s="21" t="n">
        <f aca="false">IF(B646="","",NORMDIST(B646,$B$15,$B$16,TRUE()))</f>
        <v>0.570502430538863</v>
      </c>
      <c r="E646" s="21" t="n">
        <f aca="false">IF(B646="","",IF(B646&gt;=$B$15,1-TDIST((B646-$B$15)/$B$18,$B$17,1),TDIST(($B$15-B646)/$B$18,$B$17,1)))</f>
        <v>0.58025142985104</v>
      </c>
      <c r="F646" s="21" t="n">
        <f aca="false">IF(B646="","",IF(B646&lt;$B$19,0.5*EXP((B646-$B$19)/$B$20),1-0.5*EXP(-(B646-$B$19)/$B$20)))</f>
        <v>0.608907227720757</v>
      </c>
      <c r="G646" s="21" t="n">
        <f aca="false">IF(B646="","",1/(1+EXP(-(B646-$B$15)/$B$21)))</f>
        <v>0.579867070622027</v>
      </c>
      <c r="H646" s="21" t="n">
        <f aca="false">IF(B646="","",MAX(ABS($A646/$B$6-D646),ABS(($A646-1)/$B$6-D646)))</f>
        <v>0.0394975694611369</v>
      </c>
      <c r="I646" s="21" t="n">
        <f aca="false">IF(B646="","",MAX(ABS($A646/$B$6-E646),ABS(($A646-1)/$B$6-E646)))</f>
        <v>0.0297485701489599</v>
      </c>
      <c r="J646" s="21" t="n">
        <f aca="false">IF(B646="","",MAX(ABS($A646/$B$6-F646),ABS(($A646-1)/$B$6-F646)))</f>
        <v>0.00109277227924309</v>
      </c>
      <c r="K646" s="21" t="n">
        <f aca="false">IF(B646="","",MAX(ABS($A646/$B$6-G646),ABS(($A646-1)/$B$6-G646)))</f>
        <v>0.0301329293779733</v>
      </c>
    </row>
    <row r="647" customFormat="false" ht="15" hidden="false" customHeight="false" outlineLevel="0" collapsed="false">
      <c r="A647" s="11" t="n">
        <v>611</v>
      </c>
      <c r="B647" s="9" t="n">
        <f aca="false">IF(A647&gt;$B$6,"",SMALL(BTC_Data!$C$3:$C$1002,A647))</f>
        <v>0.000219311855430338</v>
      </c>
      <c r="C647" s="21" t="n">
        <f aca="false">IF(B647="","",A647/$B$6)</f>
        <v>0.611</v>
      </c>
      <c r="D647" s="21" t="n">
        <f aca="false">IF(B647="","",NORMDIST(B647,$B$15,$B$16,TRUE()))</f>
        <v>0.57199488823972</v>
      </c>
      <c r="E647" s="21" t="n">
        <f aca="false">IF(B647="","",IF(B647&gt;=$B$15,1-TDIST((B647-$B$15)/$B$18,$B$17,1),TDIST(($B$15-B647)/$B$18,$B$17,1)))</f>
        <v>0.581939313181852</v>
      </c>
      <c r="F647" s="21" t="n">
        <f aca="false">IF(B647="","",IF(B647&lt;$B$19,0.5*EXP((B647-$B$19)/$B$20),1-0.5*EXP(-(B647-$B$19)/$B$20)))</f>
        <v>0.61097949483135</v>
      </c>
      <c r="G647" s="21" t="n">
        <f aca="false">IF(B647="","",1/(1+EXP(-(B647-$B$15)/$B$21)))</f>
        <v>0.581546093336005</v>
      </c>
      <c r="H647" s="21" t="n">
        <f aca="false">IF(B647="","",MAX(ABS($A647/$B$6-D647),ABS(($A647-1)/$B$6-D647)))</f>
        <v>0.0390051117602804</v>
      </c>
      <c r="I647" s="21" t="n">
        <f aca="false">IF(B647="","",MAX(ABS($A647/$B$6-E647),ABS(($A647-1)/$B$6-E647)))</f>
        <v>0.029060686818148</v>
      </c>
      <c r="J647" s="21" t="n">
        <f aca="false">IF(B647="","",MAX(ABS($A647/$B$6-F647),ABS(($A647-1)/$B$6-F647)))</f>
        <v>0.000979494831349625</v>
      </c>
      <c r="K647" s="21" t="n">
        <f aca="false">IF(B647="","",MAX(ABS($A647/$B$6-G647),ABS(($A647-1)/$B$6-G647)))</f>
        <v>0.0294539066639946</v>
      </c>
    </row>
    <row r="648" customFormat="false" ht="15" hidden="false" customHeight="false" outlineLevel="0" collapsed="false">
      <c r="A648" s="11" t="n">
        <v>612</v>
      </c>
      <c r="B648" s="9" t="n">
        <f aca="false">IF(A648&gt;$B$6,"",SMALL(BTC_Data!$C$3:$C$1002,A648))</f>
        <v>0.000220708931366387</v>
      </c>
      <c r="C648" s="21" t="n">
        <f aca="false">IF(B648="","",A648/$B$6)</f>
        <v>0.612</v>
      </c>
      <c r="D648" s="21" t="n">
        <f aca="false">IF(B648="","",NORMDIST(B648,$B$15,$B$16,TRUE()))</f>
        <v>0.572425438878601</v>
      </c>
      <c r="E648" s="21" t="n">
        <f aca="false">IF(B648="","",IF(B648&gt;=$B$15,1-TDIST((B648-$B$15)/$B$18,$B$17,1),TDIST(($B$15-B648)/$B$18,$B$17,1)))</f>
        <v>0.582426114072089</v>
      </c>
      <c r="F648" s="21" t="n">
        <f aca="false">IF(B648="","",IF(B648&lt;$B$19,0.5*EXP((B648-$B$19)/$B$20),1-0.5*EXP(-(B648-$B$19)/$B$20)))</f>
        <v>0.611575531464684</v>
      </c>
      <c r="G648" s="21" t="n">
        <f aca="false">IF(B648="","",1/(1+EXP(-(B648-$B$15)/$B$21)))</f>
        <v>0.582030330014835</v>
      </c>
      <c r="H648" s="21" t="n">
        <f aca="false">IF(B648="","",MAX(ABS($A648/$B$6-D648),ABS(($A648-1)/$B$6-D648)))</f>
        <v>0.0395745611213995</v>
      </c>
      <c r="I648" s="21" t="n">
        <f aca="false">IF(B648="","",MAX(ABS($A648/$B$6-E648),ABS(($A648-1)/$B$6-E648)))</f>
        <v>0.0295738859279114</v>
      </c>
      <c r="J648" s="21" t="n">
        <f aca="false">IF(B648="","",MAX(ABS($A648/$B$6-F648),ABS(($A648-1)/$B$6-F648)))</f>
        <v>0.000575531464683476</v>
      </c>
      <c r="K648" s="21" t="n">
        <f aca="false">IF(B648="","",MAX(ABS($A648/$B$6-G648),ABS(($A648-1)/$B$6-G648)))</f>
        <v>0.0299696699851648</v>
      </c>
    </row>
    <row r="649" customFormat="false" ht="15" hidden="false" customHeight="false" outlineLevel="0" collapsed="false">
      <c r="A649" s="11" t="n">
        <v>613</v>
      </c>
      <c r="B649" s="9" t="n">
        <f aca="false">IF(A649&gt;$B$6,"",SMALL(BTC_Data!$C$3:$C$1002,A649))</f>
        <v>0.000225393151023434</v>
      </c>
      <c r="C649" s="21" t="n">
        <f aca="false">IF(B649="","",A649/$B$6)</f>
        <v>0.613</v>
      </c>
      <c r="D649" s="21" t="n">
        <f aca="false">IF(B649="","",NORMDIST(B649,$B$15,$B$16,TRUE()))</f>
        <v>0.573868388805228</v>
      </c>
      <c r="E649" s="21" t="n">
        <f aca="false">IF(B649="","",IF(B649&gt;=$B$15,1-TDIST((B649-$B$15)/$B$18,$B$17,1),TDIST(($B$15-B649)/$B$18,$B$17,1)))</f>
        <v>0.584057160400397</v>
      </c>
      <c r="F649" s="21" t="n">
        <f aca="false">IF(B649="","",IF(B649&lt;$B$19,0.5*EXP((B649-$B$19)/$B$20),1-0.5*EXP(-(B649-$B$19)/$B$20)))</f>
        <v>0.613567311204171</v>
      </c>
      <c r="G649" s="21" t="n">
        <f aca="false">IF(B649="","",1/(1+EXP(-(B649-$B$15)/$B$21)))</f>
        <v>0.583652755983684</v>
      </c>
      <c r="H649" s="21" t="n">
        <f aca="false">IF(B649="","",MAX(ABS($A649/$B$6-D649),ABS(($A649-1)/$B$6-D649)))</f>
        <v>0.0391316111947718</v>
      </c>
      <c r="I649" s="21" t="n">
        <f aca="false">IF(B649="","",MAX(ABS($A649/$B$6-E649),ABS(($A649-1)/$B$6-E649)))</f>
        <v>0.028942839599603</v>
      </c>
      <c r="J649" s="21" t="n">
        <f aca="false">IF(B649="","",MAX(ABS($A649/$B$6-F649),ABS(($A649-1)/$B$6-F649)))</f>
        <v>0.00156731120417053</v>
      </c>
      <c r="K649" s="21" t="n">
        <f aca="false">IF(B649="","",MAX(ABS($A649/$B$6-G649),ABS(($A649-1)/$B$6-G649)))</f>
        <v>0.0293472440163156</v>
      </c>
    </row>
    <row r="650" customFormat="false" ht="15" hidden="false" customHeight="false" outlineLevel="0" collapsed="false">
      <c r="A650" s="11" t="n">
        <v>614</v>
      </c>
      <c r="B650" s="9" t="n">
        <f aca="false">IF(A650&gt;$B$6,"",SMALL(BTC_Data!$C$3:$C$1002,A650))</f>
        <v>0.000225901717385124</v>
      </c>
      <c r="C650" s="21" t="n">
        <f aca="false">IF(B650="","",A650/$B$6)</f>
        <v>0.614</v>
      </c>
      <c r="D650" s="21" t="n">
        <f aca="false">IF(B650="","",NORMDIST(B650,$B$15,$B$16,TRUE()))</f>
        <v>0.574024990937434</v>
      </c>
      <c r="E650" s="21" t="n">
        <f aca="false">IF(B650="","",IF(B650&gt;=$B$15,1-TDIST((B650-$B$15)/$B$18,$B$17,1),TDIST(($B$15-B650)/$B$18,$B$17,1)))</f>
        <v>0.58423413710538</v>
      </c>
      <c r="F650" s="21" t="n">
        <f aca="false">IF(B650="","",IF(B650&lt;$B$19,0.5*EXP((B650-$B$19)/$B$20),1-0.5*EXP(-(B650-$B$19)/$B$20)))</f>
        <v>0.613782943422793</v>
      </c>
      <c r="G650" s="21" t="n">
        <f aca="false">IF(B650="","",1/(1+EXP(-(B650-$B$15)/$B$21)))</f>
        <v>0.583828794641532</v>
      </c>
      <c r="H650" s="21" t="n">
        <f aca="false">IF(B650="","",MAX(ABS($A650/$B$6-D650),ABS(($A650-1)/$B$6-D650)))</f>
        <v>0.0399750090625656</v>
      </c>
      <c r="I650" s="21" t="n">
        <f aca="false">IF(B650="","",MAX(ABS($A650/$B$6-E650),ABS(($A650-1)/$B$6-E650)))</f>
        <v>0.02976586289462</v>
      </c>
      <c r="J650" s="21" t="n">
        <f aca="false">IF(B650="","",MAX(ABS($A650/$B$6-F650),ABS(($A650-1)/$B$6-F650)))</f>
        <v>0.000782943422792615</v>
      </c>
      <c r="K650" s="21" t="n">
        <f aca="false">IF(B650="","",MAX(ABS($A650/$B$6-G650),ABS(($A650-1)/$B$6-G650)))</f>
        <v>0.0301712053584685</v>
      </c>
    </row>
    <row r="651" customFormat="false" ht="15" hidden="false" customHeight="false" outlineLevel="0" collapsed="false">
      <c r="A651" s="11" t="n">
        <v>615</v>
      </c>
      <c r="B651" s="9" t="n">
        <f aca="false">IF(A651&gt;$B$6,"",SMALL(BTC_Data!$C$3:$C$1002,A651))</f>
        <v>0.000227191473612054</v>
      </c>
      <c r="C651" s="21" t="n">
        <f aca="false">IF(B651="","",A651/$B$6)</f>
        <v>0.615</v>
      </c>
      <c r="D651" s="21" t="n">
        <f aca="false">IF(B651="","",NORMDIST(B651,$B$15,$B$16,TRUE()))</f>
        <v>0.574422091380695</v>
      </c>
      <c r="E651" s="21" t="n">
        <f aca="false">IF(B651="","",IF(B651&gt;=$B$15,1-TDIST((B651-$B$15)/$B$18,$B$17,1),TDIST(($B$15-B651)/$B$18,$B$17,1)))</f>
        <v>0.584682867059858</v>
      </c>
      <c r="F651" s="21" t="n">
        <f aca="false">IF(B651="","",IF(B651&lt;$B$19,0.5*EXP((B651-$B$19)/$B$20),1-0.5*EXP(-(B651-$B$19)/$B$20)))</f>
        <v>0.614329260908367</v>
      </c>
      <c r="G651" s="21" t="n">
        <f aca="false">IF(B651="","",1/(1+EXP(-(B651-$B$15)/$B$21)))</f>
        <v>0.584275143765318</v>
      </c>
      <c r="H651" s="21" t="n">
        <f aca="false">IF(B651="","",MAX(ABS($A651/$B$6-D651),ABS(($A651-1)/$B$6-D651)))</f>
        <v>0.0405779086193054</v>
      </c>
      <c r="I651" s="21" t="n">
        <f aca="false">IF(B651="","",MAX(ABS($A651/$B$6-E651),ABS(($A651-1)/$B$6-E651)))</f>
        <v>0.0303171329401417</v>
      </c>
      <c r="J651" s="21" t="n">
        <f aca="false">IF(B651="","",MAX(ABS($A651/$B$6-F651),ABS(($A651-1)/$B$6-F651)))</f>
        <v>0.000670739091632733</v>
      </c>
      <c r="K651" s="21" t="n">
        <f aca="false">IF(B651="","",MAX(ABS($A651/$B$6-G651),ABS(($A651-1)/$B$6-G651)))</f>
        <v>0.0307248562346819</v>
      </c>
    </row>
    <row r="652" customFormat="false" ht="15" hidden="false" customHeight="false" outlineLevel="0" collapsed="false">
      <c r="A652" s="11" t="n">
        <v>616</v>
      </c>
      <c r="B652" s="9" t="n">
        <f aca="false">IF(A652&gt;$B$6,"",SMALL(BTC_Data!$C$3:$C$1002,A652))</f>
        <v>0.000233781495233343</v>
      </c>
      <c r="C652" s="21" t="n">
        <f aca="false">IF(B652="","",A652/$B$6)</f>
        <v>0.616</v>
      </c>
      <c r="D652" s="21" t="n">
        <f aca="false">IF(B652="","",NORMDIST(B652,$B$15,$B$16,TRUE()))</f>
        <v>0.576449893451096</v>
      </c>
      <c r="E652" s="21" t="n">
        <f aca="false">IF(B652="","",IF(B652&gt;=$B$15,1-TDIST((B652-$B$15)/$B$18,$B$17,1),TDIST(($B$15-B652)/$B$18,$B$17,1)))</f>
        <v>0.586973527640839</v>
      </c>
      <c r="F652" s="21" t="n">
        <f aca="false">IF(B652="","",IF(B652&lt;$B$19,0.5*EXP((B652-$B$19)/$B$20),1-0.5*EXP(-(B652-$B$19)/$B$20)))</f>
        <v>0.617108636745865</v>
      </c>
      <c r="G652" s="21" t="n">
        <f aca="false">IF(B652="","",1/(1+EXP(-(B652-$B$15)/$B$21)))</f>
        <v>0.586553596989149</v>
      </c>
      <c r="H652" s="21" t="n">
        <f aca="false">IF(B652="","",MAX(ABS($A652/$B$6-D652),ABS(($A652-1)/$B$6-D652)))</f>
        <v>0.0395501065489041</v>
      </c>
      <c r="I652" s="21" t="n">
        <f aca="false">IF(B652="","",MAX(ABS($A652/$B$6-E652),ABS(($A652-1)/$B$6-E652)))</f>
        <v>0.0290264723591608</v>
      </c>
      <c r="J652" s="21" t="n">
        <f aca="false">IF(B652="","",MAX(ABS($A652/$B$6-F652),ABS(($A652-1)/$B$6-F652)))</f>
        <v>0.0021086367458647</v>
      </c>
      <c r="K652" s="21" t="n">
        <f aca="false">IF(B652="","",MAX(ABS($A652/$B$6-G652),ABS(($A652-1)/$B$6-G652)))</f>
        <v>0.0294464030108513</v>
      </c>
    </row>
    <row r="653" customFormat="false" ht="15" hidden="false" customHeight="false" outlineLevel="0" collapsed="false">
      <c r="A653" s="11" t="n">
        <v>617</v>
      </c>
      <c r="B653" s="9" t="n">
        <f aca="false">IF(A653&gt;$B$6,"",SMALL(BTC_Data!$C$3:$C$1002,A653))</f>
        <v>0.000237951145328319</v>
      </c>
      <c r="C653" s="21" t="n">
        <f aca="false">IF(B653="","",A653/$B$6)</f>
        <v>0.617</v>
      </c>
      <c r="D653" s="21" t="n">
        <f aca="false">IF(B653="","",NORMDIST(B653,$B$15,$B$16,TRUE()))</f>
        <v>0.577731886466966</v>
      </c>
      <c r="E653" s="21" t="n">
        <f aca="false">IF(B653="","",IF(B653&gt;=$B$15,1-TDIST((B653-$B$15)/$B$18,$B$17,1),TDIST(($B$15-B653)/$B$18,$B$17,1)))</f>
        <v>0.588421010279774</v>
      </c>
      <c r="F653" s="21" t="n">
        <f aca="false">IF(B653="","",IF(B653&lt;$B$19,0.5*EXP((B653-$B$19)/$B$20),1-0.5*EXP(-(B653-$B$19)/$B$20)))</f>
        <v>0.618856853165431</v>
      </c>
      <c r="G653" s="21" t="n">
        <f aca="false">IF(B653="","",1/(1+EXP(-(B653-$B$15)/$B$21)))</f>
        <v>0.587993318709425</v>
      </c>
      <c r="H653" s="21" t="n">
        <f aca="false">IF(B653="","",MAX(ABS($A653/$B$6-D653),ABS(($A653-1)/$B$6-D653)))</f>
        <v>0.0392681135330344</v>
      </c>
      <c r="I653" s="21" t="n">
        <f aca="false">IF(B653="","",MAX(ABS($A653/$B$6-E653),ABS(($A653-1)/$B$6-E653)))</f>
        <v>0.0285789897202262</v>
      </c>
      <c r="J653" s="21" t="n">
        <f aca="false">IF(B653="","",MAX(ABS($A653/$B$6-F653),ABS(($A653-1)/$B$6-F653)))</f>
        <v>0.00285685316543061</v>
      </c>
      <c r="K653" s="21" t="n">
        <f aca="false">IF(B653="","",MAX(ABS($A653/$B$6-G653),ABS(($A653-1)/$B$6-G653)))</f>
        <v>0.0290066812905754</v>
      </c>
    </row>
    <row r="654" customFormat="false" ht="15" hidden="false" customHeight="false" outlineLevel="0" collapsed="false">
      <c r="A654" s="11" t="n">
        <v>618</v>
      </c>
      <c r="B654" s="9" t="n">
        <f aca="false">IF(A654&gt;$B$6,"",SMALL(BTC_Data!$C$3:$C$1002,A654))</f>
        <v>0.000238293153098423</v>
      </c>
      <c r="C654" s="21" t="n">
        <f aca="false">IF(B654="","",A654/$B$6)</f>
        <v>0.618</v>
      </c>
      <c r="D654" s="21" t="n">
        <f aca="false">IF(B654="","",NORMDIST(B654,$B$15,$B$16,TRUE()))</f>
        <v>0.57783700321098</v>
      </c>
      <c r="E654" s="21" t="n">
        <f aca="false">IF(B654="","",IF(B654&gt;=$B$15,1-TDIST((B654-$B$15)/$B$18,$B$17,1),TDIST(($B$15-B654)/$B$18,$B$17,1)))</f>
        <v>0.588539672191328</v>
      </c>
      <c r="F654" s="21" t="n">
        <f aca="false">IF(B654="","",IF(B654&lt;$B$19,0.5*EXP((B654-$B$19)/$B$20),1-0.5*EXP(-(B654-$B$19)/$B$20)))</f>
        <v>0.618999892652322</v>
      </c>
      <c r="G654" s="21" t="n">
        <f aca="false">IF(B654="","",1/(1+EXP(-(B654-$B$15)/$B$21)))</f>
        <v>0.588111342760543</v>
      </c>
      <c r="H654" s="21" t="n">
        <f aca="false">IF(B654="","",MAX(ABS($A654/$B$6-D654),ABS(($A654-1)/$B$6-D654)))</f>
        <v>0.0401629967890202</v>
      </c>
      <c r="I654" s="21" t="n">
        <f aca="false">IF(B654="","",MAX(ABS($A654/$B$6-E654),ABS(($A654-1)/$B$6-E654)))</f>
        <v>0.0294603278086719</v>
      </c>
      <c r="J654" s="21" t="n">
        <f aca="false">IF(B654="","",MAX(ABS($A654/$B$6-F654),ABS(($A654-1)/$B$6-F654)))</f>
        <v>0.00199989265232237</v>
      </c>
      <c r="K654" s="21" t="n">
        <f aca="false">IF(B654="","",MAX(ABS($A654/$B$6-G654),ABS(($A654-1)/$B$6-G654)))</f>
        <v>0.0298886572394574</v>
      </c>
    </row>
    <row r="655" customFormat="false" ht="15" hidden="false" customHeight="false" outlineLevel="0" collapsed="false">
      <c r="A655" s="11" t="n">
        <v>619</v>
      </c>
      <c r="B655" s="9" t="n">
        <f aca="false">IF(A655&gt;$B$6,"",SMALL(BTC_Data!$C$3:$C$1002,A655))</f>
        <v>0.00023933481929217</v>
      </c>
      <c r="C655" s="21" t="n">
        <f aca="false">IF(B655="","",A655/$B$6)</f>
        <v>0.619</v>
      </c>
      <c r="D655" s="21" t="n">
        <f aca="false">IF(B655="","",NORMDIST(B655,$B$15,$B$16,TRUE()))</f>
        <v>0.57815712712371</v>
      </c>
      <c r="E655" s="21" t="n">
        <f aca="false">IF(B655="","",IF(B655&gt;=$B$15,1-TDIST((B655-$B$15)/$B$18,$B$17,1),TDIST(($B$15-B655)/$B$18,$B$17,1)))</f>
        <v>0.588901024053786</v>
      </c>
      <c r="F655" s="21" t="n">
        <f aca="false">IF(B655="","",IF(B655&lt;$B$19,0.5*EXP((B655-$B$19)/$B$20),1-0.5*EXP(-(B655-$B$19)/$B$20)))</f>
        <v>0.619435222854851</v>
      </c>
      <c r="G655" s="21" t="n">
        <f aca="false">IF(B655="","",1/(1+EXP(-(B655-$B$15)/$B$21)))</f>
        <v>0.588470750661134</v>
      </c>
      <c r="H655" s="21" t="n">
        <f aca="false">IF(B655="","",MAX(ABS($A655/$B$6-D655),ABS(($A655-1)/$B$6-D655)))</f>
        <v>0.0408428728762905</v>
      </c>
      <c r="I655" s="21" t="n">
        <f aca="false">IF(B655="","",MAX(ABS($A655/$B$6-E655),ABS(($A655-1)/$B$6-E655)))</f>
        <v>0.0300989759462137</v>
      </c>
      <c r="J655" s="21" t="n">
        <f aca="false">IF(B655="","",MAX(ABS($A655/$B$6-F655),ABS(($A655-1)/$B$6-F655)))</f>
        <v>0.0014352228548512</v>
      </c>
      <c r="K655" s="21" t="n">
        <f aca="false">IF(B655="","",MAX(ABS($A655/$B$6-G655),ABS(($A655-1)/$B$6-G655)))</f>
        <v>0.0305292493388656</v>
      </c>
    </row>
    <row r="656" customFormat="false" ht="15" hidden="false" customHeight="false" outlineLevel="0" collapsed="false">
      <c r="A656" s="11" t="n">
        <v>620</v>
      </c>
      <c r="B656" s="9" t="n">
        <f aca="false">IF(A656&gt;$B$6,"",SMALL(BTC_Data!$C$3:$C$1002,A656))</f>
        <v>0.000244904436482285</v>
      </c>
      <c r="C656" s="21" t="n">
        <f aca="false">IF(B656="","",A656/$B$6)</f>
        <v>0.62</v>
      </c>
      <c r="D656" s="21" t="n">
        <f aca="false">IF(B656="","",NORMDIST(B656,$B$15,$B$16,TRUE()))</f>
        <v>0.579867895613042</v>
      </c>
      <c r="E656" s="21" t="n">
        <f aca="false">IF(B656="","",IF(B656&gt;=$B$15,1-TDIST((B656-$B$15)/$B$18,$B$17,1),TDIST(($B$15-B656)/$B$18,$B$17,1)))</f>
        <v>0.590831533983901</v>
      </c>
      <c r="F656" s="21" t="n">
        <f aca="false">IF(B656="","",IF(B656&lt;$B$19,0.5*EXP((B656-$B$19)/$B$20),1-0.5*EXP(-(B656-$B$19)/$B$20)))</f>
        <v>0.621754435663098</v>
      </c>
      <c r="G656" s="21" t="n">
        <f aca="false">IF(B656="","",1/(1+EXP(-(B656-$B$15)/$B$21)))</f>
        <v>0.590390835585094</v>
      </c>
      <c r="H656" s="21" t="n">
        <f aca="false">IF(B656="","",MAX(ABS($A656/$B$6-D656),ABS(($A656-1)/$B$6-D656)))</f>
        <v>0.0401321043869576</v>
      </c>
      <c r="I656" s="21" t="n">
        <f aca="false">IF(B656="","",MAX(ABS($A656/$B$6-E656),ABS(($A656-1)/$B$6-E656)))</f>
        <v>0.0291684660160995</v>
      </c>
      <c r="J656" s="21" t="n">
        <f aca="false">IF(B656="","",MAX(ABS($A656/$B$6-F656),ABS(($A656-1)/$B$6-F656)))</f>
        <v>0.00275443566309752</v>
      </c>
      <c r="K656" s="21" t="n">
        <f aca="false">IF(B656="","",MAX(ABS($A656/$B$6-G656),ABS(($A656-1)/$B$6-G656)))</f>
        <v>0.0296091644149062</v>
      </c>
    </row>
    <row r="657" customFormat="false" ht="15" hidden="false" customHeight="false" outlineLevel="0" collapsed="false">
      <c r="A657" s="11" t="n">
        <v>621</v>
      </c>
      <c r="B657" s="9" t="n">
        <f aca="false">IF(A657&gt;$B$6,"",SMALL(BTC_Data!$C$3:$C$1002,A657))</f>
        <v>0.000247347799137376</v>
      </c>
      <c r="C657" s="21" t="n">
        <f aca="false">IF(B657="","",A657/$B$6)</f>
        <v>0.621</v>
      </c>
      <c r="D657" s="21" t="n">
        <f aca="false">IF(B657="","",NORMDIST(B657,$B$15,$B$16,TRUE()))</f>
        <v>0.580617927095255</v>
      </c>
      <c r="E657" s="21" t="n">
        <f aca="false">IF(B657="","",IF(B657&gt;=$B$15,1-TDIST((B657-$B$15)/$B$18,$B$17,1),TDIST(($B$15-B657)/$B$18,$B$17,1)))</f>
        <v>0.591677590138459</v>
      </c>
      <c r="F657" s="21" t="n">
        <f aca="false">IF(B657="","",IF(B657&lt;$B$19,0.5*EXP((B657-$B$19)/$B$20),1-0.5*EXP(-(B657-$B$19)/$B$20)))</f>
        <v>0.622767397200249</v>
      </c>
      <c r="G657" s="21" t="n">
        <f aca="false">IF(B657="","",1/(1+EXP(-(B657-$B$15)/$B$21)))</f>
        <v>0.5912323017734</v>
      </c>
      <c r="H657" s="21" t="n">
        <f aca="false">IF(B657="","",MAX(ABS($A657/$B$6-D657),ABS(($A657-1)/$B$6-D657)))</f>
        <v>0.0403820729047447</v>
      </c>
      <c r="I657" s="21" t="n">
        <f aca="false">IF(B657="","",MAX(ABS($A657/$B$6-E657),ABS(($A657-1)/$B$6-E657)))</f>
        <v>0.029322409861541</v>
      </c>
      <c r="J657" s="21" t="n">
        <f aca="false">IF(B657="","",MAX(ABS($A657/$B$6-F657),ABS(($A657-1)/$B$6-F657)))</f>
        <v>0.00276739720024877</v>
      </c>
      <c r="K657" s="21" t="n">
        <f aca="false">IF(B657="","",MAX(ABS($A657/$B$6-G657),ABS(($A657-1)/$B$6-G657)))</f>
        <v>0.0297676982266005</v>
      </c>
    </row>
    <row r="658" customFormat="false" ht="15" hidden="false" customHeight="false" outlineLevel="0" collapsed="false">
      <c r="A658" s="11" t="n">
        <v>622</v>
      </c>
      <c r="B658" s="9" t="n">
        <f aca="false">IF(A658&gt;$B$6,"",SMALL(BTC_Data!$C$3:$C$1002,A658))</f>
        <v>0.000247843422072513</v>
      </c>
      <c r="C658" s="21" t="n">
        <f aca="false">IF(B658="","",A658/$B$6)</f>
        <v>0.622</v>
      </c>
      <c r="D658" s="21" t="n">
        <f aca="false">IF(B658="","",NORMDIST(B658,$B$15,$B$16,TRUE()))</f>
        <v>0.580770031300637</v>
      </c>
      <c r="E658" s="21" t="n">
        <f aca="false">IF(B658="","",IF(B658&gt;=$B$15,1-TDIST((B658-$B$15)/$B$18,$B$17,1),TDIST(($B$15-B658)/$B$18,$B$17,1)))</f>
        <v>0.591849144278943</v>
      </c>
      <c r="F658" s="21" t="n">
        <f aca="false">IF(B658="","",IF(B658&lt;$B$19,0.5*EXP((B658-$B$19)/$B$20),1-0.5*EXP(-(B658-$B$19)/$B$20)))</f>
        <v>0.622972539803962</v>
      </c>
      <c r="G658" s="21" t="n">
        <f aca="false">IF(B658="","",1/(1+EXP(-(B658-$B$15)/$B$21)))</f>
        <v>0.591402923624002</v>
      </c>
      <c r="H658" s="21" t="n">
        <f aca="false">IF(B658="","",MAX(ABS($A658/$B$6-D658),ABS(($A658-1)/$B$6-D658)))</f>
        <v>0.0412299686993629</v>
      </c>
      <c r="I658" s="21" t="n">
        <f aca="false">IF(B658="","",MAX(ABS($A658/$B$6-E658),ABS(($A658-1)/$B$6-E658)))</f>
        <v>0.0301508557210571</v>
      </c>
      <c r="J658" s="21" t="n">
        <f aca="false">IF(B658="","",MAX(ABS($A658/$B$6-F658),ABS(($A658-1)/$B$6-F658)))</f>
        <v>0.00197253980396228</v>
      </c>
      <c r="K658" s="21" t="n">
        <f aca="false">IF(B658="","",MAX(ABS($A658/$B$6-G658),ABS(($A658-1)/$B$6-G658)))</f>
        <v>0.0305970763759976</v>
      </c>
    </row>
    <row r="659" customFormat="false" ht="15" hidden="false" customHeight="false" outlineLevel="0" collapsed="false">
      <c r="A659" s="11" t="n">
        <v>623</v>
      </c>
      <c r="B659" s="9" t="n">
        <f aca="false">IF(A659&gt;$B$6,"",SMALL(BTC_Data!$C$3:$C$1002,A659))</f>
        <v>0.000251251238647443</v>
      </c>
      <c r="C659" s="21" t="n">
        <f aca="false">IF(B659="","",A659/$B$6)</f>
        <v>0.623</v>
      </c>
      <c r="D659" s="21" t="n">
        <f aca="false">IF(B659="","",NORMDIST(B659,$B$15,$B$16,TRUE()))</f>
        <v>0.581815545221109</v>
      </c>
      <c r="E659" s="21" t="n">
        <f aca="false">IF(B659="","",IF(B659&gt;=$B$15,1-TDIST((B659-$B$15)/$B$18,$B$17,1),TDIST(($B$15-B659)/$B$18,$B$17,1)))</f>
        <v>0.593028133641697</v>
      </c>
      <c r="F659" s="21" t="n">
        <f aca="false">IF(B659="","",IF(B659&lt;$B$19,0.5*EXP((B659-$B$19)/$B$20),1-0.5*EXP(-(B659-$B$19)/$B$20)))</f>
        <v>0.624380047063991</v>
      </c>
      <c r="G659" s="21" t="n">
        <f aca="false">IF(B659="","",1/(1+EXP(-(B659-$B$15)/$B$21)))</f>
        <v>0.592575491352901</v>
      </c>
      <c r="H659" s="21" t="n">
        <f aca="false">IF(B659="","",MAX(ABS($A659/$B$6-D659),ABS(($A659-1)/$B$6-D659)))</f>
        <v>0.0411844547788911</v>
      </c>
      <c r="I659" s="21" t="n">
        <f aca="false">IF(B659="","",MAX(ABS($A659/$B$6-E659),ABS(($A659-1)/$B$6-E659)))</f>
        <v>0.0299718663583035</v>
      </c>
      <c r="J659" s="21" t="n">
        <f aca="false">IF(B659="","",MAX(ABS($A659/$B$6-F659),ABS(($A659-1)/$B$6-F659)))</f>
        <v>0.0023800470639912</v>
      </c>
      <c r="K659" s="21" t="n">
        <f aca="false">IF(B659="","",MAX(ABS($A659/$B$6-G659),ABS(($A659-1)/$B$6-G659)))</f>
        <v>0.0304245086470988</v>
      </c>
    </row>
    <row r="660" customFormat="false" ht="15" hidden="false" customHeight="false" outlineLevel="0" collapsed="false">
      <c r="A660" s="11" t="n">
        <v>624</v>
      </c>
      <c r="B660" s="9" t="n">
        <f aca="false">IF(A660&gt;$B$6,"",SMALL(BTC_Data!$C$3:$C$1002,A660))</f>
        <v>0.000251500405556104</v>
      </c>
      <c r="C660" s="21" t="n">
        <f aca="false">IF(B660="","",A660/$B$6)</f>
        <v>0.624</v>
      </c>
      <c r="D660" s="21" t="n">
        <f aca="false">IF(B660="","",NORMDIST(B660,$B$15,$B$16,TRUE()))</f>
        <v>0.581891966740369</v>
      </c>
      <c r="E660" s="21" t="n">
        <f aca="false">IF(B660="","",IF(B660&gt;=$B$15,1-TDIST((B660-$B$15)/$B$18,$B$17,1),TDIST(($B$15-B660)/$B$18,$B$17,1)))</f>
        <v>0.593114296573695</v>
      </c>
      <c r="F660" s="21" t="n">
        <f aca="false">IF(B660="","",IF(B660&lt;$B$19,0.5*EXP((B660-$B$19)/$B$20),1-0.5*EXP(-(B660-$B$19)/$B$20)))</f>
        <v>0.624482752397766</v>
      </c>
      <c r="G660" s="21" t="n">
        <f aca="false">IF(B660="","",1/(1+EXP(-(B660-$B$15)/$B$21)))</f>
        <v>0.592661183977768</v>
      </c>
      <c r="H660" s="21" t="n">
        <f aca="false">IF(B660="","",MAX(ABS($A660/$B$6-D660),ABS(($A660-1)/$B$6-D660)))</f>
        <v>0.0421080332596313</v>
      </c>
      <c r="I660" s="21" t="n">
        <f aca="false">IF(B660="","",MAX(ABS($A660/$B$6-E660),ABS(($A660-1)/$B$6-E660)))</f>
        <v>0.0308857034263051</v>
      </c>
      <c r="J660" s="21" t="n">
        <f aca="false">IF(B660="","",MAX(ABS($A660/$B$6-F660),ABS(($A660-1)/$B$6-F660)))</f>
        <v>0.00148275239776607</v>
      </c>
      <c r="K660" s="21" t="n">
        <f aca="false">IF(B660="","",MAX(ABS($A660/$B$6-G660),ABS(($A660-1)/$B$6-G660)))</f>
        <v>0.0313388160222322</v>
      </c>
    </row>
    <row r="661" customFormat="false" ht="15" hidden="false" customHeight="false" outlineLevel="0" collapsed="false">
      <c r="A661" s="11" t="n">
        <v>625</v>
      </c>
      <c r="B661" s="9" t="n">
        <f aca="false">IF(A661&gt;$B$6,"",SMALL(BTC_Data!$C$3:$C$1002,A661))</f>
        <v>0.000253427370721759</v>
      </c>
      <c r="C661" s="21" t="n">
        <f aca="false">IF(B661="","",A661/$B$6)</f>
        <v>0.625</v>
      </c>
      <c r="D661" s="21" t="n">
        <f aca="false">IF(B661="","",NORMDIST(B661,$B$15,$B$16,TRUE()))</f>
        <v>0.582482878019414</v>
      </c>
      <c r="E661" s="21" t="n">
        <f aca="false">IF(B661="","",IF(B661&gt;=$B$15,1-TDIST((B661-$B$15)/$B$18,$B$17,1),TDIST(($B$15-B661)/$B$18,$B$17,1)))</f>
        <v>0.593780461859591</v>
      </c>
      <c r="F661" s="21" t="n">
        <f aca="false">IF(B661="","",IF(B661&lt;$B$19,0.5*EXP((B661-$B$19)/$B$20),1-0.5*EXP(-(B661-$B$19)/$B$20)))</f>
        <v>0.625276089842974</v>
      </c>
      <c r="G661" s="21" t="n">
        <f aca="false">IF(B661="","",1/(1+EXP(-(B661-$B$15)/$B$21)))</f>
        <v>0.593323708473979</v>
      </c>
      <c r="H661" s="21" t="n">
        <f aca="false">IF(B661="","",MAX(ABS($A661/$B$6-D661),ABS(($A661-1)/$B$6-D661)))</f>
        <v>0.0425171219805864</v>
      </c>
      <c r="I661" s="21" t="n">
        <f aca="false">IF(B661="","",MAX(ABS($A661/$B$6-E661),ABS(($A661-1)/$B$6-E661)))</f>
        <v>0.031219538140409</v>
      </c>
      <c r="J661" s="21" t="n">
        <f aca="false">IF(B661="","",MAX(ABS($A661/$B$6-F661),ABS(($A661-1)/$B$6-F661)))</f>
        <v>0.00127608984297367</v>
      </c>
      <c r="K661" s="21" t="n">
        <f aca="false">IF(B661="","",MAX(ABS($A661/$B$6-G661),ABS(($A661-1)/$B$6-G661)))</f>
        <v>0.031676291526021</v>
      </c>
    </row>
    <row r="662" customFormat="false" ht="15" hidden="false" customHeight="false" outlineLevel="0" collapsed="false">
      <c r="A662" s="11" t="n">
        <v>626</v>
      </c>
      <c r="B662" s="9" t="n">
        <f aca="false">IF(A662&gt;$B$6,"",SMALL(BTC_Data!$C$3:$C$1002,A662))</f>
        <v>0.000261343392722324</v>
      </c>
      <c r="C662" s="21" t="n">
        <f aca="false">IF(B662="","",A662/$B$6)</f>
        <v>0.626</v>
      </c>
      <c r="D662" s="21" t="n">
        <f aca="false">IF(B662="","",NORMDIST(B662,$B$15,$B$16,TRUE()))</f>
        <v>0.584908388866793</v>
      </c>
      <c r="E662" s="21" t="n">
        <f aca="false">IF(B662="","",IF(B662&gt;=$B$15,1-TDIST((B662-$B$15)/$B$18,$B$17,1),TDIST(($B$15-B662)/$B$18,$B$17,1)))</f>
        <v>0.596513568475032</v>
      </c>
      <c r="F662" s="21" t="n">
        <f aca="false">IF(B662="","",IF(B662&lt;$B$19,0.5*EXP((B662-$B$19)/$B$20),1-0.5*EXP(-(B662-$B$19)/$B$20)))</f>
        <v>0.628517593735192</v>
      </c>
      <c r="G662" s="21" t="n">
        <f aca="false">IF(B662="","",1/(1+EXP(-(B662-$B$15)/$B$21)))</f>
        <v>0.596041791183974</v>
      </c>
      <c r="H662" s="21" t="n">
        <f aca="false">IF(B662="","",MAX(ABS($A662/$B$6-D662),ABS(($A662-1)/$B$6-D662)))</f>
        <v>0.0410916111332066</v>
      </c>
      <c r="I662" s="21" t="n">
        <f aca="false">IF(B662="","",MAX(ABS($A662/$B$6-E662),ABS(($A662-1)/$B$6-E662)))</f>
        <v>0.0294864315249681</v>
      </c>
      <c r="J662" s="21" t="n">
        <f aca="false">IF(B662="","",MAX(ABS($A662/$B$6-F662),ABS(($A662-1)/$B$6-F662)))</f>
        <v>0.00351759373519189</v>
      </c>
      <c r="K662" s="21" t="n">
        <f aca="false">IF(B662="","",MAX(ABS($A662/$B$6-G662),ABS(($A662-1)/$B$6-G662)))</f>
        <v>0.0299582088160264</v>
      </c>
    </row>
    <row r="663" customFormat="false" ht="15" hidden="false" customHeight="false" outlineLevel="0" collapsed="false">
      <c r="A663" s="11" t="n">
        <v>627</v>
      </c>
      <c r="B663" s="9" t="n">
        <f aca="false">IF(A663&gt;$B$6,"",SMALL(BTC_Data!$C$3:$C$1002,A663))</f>
        <v>0.000264475248716867</v>
      </c>
      <c r="C663" s="21" t="n">
        <f aca="false">IF(B663="","",A663/$B$6)</f>
        <v>0.627</v>
      </c>
      <c r="D663" s="21" t="n">
        <f aca="false">IF(B663="","",NORMDIST(B663,$B$15,$B$16,TRUE()))</f>
        <v>0.585867118729712</v>
      </c>
      <c r="E663" s="21" t="n">
        <f aca="false">IF(B663="","",IF(B663&gt;=$B$15,1-TDIST((B663-$B$15)/$B$18,$B$17,1),TDIST(($B$15-B663)/$B$18,$B$17,1)))</f>
        <v>0.59759329636904</v>
      </c>
      <c r="F663" s="21" t="n">
        <f aca="false">IF(B663="","",IF(B663&lt;$B$19,0.5*EXP((B663-$B$19)/$B$20),1-0.5*EXP(-(B663-$B$19)/$B$20)))</f>
        <v>0.629792291468494</v>
      </c>
      <c r="G663" s="21" t="n">
        <f aca="false">IF(B663="","",1/(1+EXP(-(B663-$B$15)/$B$21)))</f>
        <v>0.597115544912039</v>
      </c>
      <c r="H663" s="21" t="n">
        <f aca="false">IF(B663="","",MAX(ABS($A663/$B$6-D663),ABS(($A663-1)/$B$6-D663)))</f>
        <v>0.0411328812702881</v>
      </c>
      <c r="I663" s="21" t="n">
        <f aca="false">IF(B663="","",MAX(ABS($A663/$B$6-E663),ABS(($A663-1)/$B$6-E663)))</f>
        <v>0.0294067036309601</v>
      </c>
      <c r="J663" s="21" t="n">
        <f aca="false">IF(B663="","",MAX(ABS($A663/$B$6-F663),ABS(($A663-1)/$B$6-F663)))</f>
        <v>0.00379229146849425</v>
      </c>
      <c r="K663" s="21" t="n">
        <f aca="false">IF(B663="","",MAX(ABS($A663/$B$6-G663),ABS(($A663-1)/$B$6-G663)))</f>
        <v>0.0298844550879609</v>
      </c>
    </row>
    <row r="664" customFormat="false" ht="15" hidden="false" customHeight="false" outlineLevel="0" collapsed="false">
      <c r="A664" s="11" t="n">
        <v>628</v>
      </c>
      <c r="B664" s="9" t="n">
        <f aca="false">IF(A664&gt;$B$6,"",SMALL(BTC_Data!$C$3:$C$1002,A664))</f>
        <v>0.000271018556090352</v>
      </c>
      <c r="C664" s="21" t="n">
        <f aca="false">IF(B664="","",A664/$B$6)</f>
        <v>0.628</v>
      </c>
      <c r="D664" s="21" t="n">
        <f aca="false">IF(B664="","",NORMDIST(B664,$B$15,$B$16,TRUE()))</f>
        <v>0.587868511815479</v>
      </c>
      <c r="E664" s="21" t="n">
        <f aca="false">IF(B664="","",IF(B664&gt;=$B$15,1-TDIST((B664-$B$15)/$B$18,$B$17,1),TDIST(($B$15-B664)/$B$18,$B$17,1)))</f>
        <v>0.599846187708049</v>
      </c>
      <c r="F664" s="21" t="n">
        <f aca="false">IF(B664="","",IF(B664&lt;$B$19,0.5*EXP((B664-$B$19)/$B$20),1-0.5*EXP(-(B664-$B$19)/$B$20)))</f>
        <v>0.632441387165138</v>
      </c>
      <c r="G664" s="21" t="n">
        <f aca="false">IF(B664="","",1/(1+EXP(-(B664-$B$15)/$B$21)))</f>
        <v>0.59935589881404</v>
      </c>
      <c r="H664" s="21" t="n">
        <f aca="false">IF(B664="","",MAX(ABS($A664/$B$6-D664),ABS(($A664-1)/$B$6-D664)))</f>
        <v>0.0401314881845207</v>
      </c>
      <c r="I664" s="21" t="n">
        <f aca="false">IF(B664="","",MAX(ABS($A664/$B$6-E664),ABS(($A664-1)/$B$6-E664)))</f>
        <v>0.0281538122919506</v>
      </c>
      <c r="J664" s="21" t="n">
        <f aca="false">IF(B664="","",MAX(ABS($A664/$B$6-F664),ABS(($A664-1)/$B$6-F664)))</f>
        <v>0.00544138716513842</v>
      </c>
      <c r="K664" s="21" t="n">
        <f aca="false">IF(B664="","",MAX(ABS($A664/$B$6-G664),ABS(($A664-1)/$B$6-G664)))</f>
        <v>0.0286441011859597</v>
      </c>
    </row>
    <row r="665" customFormat="false" ht="15" hidden="false" customHeight="false" outlineLevel="0" collapsed="false">
      <c r="A665" s="11" t="n">
        <v>629</v>
      </c>
      <c r="B665" s="9" t="n">
        <f aca="false">IF(A665&gt;$B$6,"",SMALL(BTC_Data!$C$3:$C$1002,A665))</f>
        <v>0.000271676498972306</v>
      </c>
      <c r="C665" s="21" t="n">
        <f aca="false">IF(B665="","",A665/$B$6)</f>
        <v>0.629</v>
      </c>
      <c r="D665" s="21" t="n">
        <f aca="false">IF(B665="","",NORMDIST(B665,$B$15,$B$16,TRUE()))</f>
        <v>0.588069630494173</v>
      </c>
      <c r="E665" s="21" t="n">
        <f aca="false">IF(B665="","",IF(B665&gt;=$B$15,1-TDIST((B665-$B$15)/$B$18,$B$17,1),TDIST(($B$15-B665)/$B$18,$B$17,1)))</f>
        <v>0.60007249674469</v>
      </c>
      <c r="F665" s="21" t="n">
        <f aca="false">IF(B665="","",IF(B665&lt;$B$19,0.5*EXP((B665-$B$19)/$B$20),1-0.5*EXP(-(B665-$B$19)/$B$20)))</f>
        <v>0.63270670800534</v>
      </c>
      <c r="G665" s="21" t="n">
        <f aca="false">IF(B665="","",1/(1+EXP(-(B665-$B$15)/$B$21)))</f>
        <v>0.599580942989989</v>
      </c>
      <c r="H665" s="21" t="n">
        <f aca="false">IF(B665="","",MAX(ABS($A665/$B$6-D665),ABS(($A665-1)/$B$6-D665)))</f>
        <v>0.040930369505827</v>
      </c>
      <c r="I665" s="21" t="n">
        <f aca="false">IF(B665="","",MAX(ABS($A665/$B$6-E665),ABS(($A665-1)/$B$6-E665)))</f>
        <v>0.0289275032553099</v>
      </c>
      <c r="J665" s="21" t="n">
        <f aca="false">IF(B665="","",MAX(ABS($A665/$B$6-F665),ABS(($A665-1)/$B$6-F665)))</f>
        <v>0.00470670800534001</v>
      </c>
      <c r="K665" s="21" t="n">
        <f aca="false">IF(B665="","",MAX(ABS($A665/$B$6-G665),ABS(($A665-1)/$B$6-G665)))</f>
        <v>0.0294190570100107</v>
      </c>
    </row>
    <row r="666" customFormat="false" ht="15" hidden="false" customHeight="false" outlineLevel="0" collapsed="false">
      <c r="A666" s="11" t="n">
        <v>630</v>
      </c>
      <c r="B666" s="9" t="n">
        <f aca="false">IF(A666&gt;$B$6,"",SMALL(BTC_Data!$C$3:$C$1002,A666))</f>
        <v>0.000273017483058302</v>
      </c>
      <c r="C666" s="21" t="n">
        <f aca="false">IF(B666="","",A666/$B$6)</f>
        <v>0.63</v>
      </c>
      <c r="D666" s="21" t="n">
        <f aca="false">IF(B666="","",NORMDIST(B666,$B$15,$B$16,TRUE()))</f>
        <v>0.588479468186779</v>
      </c>
      <c r="E666" s="21" t="n">
        <f aca="false">IF(B666="","",IF(B666&gt;=$B$15,1-TDIST((B666-$B$15)/$B$18,$B$17,1),TDIST(($B$15-B666)/$B$18,$B$17,1)))</f>
        <v>0.600533619991472</v>
      </c>
      <c r="F666" s="21" t="n">
        <f aca="false">IF(B666="","",IF(B666&lt;$B$19,0.5*EXP((B666-$B$19)/$B$20),1-0.5*EXP(-(B666-$B$19)/$B$20)))</f>
        <v>0.633246877970523</v>
      </c>
      <c r="G666" s="21" t="n">
        <f aca="false">IF(B666="","",1/(1+EXP(-(B666-$B$15)/$B$21)))</f>
        <v>0.600039485881251</v>
      </c>
      <c r="H666" s="21" t="n">
        <f aca="false">IF(B666="","",MAX(ABS($A666/$B$6-D666),ABS(($A666-1)/$B$6-D666)))</f>
        <v>0.041520531813221</v>
      </c>
      <c r="I666" s="21" t="n">
        <f aca="false">IF(B666="","",MAX(ABS($A666/$B$6-E666),ABS(($A666-1)/$B$6-E666)))</f>
        <v>0.0294663800085285</v>
      </c>
      <c r="J666" s="21" t="n">
        <f aca="false">IF(B666="","",MAX(ABS($A666/$B$6-F666),ABS(($A666-1)/$B$6-F666)))</f>
        <v>0.00424687797052248</v>
      </c>
      <c r="K666" s="21" t="n">
        <f aca="false">IF(B666="","",MAX(ABS($A666/$B$6-G666),ABS(($A666-1)/$B$6-G666)))</f>
        <v>0.0299605141187492</v>
      </c>
    </row>
    <row r="667" customFormat="false" ht="15" hidden="false" customHeight="false" outlineLevel="0" collapsed="false">
      <c r="A667" s="11" t="n">
        <v>631</v>
      </c>
      <c r="B667" s="9" t="n">
        <f aca="false">IF(A667&gt;$B$6,"",SMALL(BTC_Data!$C$3:$C$1002,A667))</f>
        <v>0.000275044542065617</v>
      </c>
      <c r="C667" s="21" t="n">
        <f aca="false">IF(B667="","",A667/$B$6)</f>
        <v>0.631</v>
      </c>
      <c r="D667" s="21" t="n">
        <f aca="false">IF(B667="","",NORMDIST(B667,$B$15,$B$16,TRUE()))</f>
        <v>0.589098803873998</v>
      </c>
      <c r="E667" s="21" t="n">
        <f aca="false">IF(B667="","",IF(B667&gt;=$B$15,1-TDIST((B667-$B$15)/$B$18,$B$17,1),TDIST(($B$15-B667)/$B$18,$B$17,1)))</f>
        <v>0.601230336547425</v>
      </c>
      <c r="F667" s="21" t="n">
        <f aca="false">IF(B667="","",IF(B667&lt;$B$19,0.5*EXP((B667-$B$19)/$B$20),1-0.5*EXP(-(B667-$B$19)/$B$20)))</f>
        <v>0.634061902284469</v>
      </c>
      <c r="G667" s="21" t="n">
        <f aca="false">IF(B667="","",1/(1+EXP(-(B667-$B$15)/$B$21)))</f>
        <v>0.600732295835438</v>
      </c>
      <c r="H667" s="21" t="n">
        <f aca="false">IF(B667="","",MAX(ABS($A667/$B$6-D667),ABS(($A667-1)/$B$6-D667)))</f>
        <v>0.0419011961260023</v>
      </c>
      <c r="I667" s="21" t="n">
        <f aca="false">IF(B667="","",MAX(ABS($A667/$B$6-E667),ABS(($A667-1)/$B$6-E667)))</f>
        <v>0.0297696634525755</v>
      </c>
      <c r="J667" s="21" t="n">
        <f aca="false">IF(B667="","",MAX(ABS($A667/$B$6-F667),ABS(($A667-1)/$B$6-F667)))</f>
        <v>0.00406190228446879</v>
      </c>
      <c r="K667" s="21" t="n">
        <f aca="false">IF(B667="","",MAX(ABS($A667/$B$6-G667),ABS(($A667-1)/$B$6-G667)))</f>
        <v>0.0302677041645619</v>
      </c>
    </row>
    <row r="668" customFormat="false" ht="15" hidden="false" customHeight="false" outlineLevel="0" collapsed="false">
      <c r="A668" s="11" t="n">
        <v>632</v>
      </c>
      <c r="B668" s="9" t="n">
        <f aca="false">IF(A668&gt;$B$6,"",SMALL(BTC_Data!$C$3:$C$1002,A668))</f>
        <v>0.000278124793800627</v>
      </c>
      <c r="C668" s="21" t="n">
        <f aca="false">IF(B668="","",A668/$B$6)</f>
        <v>0.632</v>
      </c>
      <c r="D668" s="21" t="n">
        <f aca="false">IF(B668="","",NORMDIST(B668,$B$15,$B$16,TRUE()))</f>
        <v>0.590039500330561</v>
      </c>
      <c r="E668" s="21" t="n">
        <f aca="false">IF(B668="","",IF(B668&gt;=$B$15,1-TDIST((B668-$B$15)/$B$18,$B$17,1),TDIST(($B$15-B668)/$B$18,$B$17,1)))</f>
        <v>0.602288285833932</v>
      </c>
      <c r="F668" s="21" t="n">
        <f aca="false">IF(B668="","",IF(B668&lt;$B$19,0.5*EXP((B668-$B$19)/$B$20),1-0.5*EXP(-(B668-$B$19)/$B$20)))</f>
        <v>0.635296920341634</v>
      </c>
      <c r="G668" s="21" t="n">
        <f aca="false">IF(B668="","",1/(1+EXP(-(B668-$B$15)/$B$21)))</f>
        <v>0.601784294718973</v>
      </c>
      <c r="H668" s="21" t="n">
        <f aca="false">IF(B668="","",MAX(ABS($A668/$B$6-D668),ABS(($A668-1)/$B$6-D668)))</f>
        <v>0.0419604996694386</v>
      </c>
      <c r="I668" s="21" t="n">
        <f aca="false">IF(B668="","",MAX(ABS($A668/$B$6-E668),ABS(($A668-1)/$B$6-E668)))</f>
        <v>0.0297117141660679</v>
      </c>
      <c r="J668" s="21" t="n">
        <f aca="false">IF(B668="","",MAX(ABS($A668/$B$6-F668),ABS(($A668-1)/$B$6-F668)))</f>
        <v>0.00429692034163443</v>
      </c>
      <c r="K668" s="21" t="n">
        <f aca="false">IF(B668="","",MAX(ABS($A668/$B$6-G668),ABS(($A668-1)/$B$6-G668)))</f>
        <v>0.0302157052810268</v>
      </c>
    </row>
    <row r="669" customFormat="false" ht="15" hidden="false" customHeight="false" outlineLevel="0" collapsed="false">
      <c r="A669" s="11" t="n">
        <v>633</v>
      </c>
      <c r="B669" s="9" t="n">
        <f aca="false">IF(A669&gt;$B$6,"",SMALL(BTC_Data!$C$3:$C$1002,A669))</f>
        <v>0.000280212901361043</v>
      </c>
      <c r="C669" s="21" t="n">
        <f aca="false">IF(B669="","",A669/$B$6)</f>
        <v>0.633</v>
      </c>
      <c r="D669" s="21" t="n">
        <f aca="false">IF(B669="","",NORMDIST(B669,$B$15,$B$16,TRUE()))</f>
        <v>0.590676905720566</v>
      </c>
      <c r="E669" s="21" t="n">
        <f aca="false">IF(B669="","",IF(B669&gt;=$B$15,1-TDIST((B669-$B$15)/$B$18,$B$17,1),TDIST(($B$15-B669)/$B$18,$B$17,1)))</f>
        <v>0.603004947367208</v>
      </c>
      <c r="F669" s="21" t="n">
        <f aca="false">IF(B669="","",IF(B669&lt;$B$19,0.5*EXP((B669-$B$19)/$B$20),1-0.5*EXP(-(B669-$B$19)/$B$20)))</f>
        <v>0.636131769679142</v>
      </c>
      <c r="G669" s="21" t="n">
        <f aca="false">IF(B669="","",1/(1+EXP(-(B669-$B$15)/$B$21)))</f>
        <v>0.602496912787814</v>
      </c>
      <c r="H669" s="21" t="n">
        <f aca="false">IF(B669="","",MAX(ABS($A669/$B$6-D669),ABS(($A669-1)/$B$6-D669)))</f>
        <v>0.0423230942794338</v>
      </c>
      <c r="I669" s="21" t="n">
        <f aca="false">IF(B669="","",MAX(ABS($A669/$B$6-E669),ABS(($A669-1)/$B$6-E669)))</f>
        <v>0.0299950526327917</v>
      </c>
      <c r="J669" s="21" t="n">
        <f aca="false">IF(B669="","",MAX(ABS($A669/$B$6-F669),ABS(($A669-1)/$B$6-F669)))</f>
        <v>0.00413176967914197</v>
      </c>
      <c r="K669" s="21" t="n">
        <f aca="false">IF(B669="","",MAX(ABS($A669/$B$6-G669),ABS(($A669-1)/$B$6-G669)))</f>
        <v>0.0305030872121858</v>
      </c>
    </row>
    <row r="670" customFormat="false" ht="15" hidden="false" customHeight="false" outlineLevel="0" collapsed="false">
      <c r="A670" s="11" t="n">
        <v>634</v>
      </c>
      <c r="B670" s="9" t="n">
        <f aca="false">IF(A670&gt;$B$6,"",SMALL(BTC_Data!$C$3:$C$1002,A670))</f>
        <v>0.000280710301432841</v>
      </c>
      <c r="C670" s="21" t="n">
        <f aca="false">IF(B670="","",A670/$B$6)</f>
        <v>0.634</v>
      </c>
      <c r="D670" s="21" t="n">
        <f aca="false">IF(B670="","",NORMDIST(B670,$B$15,$B$16,TRUE()))</f>
        <v>0.590828704327903</v>
      </c>
      <c r="E670" s="21" t="n">
        <f aca="false">IF(B670="","",IF(B670&gt;=$B$15,1-TDIST((B670-$B$15)/$B$18,$B$17,1),TDIST(($B$15-B670)/$B$18,$B$17,1)))</f>
        <v>0.603175597750688</v>
      </c>
      <c r="F670" s="21" t="n">
        <f aca="false">IF(B670="","",IF(B670&lt;$B$19,0.5*EXP((B670-$B$19)/$B$20),1-0.5*EXP(-(B670-$B$19)/$B$20)))</f>
        <v>0.636330353931715</v>
      </c>
      <c r="G670" s="21" t="n">
        <f aca="false">IF(B670="","",1/(1+EXP(-(B670-$B$15)/$B$21)))</f>
        <v>0.602666598837197</v>
      </c>
      <c r="H670" s="21" t="n">
        <f aca="false">IF(B670="","",MAX(ABS($A670/$B$6-D670),ABS(($A670-1)/$B$6-D670)))</f>
        <v>0.0431712956720969</v>
      </c>
      <c r="I670" s="21" t="n">
        <f aca="false">IF(B670="","",MAX(ABS($A670/$B$6-E670),ABS(($A670-1)/$B$6-E670)))</f>
        <v>0.0308244022493117</v>
      </c>
      <c r="J670" s="21" t="n">
        <f aca="false">IF(B670="","",MAX(ABS($A670/$B$6-F670),ABS(($A670-1)/$B$6-F670)))</f>
        <v>0.00333035393171532</v>
      </c>
      <c r="K670" s="21" t="n">
        <f aca="false">IF(B670="","",MAX(ABS($A670/$B$6-G670),ABS(($A670-1)/$B$6-G670)))</f>
        <v>0.0313334011628033</v>
      </c>
    </row>
    <row r="671" customFormat="false" ht="15" hidden="false" customHeight="false" outlineLevel="0" collapsed="false">
      <c r="A671" s="11" t="n">
        <v>635</v>
      </c>
      <c r="B671" s="9" t="n">
        <f aca="false">IF(A671&gt;$B$6,"",SMALL(BTC_Data!$C$3:$C$1002,A671))</f>
        <v>0.000282105357447326</v>
      </c>
      <c r="C671" s="21" t="n">
        <f aca="false">IF(B671="","",A671/$B$6)</f>
        <v>0.635</v>
      </c>
      <c r="D671" s="21" t="n">
        <f aca="false">IF(B671="","",NORMDIST(B671,$B$15,$B$16,TRUE()))</f>
        <v>0.591254380544575</v>
      </c>
      <c r="E671" s="21" t="n">
        <f aca="false">IF(B671="","",IF(B671&gt;=$B$15,1-TDIST((B671-$B$15)/$B$18,$B$17,1),TDIST(($B$15-B671)/$B$18,$B$17,1)))</f>
        <v>0.603654090750211</v>
      </c>
      <c r="F671" s="21" t="n">
        <f aca="false">IF(B671="","",IF(B671&lt;$B$19,0.5*EXP((B671-$B$19)/$B$20),1-0.5*EXP(-(B671-$B$19)/$B$20)))</f>
        <v>0.636886744332002</v>
      </c>
      <c r="G671" s="21" t="n">
        <f aca="false">IF(B671="","",1/(1+EXP(-(B671-$B$15)/$B$21)))</f>
        <v>0.603142384795568</v>
      </c>
      <c r="H671" s="21" t="n">
        <f aca="false">IF(B671="","",MAX(ABS($A671/$B$6-D671),ABS(($A671-1)/$B$6-D671)))</f>
        <v>0.0437456194554251</v>
      </c>
      <c r="I671" s="21" t="n">
        <f aca="false">IF(B671="","",MAX(ABS($A671/$B$6-E671),ABS(($A671-1)/$B$6-E671)))</f>
        <v>0.0313459092497888</v>
      </c>
      <c r="J671" s="21" t="n">
        <f aca="false">IF(B671="","",MAX(ABS($A671/$B$6-F671),ABS(($A671-1)/$B$6-F671)))</f>
        <v>0.00288674433200165</v>
      </c>
      <c r="K671" s="21" t="n">
        <f aca="false">IF(B671="","",MAX(ABS($A671/$B$6-G671),ABS(($A671-1)/$B$6-G671)))</f>
        <v>0.0318576152044319</v>
      </c>
    </row>
    <row r="672" customFormat="false" ht="15" hidden="false" customHeight="false" outlineLevel="0" collapsed="false">
      <c r="A672" s="11" t="n">
        <v>636</v>
      </c>
      <c r="B672" s="9" t="n">
        <f aca="false">IF(A672&gt;$B$6,"",SMALL(BTC_Data!$C$3:$C$1002,A672))</f>
        <v>0.000282320927886603</v>
      </c>
      <c r="C672" s="21" t="n">
        <f aca="false">IF(B672="","",A672/$B$6)</f>
        <v>0.636</v>
      </c>
      <c r="D672" s="21" t="n">
        <f aca="false">IF(B672="","",NORMDIST(B672,$B$15,$B$16,TRUE()))</f>
        <v>0.591320148393946</v>
      </c>
      <c r="E672" s="21" t="n">
        <f aca="false">IF(B672="","",IF(B672&gt;=$B$15,1-TDIST((B672-$B$15)/$B$18,$B$17,1),TDIST(($B$15-B672)/$B$18,$B$17,1)))</f>
        <v>0.60372801261646</v>
      </c>
      <c r="F672" s="21" t="n">
        <f aca="false">IF(B672="","",IF(B672&lt;$B$19,0.5*EXP((B672-$B$19)/$B$20),1-0.5*EXP(-(B672-$B$19)/$B$20)))</f>
        <v>0.636972644358321</v>
      </c>
      <c r="G672" s="21" t="n">
        <f aca="false">IF(B672="","",1/(1+EXP(-(B672-$B$15)/$B$21)))</f>
        <v>0.603215888044535</v>
      </c>
      <c r="H672" s="21" t="n">
        <f aca="false">IF(B672="","",MAX(ABS($A672/$B$6-D672),ABS(($A672-1)/$B$6-D672)))</f>
        <v>0.0446798516060541</v>
      </c>
      <c r="I672" s="21" t="n">
        <f aca="false">IF(B672="","",MAX(ABS($A672/$B$6-E672),ABS(($A672-1)/$B$6-E672)))</f>
        <v>0.0322719873835396</v>
      </c>
      <c r="J672" s="21" t="n">
        <f aca="false">IF(B672="","",MAX(ABS($A672/$B$6-F672),ABS(($A672-1)/$B$6-F672)))</f>
        <v>0.00197264435832056</v>
      </c>
      <c r="K672" s="21" t="n">
        <f aca="false">IF(B672="","",MAX(ABS($A672/$B$6-G672),ABS(($A672-1)/$B$6-G672)))</f>
        <v>0.0327841119554654</v>
      </c>
    </row>
    <row r="673" customFormat="false" ht="15" hidden="false" customHeight="false" outlineLevel="0" collapsed="false">
      <c r="A673" s="11" t="n">
        <v>637</v>
      </c>
      <c r="B673" s="9" t="n">
        <f aca="false">IF(A673&gt;$B$6,"",SMALL(BTC_Data!$C$3:$C$1002,A673))</f>
        <v>0.00028254624591284</v>
      </c>
      <c r="C673" s="21" t="n">
        <f aca="false">IF(B673="","",A673/$B$6)</f>
        <v>0.637</v>
      </c>
      <c r="D673" s="21" t="n">
        <f aca="false">IF(B673="","",NORMDIST(B673,$B$15,$B$16,TRUE()))</f>
        <v>0.591388887361825</v>
      </c>
      <c r="E673" s="21" t="n">
        <f aca="false">IF(B673="","",IF(B673&gt;=$B$15,1-TDIST((B673-$B$15)/$B$18,$B$17,1),TDIST(($B$15-B673)/$B$18,$B$17,1)))</f>
        <v>0.603805272164488</v>
      </c>
      <c r="F673" s="21" t="n">
        <f aca="false">IF(B673="","",IF(B673&lt;$B$19,0.5*EXP((B673-$B$19)/$B$20),1-0.5*EXP(-(B673-$B$19)/$B$20)))</f>
        <v>0.637062406861312</v>
      </c>
      <c r="G673" s="21" t="n">
        <f aca="false">IF(B673="","",1/(1+EXP(-(B673-$B$15)/$B$21)))</f>
        <v>0.603292709956802</v>
      </c>
      <c r="H673" s="21" t="n">
        <f aca="false">IF(B673="","",MAX(ABS($A673/$B$6-D673),ABS(($A673-1)/$B$6-D673)))</f>
        <v>0.0456111126381753</v>
      </c>
      <c r="I673" s="21" t="n">
        <f aca="false">IF(B673="","",MAX(ABS($A673/$B$6-E673),ABS(($A673-1)/$B$6-E673)))</f>
        <v>0.0331947278355116</v>
      </c>
      <c r="J673" s="21" t="n">
        <f aca="false">IF(B673="","",MAX(ABS($A673/$B$6-F673),ABS(($A673-1)/$B$6-F673)))</f>
        <v>0.00106240686131232</v>
      </c>
      <c r="K673" s="21" t="n">
        <f aca="false">IF(B673="","",MAX(ABS($A673/$B$6-G673),ABS(($A673-1)/$B$6-G673)))</f>
        <v>0.0337072900431984</v>
      </c>
    </row>
    <row r="674" customFormat="false" ht="15" hidden="false" customHeight="false" outlineLevel="0" collapsed="false">
      <c r="A674" s="11" t="n">
        <v>638</v>
      </c>
      <c r="B674" s="9" t="n">
        <f aca="false">IF(A674&gt;$B$6,"",SMALL(BTC_Data!$C$3:$C$1002,A674))</f>
        <v>0.000286715352247224</v>
      </c>
      <c r="C674" s="21" t="n">
        <f aca="false">IF(B674="","",A674/$B$6)</f>
        <v>0.638</v>
      </c>
      <c r="D674" s="21" t="n">
        <f aca="false">IF(B674="","",NORMDIST(B674,$B$15,$B$16,TRUE()))</f>
        <v>0.59266026938043</v>
      </c>
      <c r="E674" s="21" t="n">
        <f aca="false">IF(B674="","",IF(B674&gt;=$B$15,1-TDIST((B674-$B$15)/$B$18,$B$17,1),TDIST(($B$15-B674)/$B$18,$B$17,1)))</f>
        <v>0.605233915480813</v>
      </c>
      <c r="F674" s="21" t="n">
        <f aca="false">IF(B674="","",IF(B674&lt;$B$19,0.5*EXP((B674-$B$19)/$B$20),1-0.5*EXP(-(B674-$B$19)/$B$20)))</f>
        <v>0.638719302173885</v>
      </c>
      <c r="G674" s="21" t="n">
        <f aca="false">IF(B674="","",1/(1+EXP(-(B674-$B$15)/$B$21)))</f>
        <v>0.604713239053846</v>
      </c>
      <c r="H674" s="21" t="n">
        <f aca="false">IF(B674="","",MAX(ABS($A674/$B$6-D674),ABS(($A674-1)/$B$6-D674)))</f>
        <v>0.0453397306195701</v>
      </c>
      <c r="I674" s="21" t="n">
        <f aca="false">IF(B674="","",MAX(ABS($A674/$B$6-E674),ABS(($A674-1)/$B$6-E674)))</f>
        <v>0.0327660845191873</v>
      </c>
      <c r="J674" s="21" t="n">
        <f aca="false">IF(B674="","",MAX(ABS($A674/$B$6-F674),ABS(($A674-1)/$B$6-F674)))</f>
        <v>0.00171930217388483</v>
      </c>
      <c r="K674" s="21" t="n">
        <f aca="false">IF(B674="","",MAX(ABS($A674/$B$6-G674),ABS(($A674-1)/$B$6-G674)))</f>
        <v>0.0332867609461544</v>
      </c>
    </row>
    <row r="675" customFormat="false" ht="15" hidden="false" customHeight="false" outlineLevel="0" collapsed="false">
      <c r="A675" s="11" t="n">
        <v>639</v>
      </c>
      <c r="B675" s="9" t="n">
        <f aca="false">IF(A675&gt;$B$6,"",SMALL(BTC_Data!$C$3:$C$1002,A675))</f>
        <v>0.000288366743304014</v>
      </c>
      <c r="C675" s="21" t="n">
        <f aca="false">IF(B675="","",A675/$B$6)</f>
        <v>0.639</v>
      </c>
      <c r="D675" s="21" t="n">
        <f aca="false">IF(B675="","",NORMDIST(B675,$B$15,$B$16,TRUE()))</f>
        <v>0.5931635972669</v>
      </c>
      <c r="E675" s="21" t="n">
        <f aca="false">IF(B675="","",IF(B675&gt;=$B$15,1-TDIST((B675-$B$15)/$B$18,$B$17,1),TDIST(($B$15-B675)/$B$18,$B$17,1)))</f>
        <v>0.605799325538161</v>
      </c>
      <c r="F675" s="21" t="n">
        <f aca="false">IF(B675="","",IF(B675&lt;$B$19,0.5*EXP((B675-$B$19)/$B$20),1-0.5*EXP(-(B675-$B$19)/$B$20)))</f>
        <v>0.639373508202982</v>
      </c>
      <c r="G675" s="21" t="n">
        <f aca="false">IF(B675="","",1/(1+EXP(-(B675-$B$15)/$B$21)))</f>
        <v>0.605275426347911</v>
      </c>
      <c r="H675" s="21" t="n">
        <f aca="false">IF(B675="","",MAX(ABS($A675/$B$6-D675),ABS(($A675-1)/$B$6-D675)))</f>
        <v>0.0458364027331</v>
      </c>
      <c r="I675" s="21" t="n">
        <f aca="false">IF(B675="","",MAX(ABS($A675/$B$6-E675),ABS(($A675-1)/$B$6-E675)))</f>
        <v>0.0332006744618391</v>
      </c>
      <c r="J675" s="21" t="n">
        <f aca="false">IF(B675="","",MAX(ABS($A675/$B$6-F675),ABS(($A675-1)/$B$6-F675)))</f>
        <v>0.00137350820298232</v>
      </c>
      <c r="K675" s="21" t="n">
        <f aca="false">IF(B675="","",MAX(ABS($A675/$B$6-G675),ABS(($A675-1)/$B$6-G675)))</f>
        <v>0.0337245736520891</v>
      </c>
    </row>
    <row r="676" customFormat="false" ht="15" hidden="false" customHeight="false" outlineLevel="0" collapsed="false">
      <c r="A676" s="11" t="n">
        <v>640</v>
      </c>
      <c r="B676" s="9" t="n">
        <f aca="false">IF(A676&gt;$B$6,"",SMALL(BTC_Data!$C$3:$C$1002,A676))</f>
        <v>0.000289651782900524</v>
      </c>
      <c r="C676" s="21" t="n">
        <f aca="false">IF(B676="","",A676/$B$6)</f>
        <v>0.64</v>
      </c>
      <c r="D676" s="21" t="n">
        <f aca="false">IF(B676="","",NORMDIST(B676,$B$15,$B$16,TRUE()))</f>
        <v>0.593555158411024</v>
      </c>
      <c r="E676" s="21" t="n">
        <f aca="false">IF(B676="","",IF(B676&gt;=$B$15,1-TDIST((B676-$B$15)/$B$18,$B$17,1),TDIST(($B$15-B676)/$B$18,$B$17,1)))</f>
        <v>0.606239113569465</v>
      </c>
      <c r="F676" s="21" t="n">
        <f aca="false">IF(B676="","",IF(B676&lt;$B$19,0.5*EXP((B676-$B$19)/$B$20),1-0.5*EXP(-(B676-$B$19)/$B$20)))</f>
        <v>0.639881762757064</v>
      </c>
      <c r="G676" s="21" t="n">
        <f aca="false">IF(B676="","",1/(1+EXP(-(B676-$B$15)/$B$21)))</f>
        <v>0.605712703140401</v>
      </c>
      <c r="H676" s="21" t="n">
        <f aca="false">IF(B676="","",MAX(ABS($A676/$B$6-D676),ABS(($A676-1)/$B$6-D676)))</f>
        <v>0.0464448415889763</v>
      </c>
      <c r="I676" s="21" t="n">
        <f aca="false">IF(B676="","",MAX(ABS($A676/$B$6-E676),ABS(($A676-1)/$B$6-E676)))</f>
        <v>0.0337608864305355</v>
      </c>
      <c r="J676" s="21" t="n">
        <f aca="false">IF(B676="","",MAX(ABS($A676/$B$6-F676),ABS(($A676-1)/$B$6-F676)))</f>
        <v>0.000881762757063642</v>
      </c>
      <c r="K676" s="21" t="n">
        <f aca="false">IF(B676="","",MAX(ABS($A676/$B$6-G676),ABS(($A676-1)/$B$6-G676)))</f>
        <v>0.0342872968595988</v>
      </c>
    </row>
    <row r="677" customFormat="false" ht="15" hidden="false" customHeight="false" outlineLevel="0" collapsed="false">
      <c r="A677" s="11" t="n">
        <v>641</v>
      </c>
      <c r="B677" s="9" t="n">
        <f aca="false">IF(A677&gt;$B$6,"",SMALL(BTC_Data!$C$3:$C$1002,A677))</f>
        <v>0.000293186113205612</v>
      </c>
      <c r="C677" s="21" t="n">
        <f aca="false">IF(B677="","",A677/$B$6)</f>
        <v>0.641</v>
      </c>
      <c r="D677" s="21" t="n">
        <f aca="false">IF(B677="","",NORMDIST(B677,$B$15,$B$16,TRUE()))</f>
        <v>0.594631611694859</v>
      </c>
      <c r="E677" s="21" t="n">
        <f aca="false">IF(B677="","",IF(B677&gt;=$B$15,1-TDIST((B677-$B$15)/$B$18,$B$17,1),TDIST(($B$15-B677)/$B$18,$B$17,1)))</f>
        <v>0.607447832905228</v>
      </c>
      <c r="F677" s="21" t="n">
        <f aca="false">IF(B677="","",IF(B677&lt;$B$19,0.5*EXP((B677-$B$19)/$B$20),1-0.5*EXP(-(B677-$B$19)/$B$20)))</f>
        <v>0.641275957909396</v>
      </c>
      <c r="G677" s="21" t="n">
        <f aca="false">IF(B677="","",1/(1+EXP(-(B677-$B$15)/$B$21)))</f>
        <v>0.606914500143838</v>
      </c>
      <c r="H677" s="21" t="n">
        <f aca="false">IF(B677="","",MAX(ABS($A677/$B$6-D677),ABS(($A677-1)/$B$6-D677)))</f>
        <v>0.0463683883051412</v>
      </c>
      <c r="I677" s="21" t="n">
        <f aca="false">IF(B677="","",MAX(ABS($A677/$B$6-E677),ABS(($A677-1)/$B$6-E677)))</f>
        <v>0.0335521670947723</v>
      </c>
      <c r="J677" s="21" t="n">
        <f aca="false">IF(B677="","",MAX(ABS($A677/$B$6-F677),ABS(($A677-1)/$B$6-F677)))</f>
        <v>0.00127595790939605</v>
      </c>
      <c r="K677" s="21" t="n">
        <f aca="false">IF(B677="","",MAX(ABS($A677/$B$6-G677),ABS(($A677-1)/$B$6-G677)))</f>
        <v>0.0340854998561616</v>
      </c>
    </row>
    <row r="678" customFormat="false" ht="15" hidden="false" customHeight="false" outlineLevel="0" collapsed="false">
      <c r="A678" s="11" t="n">
        <v>642</v>
      </c>
      <c r="B678" s="9" t="n">
        <f aca="false">IF(A678&gt;$B$6,"",SMALL(BTC_Data!$C$3:$C$1002,A678))</f>
        <v>0.000294560093067053</v>
      </c>
      <c r="C678" s="21" t="n">
        <f aca="false">IF(B678="","",A678/$B$6)</f>
        <v>0.642</v>
      </c>
      <c r="D678" s="21" t="n">
        <f aca="false">IF(B678="","",NORMDIST(B678,$B$15,$B$16,TRUE()))</f>
        <v>0.595049892969767</v>
      </c>
      <c r="E678" s="21" t="n">
        <f aca="false">IF(B678="","",IF(B678&gt;=$B$15,1-TDIST((B678-$B$15)/$B$18,$B$17,1),TDIST(($B$15-B678)/$B$18,$B$17,1)))</f>
        <v>0.607917383411721</v>
      </c>
      <c r="F678" s="21" t="n">
        <f aca="false">IF(B678="","",IF(B678&lt;$B$19,0.5*EXP((B678-$B$19)/$B$20),1-0.5*EXP(-(B678-$B$19)/$B$20)))</f>
        <v>0.641816496620909</v>
      </c>
      <c r="G678" s="21" t="n">
        <f aca="false">IF(B678="","",1/(1+EXP(-(B678-$B$15)/$B$21)))</f>
        <v>0.607381353424341</v>
      </c>
      <c r="H678" s="21" t="n">
        <f aca="false">IF(B678="","",MAX(ABS($A678/$B$6-D678),ABS(($A678-1)/$B$6-D678)))</f>
        <v>0.0469501070302331</v>
      </c>
      <c r="I678" s="21" t="n">
        <f aca="false">IF(B678="","",MAX(ABS($A678/$B$6-E678),ABS(($A678-1)/$B$6-E678)))</f>
        <v>0.0340826165882792</v>
      </c>
      <c r="J678" s="21" t="n">
        <f aca="false">IF(B678="","",MAX(ABS($A678/$B$6-F678),ABS(($A678-1)/$B$6-F678)))</f>
        <v>0.000816496620908769</v>
      </c>
      <c r="K678" s="21" t="n">
        <f aca="false">IF(B678="","",MAX(ABS($A678/$B$6-G678),ABS(($A678-1)/$B$6-G678)))</f>
        <v>0.0346186465756588</v>
      </c>
    </row>
    <row r="679" customFormat="false" ht="15" hidden="false" customHeight="false" outlineLevel="0" collapsed="false">
      <c r="A679" s="11" t="n">
        <v>643</v>
      </c>
      <c r="B679" s="9" t="n">
        <f aca="false">IF(A679&gt;$B$6,"",SMALL(BTC_Data!$C$3:$C$1002,A679))</f>
        <v>0.000297878349745151</v>
      </c>
      <c r="C679" s="21" t="n">
        <f aca="false">IF(B679="","",A679/$B$6)</f>
        <v>0.643</v>
      </c>
      <c r="D679" s="21" t="n">
        <f aca="false">IF(B679="","",NORMDIST(B679,$B$15,$B$16,TRUE()))</f>
        <v>0.596059622666842</v>
      </c>
      <c r="E679" s="21" t="n">
        <f aca="false">IF(B679="","",IF(B679&gt;=$B$15,1-TDIST((B679-$B$15)/$B$18,$B$17,1),TDIST(($B$15-B679)/$B$18,$B$17,1)))</f>
        <v>0.609050584098969</v>
      </c>
      <c r="F679" s="21" t="n">
        <f aca="false">IF(B679="","",IF(B679&lt;$B$19,0.5*EXP((B679-$B$19)/$B$20),1-0.5*EXP(-(B679-$B$19)/$B$20)))</f>
        <v>0.643118578630456</v>
      </c>
      <c r="G679" s="21" t="n">
        <f aca="false">IF(B679="","",1/(1+EXP(-(B679-$B$15)/$B$21)))</f>
        <v>0.608508025882266</v>
      </c>
      <c r="H679" s="21" t="n">
        <f aca="false">IF(B679="","",MAX(ABS($A679/$B$6-D679),ABS(($A679-1)/$B$6-D679)))</f>
        <v>0.0469403773331584</v>
      </c>
      <c r="I679" s="21" t="n">
        <f aca="false">IF(B679="","",MAX(ABS($A679/$B$6-E679),ABS(($A679-1)/$B$6-E679)))</f>
        <v>0.0339494159010306</v>
      </c>
      <c r="J679" s="21" t="n">
        <f aca="false">IF(B679="","",MAX(ABS($A679/$B$6-F679),ABS(($A679-1)/$B$6-F679)))</f>
        <v>0.00111857863045584</v>
      </c>
      <c r="K679" s="21" t="n">
        <f aca="false">IF(B679="","",MAX(ABS($A679/$B$6-G679),ABS(($A679-1)/$B$6-G679)))</f>
        <v>0.0344919741177341</v>
      </c>
    </row>
    <row r="680" customFormat="false" ht="15" hidden="false" customHeight="false" outlineLevel="0" collapsed="false">
      <c r="A680" s="11" t="n">
        <v>644</v>
      </c>
      <c r="B680" s="9" t="n">
        <f aca="false">IF(A680&gt;$B$6,"",SMALL(BTC_Data!$C$3:$C$1002,A680))</f>
        <v>0.000301877172305121</v>
      </c>
      <c r="C680" s="21" t="n">
        <f aca="false">IF(B680="","",A680/$B$6)</f>
        <v>0.644</v>
      </c>
      <c r="D680" s="21" t="n">
        <f aca="false">IF(B680="","",NORMDIST(B680,$B$15,$B$16,TRUE()))</f>
        <v>0.597275594813242</v>
      </c>
      <c r="E680" s="21" t="n">
        <f aca="false">IF(B680="","",IF(B680&gt;=$B$15,1-TDIST((B680-$B$15)/$B$18,$B$17,1),TDIST(($B$15-B680)/$B$18,$B$17,1)))</f>
        <v>0.61041469230466</v>
      </c>
      <c r="F680" s="21" t="n">
        <f aca="false">IF(B680="","",IF(B680&lt;$B$19,0.5*EXP((B680-$B$19)/$B$20),1-0.5*EXP(-(B680-$B$19)/$B$20)))</f>
        <v>0.644681426727505</v>
      </c>
      <c r="G680" s="21" t="n">
        <f aca="false">IF(B680="","",1/(1+EXP(-(B680-$B$15)/$B$21)))</f>
        <v>0.609864240100809</v>
      </c>
      <c r="H680" s="21" t="n">
        <f aca="false">IF(B680="","",MAX(ABS($A680/$B$6-D680),ABS(($A680-1)/$B$6-D680)))</f>
        <v>0.0467244051867585</v>
      </c>
      <c r="I680" s="21" t="n">
        <f aca="false">IF(B680="","",MAX(ABS($A680/$B$6-E680),ABS(($A680-1)/$B$6-E680)))</f>
        <v>0.0335853076953404</v>
      </c>
      <c r="J680" s="21" t="n">
        <f aca="false">IF(B680="","",MAX(ABS($A680/$B$6-F680),ABS(($A680-1)/$B$6-F680)))</f>
        <v>0.00168142672750515</v>
      </c>
      <c r="K680" s="21" t="n">
        <f aca="false">IF(B680="","",MAX(ABS($A680/$B$6-G680),ABS(($A680-1)/$B$6-G680)))</f>
        <v>0.0341357598991913</v>
      </c>
    </row>
    <row r="681" customFormat="false" ht="15" hidden="false" customHeight="false" outlineLevel="0" collapsed="false">
      <c r="A681" s="11" t="n">
        <v>645</v>
      </c>
      <c r="B681" s="9" t="n">
        <f aca="false">IF(A681&gt;$B$6,"",SMALL(BTC_Data!$C$3:$C$1002,A681))</f>
        <v>0.000305370810753436</v>
      </c>
      <c r="C681" s="21" t="n">
        <f aca="false">IF(B681="","",A681/$B$6)</f>
        <v>0.645</v>
      </c>
      <c r="D681" s="21" t="n">
        <f aca="false">IF(B681="","",NORMDIST(B681,$B$15,$B$16,TRUE()))</f>
        <v>0.598337180103161</v>
      </c>
      <c r="E681" s="21" t="n">
        <f aca="false">IF(B681="","",IF(B681&gt;=$B$15,1-TDIST((B681-$B$15)/$B$18,$B$17,1),TDIST(($B$15-B681)/$B$18,$B$17,1)))</f>
        <v>0.611605104522782</v>
      </c>
      <c r="F681" s="21" t="n">
        <f aca="false">IF(B681="","",IF(B681&lt;$B$19,0.5*EXP((B681-$B$19)/$B$20),1-0.5*EXP(-(B681-$B$19)/$B$20)))</f>
        <v>0.646041232491648</v>
      </c>
      <c r="G681" s="21" t="n">
        <f aca="false">IF(B681="","",1/(1+EXP(-(B681-$B$15)/$B$21)))</f>
        <v>0.611047731523165</v>
      </c>
      <c r="H681" s="21" t="n">
        <f aca="false">IF(B681="","",MAX(ABS($A681/$B$6-D681),ABS(($A681-1)/$B$6-D681)))</f>
        <v>0.0466628198968394</v>
      </c>
      <c r="I681" s="21" t="n">
        <f aca="false">IF(B681="","",MAX(ABS($A681/$B$6-E681),ABS(($A681-1)/$B$6-E681)))</f>
        <v>0.0333948954772184</v>
      </c>
      <c r="J681" s="21" t="n">
        <f aca="false">IF(B681="","",MAX(ABS($A681/$B$6-F681),ABS(($A681-1)/$B$6-F681)))</f>
        <v>0.002041232491648</v>
      </c>
      <c r="K681" s="21" t="n">
        <f aca="false">IF(B681="","",MAX(ABS($A681/$B$6-G681),ABS(($A681-1)/$B$6-G681)))</f>
        <v>0.0339522684768352</v>
      </c>
    </row>
    <row r="682" customFormat="false" ht="15" hidden="false" customHeight="false" outlineLevel="0" collapsed="false">
      <c r="A682" s="11" t="n">
        <v>646</v>
      </c>
      <c r="B682" s="9" t="n">
        <f aca="false">IF(A682&gt;$B$6,"",SMALL(BTC_Data!$C$3:$C$1002,A682))</f>
        <v>0.000315751654564211</v>
      </c>
      <c r="C682" s="21" t="n">
        <f aca="false">IF(B682="","",A682/$B$6)</f>
        <v>0.646</v>
      </c>
      <c r="D682" s="21" t="n">
        <f aca="false">IF(B682="","",NORMDIST(B682,$B$15,$B$16,TRUE()))</f>
        <v>0.601487220271727</v>
      </c>
      <c r="E682" s="21" t="n">
        <f aca="false">IF(B682="","",IF(B682&gt;=$B$15,1-TDIST((B682-$B$15)/$B$18,$B$17,1),TDIST(($B$15-B682)/$B$18,$B$17,1)))</f>
        <v>0.615134613935683</v>
      </c>
      <c r="F682" s="21" t="n">
        <f aca="false">IF(B682="","",IF(B682&lt;$B$19,0.5*EXP((B682-$B$19)/$B$20),1-0.5*EXP(-(B682-$B$19)/$B$20)))</f>
        <v>0.650051072434268</v>
      </c>
      <c r="G682" s="21" t="n">
        <f aca="false">IF(B682="","",1/(1+EXP(-(B682-$B$15)/$B$21)))</f>
        <v>0.61455654368665</v>
      </c>
      <c r="H682" s="21" t="n">
        <f aca="false">IF(B682="","",MAX(ABS($A682/$B$6-D682),ABS(($A682-1)/$B$6-D682)))</f>
        <v>0.0445127797282732</v>
      </c>
      <c r="I682" s="21" t="n">
        <f aca="false">IF(B682="","",MAX(ABS($A682/$B$6-E682),ABS(($A682-1)/$B$6-E682)))</f>
        <v>0.0308653860643172</v>
      </c>
      <c r="J682" s="21" t="n">
        <f aca="false">IF(B682="","",MAX(ABS($A682/$B$6-F682),ABS(($A682-1)/$B$6-F682)))</f>
        <v>0.00505107243426761</v>
      </c>
      <c r="K682" s="21" t="n">
        <f aca="false">IF(B682="","",MAX(ABS($A682/$B$6-G682),ABS(($A682-1)/$B$6-G682)))</f>
        <v>0.0314434563133502</v>
      </c>
    </row>
    <row r="683" customFormat="false" ht="15" hidden="false" customHeight="false" outlineLevel="0" collapsed="false">
      <c r="A683" s="11" t="n">
        <v>647</v>
      </c>
      <c r="B683" s="9" t="n">
        <f aca="false">IF(A683&gt;$B$6,"",SMALL(BTC_Data!$C$3:$C$1002,A683))</f>
        <v>0.000318813924019556</v>
      </c>
      <c r="C683" s="21" t="n">
        <f aca="false">IF(B683="","",A683/$B$6)</f>
        <v>0.647</v>
      </c>
      <c r="D683" s="21" t="n">
        <f aca="false">IF(B683="","",NORMDIST(B683,$B$15,$B$16,TRUE()))</f>
        <v>0.602415206410283</v>
      </c>
      <c r="E683" s="21" t="n">
        <f aca="false">IF(B683="","",IF(B683&gt;=$B$15,1-TDIST((B683-$B$15)/$B$18,$B$17,1),TDIST(($B$15-B683)/$B$18,$B$17,1)))</f>
        <v>0.6161735779872</v>
      </c>
      <c r="F683" s="21" t="n">
        <f aca="false">IF(B683="","",IF(B683&lt;$B$19,0.5*EXP((B683-$B$19)/$B$20),1-0.5*EXP(-(B683-$B$19)/$B$20)))</f>
        <v>0.651225244713759</v>
      </c>
      <c r="G683" s="21" t="n">
        <f aca="false">IF(B683="","",1/(1+EXP(-(B683-$B$15)/$B$21)))</f>
        <v>0.615589364025648</v>
      </c>
      <c r="H683" s="21" t="n">
        <f aca="false">IF(B683="","",MAX(ABS($A683/$B$6-D683),ABS(($A683-1)/$B$6-D683)))</f>
        <v>0.0445847935897172</v>
      </c>
      <c r="I683" s="21" t="n">
        <f aca="false">IF(B683="","",MAX(ABS($A683/$B$6-E683),ABS(($A683-1)/$B$6-E683)))</f>
        <v>0.0308264220127997</v>
      </c>
      <c r="J683" s="21" t="n">
        <f aca="false">IF(B683="","",MAX(ABS($A683/$B$6-F683),ABS(($A683-1)/$B$6-F683)))</f>
        <v>0.00522524471375918</v>
      </c>
      <c r="K683" s="21" t="n">
        <f aca="false">IF(B683="","",MAX(ABS($A683/$B$6-G683),ABS(($A683-1)/$B$6-G683)))</f>
        <v>0.031410635974352</v>
      </c>
    </row>
    <row r="684" customFormat="false" ht="15" hidden="false" customHeight="false" outlineLevel="0" collapsed="false">
      <c r="A684" s="11" t="n">
        <v>648</v>
      </c>
      <c r="B684" s="9" t="n">
        <f aca="false">IF(A684&gt;$B$6,"",SMALL(BTC_Data!$C$3:$C$1002,A684))</f>
        <v>0.000319037952631884</v>
      </c>
      <c r="C684" s="21" t="n">
        <f aca="false">IF(B684="","",A684/$B$6)</f>
        <v>0.648</v>
      </c>
      <c r="D684" s="21" t="n">
        <f aca="false">IF(B684="","",NORMDIST(B684,$B$15,$B$16,TRUE()))</f>
        <v>0.602483073071836</v>
      </c>
      <c r="E684" s="21" t="n">
        <f aca="false">IF(B684="","",IF(B684&gt;=$B$15,1-TDIST((B684-$B$15)/$B$18,$B$17,1),TDIST(($B$15-B684)/$B$18,$B$17,1)))</f>
        <v>0.616249546133322</v>
      </c>
      <c r="F684" s="21" t="n">
        <f aca="false">IF(B684="","",IF(B684&lt;$B$19,0.5*EXP((B684-$B$19)/$B$20),1-0.5*EXP(-(B684-$B$19)/$B$20)))</f>
        <v>0.65131098965411</v>
      </c>
      <c r="G684" s="21" t="n">
        <f aca="false">IF(B684="","",1/(1+EXP(-(B684-$B$15)/$B$21)))</f>
        <v>0.615664882027244</v>
      </c>
      <c r="H684" s="21" t="n">
        <f aca="false">IF(B684="","",MAX(ABS($A684/$B$6-D684),ABS(($A684-1)/$B$6-D684)))</f>
        <v>0.0455169269281646</v>
      </c>
      <c r="I684" s="21" t="n">
        <f aca="false">IF(B684="","",MAX(ABS($A684/$B$6-E684),ABS(($A684-1)/$B$6-E684)))</f>
        <v>0.0317504538666781</v>
      </c>
      <c r="J684" s="21" t="n">
        <f aca="false">IF(B684="","",MAX(ABS($A684/$B$6-F684),ABS(($A684-1)/$B$6-F684)))</f>
        <v>0.00431098965411003</v>
      </c>
      <c r="K684" s="21" t="n">
        <f aca="false">IF(B684="","",MAX(ABS($A684/$B$6-G684),ABS(($A684-1)/$B$6-G684)))</f>
        <v>0.0323351179727566</v>
      </c>
    </row>
    <row r="685" customFormat="false" ht="15" hidden="false" customHeight="false" outlineLevel="0" collapsed="false">
      <c r="A685" s="11" t="n">
        <v>649</v>
      </c>
      <c r="B685" s="9" t="n">
        <f aca="false">IF(A685&gt;$B$6,"",SMALL(BTC_Data!$C$3:$C$1002,A685))</f>
        <v>0.000320607777505755</v>
      </c>
      <c r="C685" s="21" t="n">
        <f aca="false">IF(B685="","",A685/$B$6)</f>
        <v>0.649</v>
      </c>
      <c r="D685" s="21" t="n">
        <f aca="false">IF(B685="","",NORMDIST(B685,$B$15,$B$16,TRUE()))</f>
        <v>0.602958544716244</v>
      </c>
      <c r="E685" s="21" t="n">
        <f aca="false">IF(B685="","",IF(B685&gt;=$B$15,1-TDIST((B685-$B$15)/$B$18,$B$17,1),TDIST(($B$15-B685)/$B$18,$B$17,1)))</f>
        <v>0.616781720089772</v>
      </c>
      <c r="F685" s="21" t="n">
        <f aca="false">IF(B685="","",IF(B685&lt;$B$19,0.5*EXP((B685-$B$19)/$B$20),1-0.5*EXP(-(B685-$B$19)/$B$20)))</f>
        <v>0.651911234935028</v>
      </c>
      <c r="G685" s="21" t="n">
        <f aca="false">IF(B685="","",1/(1+EXP(-(B685-$B$15)/$B$21)))</f>
        <v>0.616193899087059</v>
      </c>
      <c r="H685" s="21" t="n">
        <f aca="false">IF(B685="","",MAX(ABS($A685/$B$6-D685),ABS(($A685-1)/$B$6-D685)))</f>
        <v>0.0460414552837558</v>
      </c>
      <c r="I685" s="21" t="n">
        <f aca="false">IF(B685="","",MAX(ABS($A685/$B$6-E685),ABS(($A685-1)/$B$6-E685)))</f>
        <v>0.032218279910228</v>
      </c>
      <c r="J685" s="21" t="n">
        <f aca="false">IF(B685="","",MAX(ABS($A685/$B$6-F685),ABS(($A685-1)/$B$6-F685)))</f>
        <v>0.00391123493502754</v>
      </c>
      <c r="K685" s="21" t="n">
        <f aca="false">IF(B685="","",MAX(ABS($A685/$B$6-G685),ABS(($A685-1)/$B$6-G685)))</f>
        <v>0.0328061009129413</v>
      </c>
    </row>
    <row r="686" customFormat="false" ht="15" hidden="false" customHeight="false" outlineLevel="0" collapsed="false">
      <c r="A686" s="11" t="n">
        <v>650</v>
      </c>
      <c r="B686" s="9" t="n">
        <f aca="false">IF(A686&gt;$B$6,"",SMALL(BTC_Data!$C$3:$C$1002,A686))</f>
        <v>0.000321325859045762</v>
      </c>
      <c r="C686" s="21" t="n">
        <f aca="false">IF(B686="","",A686/$B$6)</f>
        <v>0.65</v>
      </c>
      <c r="D686" s="21" t="n">
        <f aca="false">IF(B686="","",NORMDIST(B686,$B$15,$B$16,TRUE()))</f>
        <v>0.603175987709825</v>
      </c>
      <c r="E686" s="21" t="n">
        <f aca="false">IF(B686="","",IF(B686&gt;=$B$15,1-TDIST((B686-$B$15)/$B$18,$B$17,1),TDIST(($B$15-B686)/$B$18,$B$17,1)))</f>
        <v>0.617025061231439</v>
      </c>
      <c r="F686" s="21" t="n">
        <f aca="false">IF(B686="","",IF(B686&lt;$B$19,0.5*EXP((B686-$B$19)/$B$20),1-0.5*EXP(-(B686-$B$19)/$B$20)))</f>
        <v>0.652185459278309</v>
      </c>
      <c r="G686" s="21" t="n">
        <f aca="false">IF(B686="","",1/(1+EXP(-(B686-$B$15)/$B$21)))</f>
        <v>0.616435794646948</v>
      </c>
      <c r="H686" s="21" t="n">
        <f aca="false">IF(B686="","",MAX(ABS($A686/$B$6-D686),ABS(($A686-1)/$B$6-D686)))</f>
        <v>0.0468240122901749</v>
      </c>
      <c r="I686" s="21" t="n">
        <f aca="false">IF(B686="","",MAX(ABS($A686/$B$6-E686),ABS(($A686-1)/$B$6-E686)))</f>
        <v>0.0329749387685608</v>
      </c>
      <c r="J686" s="21" t="n">
        <f aca="false">IF(B686="","",MAX(ABS($A686/$B$6-F686),ABS(($A686-1)/$B$6-F686)))</f>
        <v>0.00318545927830938</v>
      </c>
      <c r="K686" s="21" t="n">
        <f aca="false">IF(B686="","",MAX(ABS($A686/$B$6-G686),ABS(($A686-1)/$B$6-G686)))</f>
        <v>0.0335642053530523</v>
      </c>
    </row>
    <row r="687" customFormat="false" ht="15" hidden="false" customHeight="false" outlineLevel="0" collapsed="false">
      <c r="A687" s="11" t="n">
        <v>651</v>
      </c>
      <c r="B687" s="9" t="n">
        <f aca="false">IF(A687&gt;$B$6,"",SMALL(BTC_Data!$C$3:$C$1002,A687))</f>
        <v>0.000325989632460111</v>
      </c>
      <c r="C687" s="21" t="n">
        <f aca="false">IF(B687="","",A687/$B$6)</f>
        <v>0.651</v>
      </c>
      <c r="D687" s="21" t="n">
        <f aca="false">IF(B687="","",NORMDIST(B687,$B$15,$B$16,TRUE()))</f>
        <v>0.604587446094441</v>
      </c>
      <c r="E687" s="21" t="n">
        <f aca="false">IF(B687="","",IF(B687&gt;=$B$15,1-TDIST((B687-$B$15)/$B$18,$B$17,1),TDIST(($B$15-B687)/$B$18,$B$17,1)))</f>
        <v>0.618604122023487</v>
      </c>
      <c r="F687" s="21" t="n">
        <f aca="false">IF(B687="","",IF(B687&lt;$B$19,0.5*EXP((B687-$B$19)/$B$20),1-0.5*EXP(-(B687-$B$19)/$B$20)))</f>
        <v>0.653961232584063</v>
      </c>
      <c r="G687" s="21" t="n">
        <f aca="false">IF(B687="","",1/(1+EXP(-(B687-$B$15)/$B$21)))</f>
        <v>0.618005443330059</v>
      </c>
      <c r="H687" s="21" t="n">
        <f aca="false">IF(B687="","",MAX(ABS($A687/$B$6-D687),ABS(($A687-1)/$B$6-D687)))</f>
        <v>0.0464125539055588</v>
      </c>
      <c r="I687" s="21" t="n">
        <f aca="false">IF(B687="","",MAX(ABS($A687/$B$6-E687),ABS(($A687-1)/$B$6-E687)))</f>
        <v>0.0323958779765134</v>
      </c>
      <c r="J687" s="21" t="n">
        <f aca="false">IF(B687="","",MAX(ABS($A687/$B$6-F687),ABS(($A687-1)/$B$6-F687)))</f>
        <v>0.00396123258406289</v>
      </c>
      <c r="K687" s="21" t="n">
        <f aca="false">IF(B687="","",MAX(ABS($A687/$B$6-G687),ABS(($A687-1)/$B$6-G687)))</f>
        <v>0.0329945566699414</v>
      </c>
    </row>
    <row r="688" customFormat="false" ht="15" hidden="false" customHeight="false" outlineLevel="0" collapsed="false">
      <c r="A688" s="11" t="n">
        <v>652</v>
      </c>
      <c r="B688" s="9" t="n">
        <f aca="false">IF(A688&gt;$B$6,"",SMALL(BTC_Data!$C$3:$C$1002,A688))</f>
        <v>0.000327286644017155</v>
      </c>
      <c r="C688" s="21" t="n">
        <f aca="false">IF(B688="","",A688/$B$6)</f>
        <v>0.652</v>
      </c>
      <c r="D688" s="21" t="n">
        <f aca="false">IF(B688="","",NORMDIST(B688,$B$15,$B$16,TRUE()))</f>
        <v>0.604979734726212</v>
      </c>
      <c r="E688" s="21" t="n">
        <f aca="false">IF(B688="","",IF(B688&gt;=$B$15,1-TDIST((B688-$B$15)/$B$18,$B$17,1),TDIST(($B$15-B688)/$B$18,$B$17,1)))</f>
        <v>0.619042835679809</v>
      </c>
      <c r="F688" s="21" t="n">
        <f aca="false">IF(B688="","",IF(B688&lt;$B$19,0.5*EXP((B688-$B$19)/$B$20),1-0.5*EXP(-(B688-$B$19)/$B$20)))</f>
        <v>0.654453468038324</v>
      </c>
      <c r="G688" s="21" t="n">
        <f aca="false">IF(B688="","",1/(1+EXP(-(B688-$B$15)/$B$21)))</f>
        <v>0.618441532235654</v>
      </c>
      <c r="H688" s="21" t="n">
        <f aca="false">IF(B688="","",MAX(ABS($A688/$B$6-D688),ABS(($A688-1)/$B$6-D688)))</f>
        <v>0.0470202652737882</v>
      </c>
      <c r="I688" s="21" t="n">
        <f aca="false">IF(B688="","",MAX(ABS($A688/$B$6-E688),ABS(($A688-1)/$B$6-E688)))</f>
        <v>0.0329571643201912</v>
      </c>
      <c r="J688" s="21" t="n">
        <f aca="false">IF(B688="","",MAX(ABS($A688/$B$6-F688),ABS(($A688-1)/$B$6-F688)))</f>
        <v>0.00345346803832403</v>
      </c>
      <c r="K688" s="21" t="n">
        <f aca="false">IF(B688="","",MAX(ABS($A688/$B$6-G688),ABS(($A688-1)/$B$6-G688)))</f>
        <v>0.0335584677643457</v>
      </c>
    </row>
    <row r="689" customFormat="false" ht="15" hidden="false" customHeight="false" outlineLevel="0" collapsed="false">
      <c r="A689" s="11" t="n">
        <v>653</v>
      </c>
      <c r="B689" s="9" t="n">
        <f aca="false">IF(A689&gt;$B$6,"",SMALL(BTC_Data!$C$3:$C$1002,A689))</f>
        <v>0.000327510658174823</v>
      </c>
      <c r="C689" s="21" t="n">
        <f aca="false">IF(B689="","",A689/$B$6)</f>
        <v>0.653</v>
      </c>
      <c r="D689" s="21" t="n">
        <f aca="false">IF(B689="","",NORMDIST(B689,$B$15,$B$16,TRUE()))</f>
        <v>0.605047478337819</v>
      </c>
      <c r="E689" s="21" t="n">
        <f aca="false">IF(B689="","",IF(B689&gt;=$B$15,1-TDIST((B689-$B$15)/$B$18,$B$17,1),TDIST(($B$15-B689)/$B$18,$B$17,1)))</f>
        <v>0.61911858939168</v>
      </c>
      <c r="F689" s="21" t="n">
        <f aca="false">IF(B689="","",IF(B689&lt;$B$19,0.5*EXP((B689-$B$19)/$B$20),1-0.5*EXP(-(B689-$B$19)/$B$20)))</f>
        <v>0.654538413851801</v>
      </c>
      <c r="G689" s="21" t="n">
        <f aca="false">IF(B689="","",1/(1+EXP(-(B689-$B$15)/$B$21)))</f>
        <v>0.61851683229406</v>
      </c>
      <c r="H689" s="21" t="n">
        <f aca="false">IF(B689="","",MAX(ABS($A689/$B$6-D689),ABS(($A689-1)/$B$6-D689)))</f>
        <v>0.0479525216621809</v>
      </c>
      <c r="I689" s="21" t="n">
        <f aca="false">IF(B689="","",MAX(ABS($A689/$B$6-E689),ABS(($A689-1)/$B$6-E689)))</f>
        <v>0.0338814106083197</v>
      </c>
      <c r="J689" s="21" t="n">
        <f aca="false">IF(B689="","",MAX(ABS($A689/$B$6-F689),ABS(($A689-1)/$B$6-F689)))</f>
        <v>0.00253841385180065</v>
      </c>
      <c r="K689" s="21" t="n">
        <f aca="false">IF(B689="","",MAX(ABS($A689/$B$6-G689),ABS(($A689-1)/$B$6-G689)))</f>
        <v>0.0344831677059396</v>
      </c>
    </row>
    <row r="690" customFormat="false" ht="15" hidden="false" customHeight="false" outlineLevel="0" collapsed="false">
      <c r="A690" s="11" t="n">
        <v>654</v>
      </c>
      <c r="B690" s="9" t="n">
        <f aca="false">IF(A690&gt;$B$6,"",SMALL(BTC_Data!$C$3:$C$1002,A690))</f>
        <v>0.000327678169951051</v>
      </c>
      <c r="C690" s="21" t="n">
        <f aca="false">IF(B690="","",A690/$B$6)</f>
        <v>0.654</v>
      </c>
      <c r="D690" s="21" t="n">
        <f aca="false">IF(B690="","",NORMDIST(B690,$B$15,$B$16,TRUE()))</f>
        <v>0.605098133117868</v>
      </c>
      <c r="E690" s="21" t="n">
        <f aca="false">IF(B690="","",IF(B690&gt;=$B$15,1-TDIST((B690-$B$15)/$B$18,$B$17,1),TDIST(($B$15-B690)/$B$18,$B$17,1)))</f>
        <v>0.61917523232424</v>
      </c>
      <c r="F690" s="21" t="n">
        <f aca="false">IF(B690="","",IF(B690&lt;$B$19,0.5*EXP((B690-$B$19)/$B$20),1-0.5*EXP(-(B690-$B$19)/$B$20)))</f>
        <v>0.654601920405616</v>
      </c>
      <c r="G690" s="21" t="n">
        <f aca="false">IF(B690="","",1/(1+EXP(-(B690-$B$15)/$B$21)))</f>
        <v>0.618573135935507</v>
      </c>
      <c r="H690" s="21" t="n">
        <f aca="false">IF(B690="","",MAX(ABS($A690/$B$6-D690),ABS(($A690-1)/$B$6-D690)))</f>
        <v>0.0489018668821318</v>
      </c>
      <c r="I690" s="21" t="n">
        <f aca="false">IF(B690="","",MAX(ABS($A690/$B$6-E690),ABS(($A690-1)/$B$6-E690)))</f>
        <v>0.03482476767576</v>
      </c>
      <c r="J690" s="21" t="n">
        <f aca="false">IF(B690="","",MAX(ABS($A690/$B$6-F690),ABS(($A690-1)/$B$6-F690)))</f>
        <v>0.00160192040561591</v>
      </c>
      <c r="K690" s="21" t="n">
        <f aca="false">IF(B690="","",MAX(ABS($A690/$B$6-G690),ABS(($A690-1)/$B$6-G690)))</f>
        <v>0.0354268640644927</v>
      </c>
    </row>
    <row r="691" customFormat="false" ht="15" hidden="false" customHeight="false" outlineLevel="0" collapsed="false">
      <c r="A691" s="11" t="n">
        <v>655</v>
      </c>
      <c r="B691" s="9" t="n">
        <f aca="false">IF(A691&gt;$B$6,"",SMALL(BTC_Data!$C$3:$C$1002,A691))</f>
        <v>0.000328549221173091</v>
      </c>
      <c r="C691" s="21" t="n">
        <f aca="false">IF(B691="","",A691/$B$6)</f>
        <v>0.655</v>
      </c>
      <c r="D691" s="21" t="n">
        <f aca="false">IF(B691="","",NORMDIST(B691,$B$15,$B$16,TRUE()))</f>
        <v>0.605361506291926</v>
      </c>
      <c r="E691" s="21" t="n">
        <f aca="false">IF(B691="","",IF(B691&gt;=$B$15,1-TDIST((B691-$B$15)/$B$18,$B$17,1),TDIST(($B$15-B691)/$B$18,$B$17,1)))</f>
        <v>0.619469721642585</v>
      </c>
      <c r="F691" s="21" t="n">
        <f aca="false">IF(B691="","",IF(B691&lt;$B$19,0.5*EXP((B691-$B$19)/$B$20),1-0.5*EXP(-(B691-$B$19)/$B$20)))</f>
        <v>0.654931962548726</v>
      </c>
      <c r="G691" s="21" t="n">
        <f aca="false">IF(B691="","",1/(1+EXP(-(B691-$B$15)/$B$21)))</f>
        <v>0.618865860115776</v>
      </c>
      <c r="H691" s="21" t="n">
        <f aca="false">IF(B691="","",MAX(ABS($A691/$B$6-D691),ABS(($A691-1)/$B$6-D691)))</f>
        <v>0.0496384937080744</v>
      </c>
      <c r="I691" s="21" t="n">
        <f aca="false">IF(B691="","",MAX(ABS($A691/$B$6-E691),ABS(($A691-1)/$B$6-E691)))</f>
        <v>0.0355302783574151</v>
      </c>
      <c r="J691" s="21" t="n">
        <f aca="false">IF(B691="","",MAX(ABS($A691/$B$6-F691),ABS(($A691-1)/$B$6-F691)))</f>
        <v>0.000931962548725962</v>
      </c>
      <c r="K691" s="21" t="n">
        <f aca="false">IF(B691="","",MAX(ABS($A691/$B$6-G691),ABS(($A691-1)/$B$6-G691)))</f>
        <v>0.0361341398842238</v>
      </c>
    </row>
    <row r="692" customFormat="false" ht="15" hidden="false" customHeight="false" outlineLevel="0" collapsed="false">
      <c r="A692" s="11" t="n">
        <v>656</v>
      </c>
      <c r="B692" s="9" t="n">
        <f aca="false">IF(A692&gt;$B$6,"",SMALL(BTC_Data!$C$3:$C$1002,A692))</f>
        <v>0.000329889025097785</v>
      </c>
      <c r="C692" s="21" t="n">
        <f aca="false">IF(B692="","",A692/$B$6)</f>
        <v>0.656</v>
      </c>
      <c r="D692" s="21" t="n">
        <f aca="false">IF(B692="","",NORMDIST(B692,$B$15,$B$16,TRUE()))</f>
        <v>0.60576651865131</v>
      </c>
      <c r="E692" s="21" t="n">
        <f aca="false">IF(B692="","",IF(B692&gt;=$B$15,1-TDIST((B692-$B$15)/$B$18,$B$17,1),TDIST(($B$15-B692)/$B$18,$B$17,1)))</f>
        <v>0.619922523367255</v>
      </c>
      <c r="F692" s="21" t="n">
        <f aca="false">IF(B692="","",IF(B692&lt;$B$19,0.5*EXP((B692-$B$19)/$B$20),1-0.5*EXP(-(B692-$B$19)/$B$20)))</f>
        <v>0.655439000039535</v>
      </c>
      <c r="G692" s="21" t="n">
        <f aca="false">IF(B692="","",1/(1+EXP(-(B692-$B$15)/$B$21)))</f>
        <v>0.619315944034364</v>
      </c>
      <c r="H692" s="21" t="n">
        <f aca="false">IF(B692="","",MAX(ABS($A692/$B$6-D692),ABS(($A692-1)/$B$6-D692)))</f>
        <v>0.0502334813486904</v>
      </c>
      <c r="I692" s="21" t="n">
        <f aca="false">IF(B692="","",MAX(ABS($A692/$B$6-E692),ABS(($A692-1)/$B$6-E692)))</f>
        <v>0.0360774766327449</v>
      </c>
      <c r="J692" s="21" t="n">
        <f aca="false">IF(B692="","",MAX(ABS($A692/$B$6-F692),ABS(($A692-1)/$B$6-F692)))</f>
        <v>0.000560999960464881</v>
      </c>
      <c r="K692" s="21" t="n">
        <f aca="false">IF(B692="","",MAX(ABS($A692/$B$6-G692),ABS(($A692-1)/$B$6-G692)))</f>
        <v>0.0366840559656357</v>
      </c>
    </row>
    <row r="693" customFormat="false" ht="15" hidden="false" customHeight="false" outlineLevel="0" collapsed="false">
      <c r="A693" s="11" t="n">
        <v>657</v>
      </c>
      <c r="B693" s="9" t="n">
        <f aca="false">IF(A693&gt;$B$6,"",SMALL(BTC_Data!$C$3:$C$1002,A693))</f>
        <v>0.000331615891467463</v>
      </c>
      <c r="C693" s="21" t="n">
        <f aca="false">IF(B693="","",A693/$B$6)</f>
        <v>0.657</v>
      </c>
      <c r="D693" s="21" t="n">
        <f aca="false">IF(B693="","",NORMDIST(B693,$B$15,$B$16,TRUE()))</f>
        <v>0.606288368289113</v>
      </c>
      <c r="E693" s="21" t="n">
        <f aca="false">IF(B693="","",IF(B693&gt;=$B$15,1-TDIST((B693-$B$15)/$B$18,$B$17,1),TDIST(($B$15-B693)/$B$18,$B$17,1)))</f>
        <v>0.620505839714676</v>
      </c>
      <c r="F693" s="21" t="n">
        <f aca="false">IF(B693="","",IF(B693&lt;$B$19,0.5*EXP((B693-$B$19)/$B$20),1-0.5*EXP(-(B693-$B$19)/$B$20)))</f>
        <v>0.656091419225032</v>
      </c>
      <c r="G693" s="21" t="n">
        <f aca="false">IF(B693="","",1/(1+EXP(-(B693-$B$15)/$B$21)))</f>
        <v>0.619895752468581</v>
      </c>
      <c r="H693" s="21" t="n">
        <f aca="false">IF(B693="","",MAX(ABS($A693/$B$6-D693),ABS(($A693-1)/$B$6-D693)))</f>
        <v>0.0507116317108876</v>
      </c>
      <c r="I693" s="21" t="n">
        <f aca="false">IF(B693="","",MAX(ABS($A693/$B$6-E693),ABS(($A693-1)/$B$6-E693)))</f>
        <v>0.0364941602853237</v>
      </c>
      <c r="J693" s="21" t="n">
        <f aca="false">IF(B693="","",MAX(ABS($A693/$B$6-F693),ABS(($A693-1)/$B$6-F693)))</f>
        <v>0.000908580774968026</v>
      </c>
      <c r="K693" s="21" t="n">
        <f aca="false">IF(B693="","",MAX(ABS($A693/$B$6-G693),ABS(($A693-1)/$B$6-G693)))</f>
        <v>0.0371042475314188</v>
      </c>
    </row>
    <row r="694" customFormat="false" ht="15" hidden="false" customHeight="false" outlineLevel="0" collapsed="false">
      <c r="A694" s="11" t="n">
        <v>658</v>
      </c>
      <c r="B694" s="9" t="n">
        <f aca="false">IF(A694&gt;$B$6,"",SMALL(BTC_Data!$C$3:$C$1002,A694))</f>
        <v>0.00033727639427017</v>
      </c>
      <c r="C694" s="21" t="n">
        <f aca="false">IF(B694="","",A694/$B$6)</f>
        <v>0.658</v>
      </c>
      <c r="D694" s="21" t="n">
        <f aca="false">IF(B694="","",NORMDIST(B694,$B$15,$B$16,TRUE()))</f>
        <v>0.607997598861487</v>
      </c>
      <c r="E694" s="21" t="n">
        <f aca="false">IF(B694="","",IF(B694&gt;=$B$15,1-TDIST((B694-$B$15)/$B$18,$B$17,1),TDIST(($B$15-B694)/$B$18,$B$17,1)))</f>
        <v>0.622415528989032</v>
      </c>
      <c r="F694" s="21" t="n">
        <f aca="false">IF(B694="","",IF(B694&lt;$B$19,0.5*EXP((B694-$B$19)/$B$20),1-0.5*EXP(-(B694-$B$19)/$B$20)))</f>
        <v>0.658221338031013</v>
      </c>
      <c r="G694" s="21" t="n">
        <f aca="false">IF(B694="","",1/(1+EXP(-(B694-$B$15)/$B$21)))</f>
        <v>0.621793904051962</v>
      </c>
      <c r="H694" s="21" t="n">
        <f aca="false">IF(B694="","",MAX(ABS($A694/$B$6-D694),ABS(($A694-1)/$B$6-D694)))</f>
        <v>0.0500024011385128</v>
      </c>
      <c r="I694" s="21" t="n">
        <f aca="false">IF(B694="","",MAX(ABS($A694/$B$6-E694),ABS(($A694-1)/$B$6-E694)))</f>
        <v>0.0355844710109682</v>
      </c>
      <c r="J694" s="21" t="n">
        <f aca="false">IF(B694="","",MAX(ABS($A694/$B$6-F694),ABS(($A694-1)/$B$6-F694)))</f>
        <v>0.00122133803101243</v>
      </c>
      <c r="K694" s="21" t="n">
        <f aca="false">IF(B694="","",MAX(ABS($A694/$B$6-G694),ABS(($A694-1)/$B$6-G694)))</f>
        <v>0.0362060959480379</v>
      </c>
    </row>
    <row r="695" customFormat="false" ht="15" hidden="false" customHeight="false" outlineLevel="0" collapsed="false">
      <c r="A695" s="11" t="n">
        <v>659</v>
      </c>
      <c r="B695" s="9" t="n">
        <f aca="false">IF(A695&gt;$B$6,"",SMALL(BTC_Data!$C$3:$C$1002,A695))</f>
        <v>0.000341450716041525</v>
      </c>
      <c r="C695" s="21" t="n">
        <f aca="false">IF(B695="","",A695/$B$6)</f>
        <v>0.659</v>
      </c>
      <c r="D695" s="21" t="n">
        <f aca="false">IF(B695="","",NORMDIST(B695,$B$15,$B$16,TRUE()))</f>
        <v>0.609256734321235</v>
      </c>
      <c r="E695" s="21" t="n">
        <f aca="false">IF(B695="","",IF(B695&gt;=$B$15,1-TDIST((B695-$B$15)/$B$18,$B$17,1),TDIST(($B$15-B695)/$B$18,$B$17,1)))</f>
        <v>0.623821479000656</v>
      </c>
      <c r="F695" s="21" t="n">
        <f aca="false">IF(B695="","",IF(B695&lt;$B$19,0.5*EXP((B695-$B$19)/$B$20),1-0.5*EXP(-(B695-$B$19)/$B$20)))</f>
        <v>0.659783585279949</v>
      </c>
      <c r="G695" s="21" t="n">
        <f aca="false">IF(B695="","",1/(1+EXP(-(B695-$B$15)/$B$21)))</f>
        <v>0.623191307229169</v>
      </c>
      <c r="H695" s="21" t="n">
        <f aca="false">IF(B695="","",MAX(ABS($A695/$B$6-D695),ABS(($A695-1)/$B$6-D695)))</f>
        <v>0.0497432656787655</v>
      </c>
      <c r="I695" s="21" t="n">
        <f aca="false">IF(B695="","",MAX(ABS($A695/$B$6-E695),ABS(($A695-1)/$B$6-E695)))</f>
        <v>0.0351785209993436</v>
      </c>
      <c r="J695" s="21" t="n">
        <f aca="false">IF(B695="","",MAX(ABS($A695/$B$6-F695),ABS(($A695-1)/$B$6-F695)))</f>
        <v>0.00178358527994893</v>
      </c>
      <c r="K695" s="21" t="n">
        <f aca="false">IF(B695="","",MAX(ABS($A695/$B$6-G695),ABS(($A695-1)/$B$6-G695)))</f>
        <v>0.0358086927708315</v>
      </c>
    </row>
    <row r="696" customFormat="false" ht="15" hidden="false" customHeight="false" outlineLevel="0" collapsed="false">
      <c r="A696" s="11" t="n">
        <v>660</v>
      </c>
      <c r="B696" s="9" t="n">
        <f aca="false">IF(A696&gt;$B$6,"",SMALL(BTC_Data!$C$3:$C$1002,A696))</f>
        <v>0.000345572499385494</v>
      </c>
      <c r="C696" s="21" t="n">
        <f aca="false">IF(B696="","",A696/$B$6)</f>
        <v>0.66</v>
      </c>
      <c r="D696" s="21" t="n">
        <f aca="false">IF(B696="","",NORMDIST(B696,$B$15,$B$16,TRUE()))</f>
        <v>0.610498899217216</v>
      </c>
      <c r="E696" s="21" t="n">
        <f aca="false">IF(B696="","",IF(B696&gt;=$B$15,1-TDIST((B696-$B$15)/$B$18,$B$17,1),TDIST(($B$15-B696)/$B$18,$B$17,1)))</f>
        <v>0.625207758268587</v>
      </c>
      <c r="F696" s="21" t="n">
        <f aca="false">IF(B696="","",IF(B696&lt;$B$19,0.5*EXP((B696-$B$19)/$B$20),1-0.5*EXP(-(B696-$B$19)/$B$20)))</f>
        <v>0.661319163117759</v>
      </c>
      <c r="G696" s="21" t="n">
        <f aca="false">IF(B696="","",1/(1+EXP(-(B696-$B$15)/$B$21)))</f>
        <v>0.624569115241156</v>
      </c>
      <c r="H696" s="21" t="n">
        <f aca="false">IF(B696="","",MAX(ABS($A696/$B$6-D696),ABS(($A696-1)/$B$6-D696)))</f>
        <v>0.049501100782784</v>
      </c>
      <c r="I696" s="21" t="n">
        <f aca="false">IF(B696="","",MAX(ABS($A696/$B$6-E696),ABS(($A696-1)/$B$6-E696)))</f>
        <v>0.0347922417314134</v>
      </c>
      <c r="J696" s="21" t="n">
        <f aca="false">IF(B696="","",MAX(ABS($A696/$B$6-F696),ABS(($A696-1)/$B$6-F696)))</f>
        <v>0.00231916311775882</v>
      </c>
      <c r="K696" s="21" t="n">
        <f aca="false">IF(B696="","",MAX(ABS($A696/$B$6-G696),ABS(($A696-1)/$B$6-G696)))</f>
        <v>0.0354308847588444</v>
      </c>
    </row>
    <row r="697" customFormat="false" ht="15" hidden="false" customHeight="false" outlineLevel="0" collapsed="false">
      <c r="A697" s="11" t="n">
        <v>661</v>
      </c>
      <c r="B697" s="9" t="n">
        <f aca="false">IF(A697&gt;$B$6,"",SMALL(BTC_Data!$C$3:$C$1002,A697))</f>
        <v>0.000351507269595874</v>
      </c>
      <c r="C697" s="21" t="n">
        <f aca="false">IF(B697="","",A697/$B$6)</f>
        <v>0.661</v>
      </c>
      <c r="D697" s="21" t="n">
        <f aca="false">IF(B697="","",NORMDIST(B697,$B$15,$B$16,TRUE()))</f>
        <v>0.612285452241679</v>
      </c>
      <c r="E697" s="21" t="n">
        <f aca="false">IF(B697="","",IF(B697&gt;=$B$15,1-TDIST((B697-$B$15)/$B$18,$B$17,1),TDIST(($B$15-B697)/$B$18,$B$17,1)))</f>
        <v>0.627200312495172</v>
      </c>
      <c r="F697" s="21" t="n">
        <f aca="false">IF(B697="","",IF(B697&lt;$B$19,0.5*EXP((B697-$B$19)/$B$20),1-0.5*EXP(-(B697-$B$19)/$B$20)))</f>
        <v>0.663518006331782</v>
      </c>
      <c r="G697" s="21" t="n">
        <f aca="false">IF(B697="","",1/(1+EXP(-(B697-$B$15)/$B$21)))</f>
        <v>0.626549416254444</v>
      </c>
      <c r="H697" s="21" t="n">
        <f aca="false">IF(B697="","",MAX(ABS($A697/$B$6-D697),ABS(($A697-1)/$B$6-D697)))</f>
        <v>0.0487145477583209</v>
      </c>
      <c r="I697" s="21" t="n">
        <f aca="false">IF(B697="","",MAX(ABS($A697/$B$6-E697),ABS(($A697-1)/$B$6-E697)))</f>
        <v>0.0337996875048281</v>
      </c>
      <c r="J697" s="21" t="n">
        <f aca="false">IF(B697="","",MAX(ABS($A697/$B$6-F697),ABS(($A697-1)/$B$6-F697)))</f>
        <v>0.00351800633178212</v>
      </c>
      <c r="K697" s="21" t="n">
        <f aca="false">IF(B697="","",MAX(ABS($A697/$B$6-G697),ABS(($A697-1)/$B$6-G697)))</f>
        <v>0.0344505837455559</v>
      </c>
    </row>
    <row r="698" customFormat="false" ht="15" hidden="false" customHeight="false" outlineLevel="0" collapsed="false">
      <c r="A698" s="11" t="n">
        <v>662</v>
      </c>
      <c r="B698" s="9" t="n">
        <f aca="false">IF(A698&gt;$B$6,"",SMALL(BTC_Data!$C$3:$C$1002,A698))</f>
        <v>0.000352177370296136</v>
      </c>
      <c r="C698" s="21" t="n">
        <f aca="false">IF(B698="","",A698/$B$6)</f>
        <v>0.662</v>
      </c>
      <c r="D698" s="21" t="n">
        <f aca="false">IF(B698="","",NORMDIST(B698,$B$15,$B$16,TRUE()))</f>
        <v>0.612487025188864</v>
      </c>
      <c r="E698" s="21" t="n">
        <f aca="false">IF(B698="","",IF(B698&gt;=$B$15,1-TDIST((B698-$B$15)/$B$18,$B$17,1),TDIST(($B$15-B698)/$B$18,$B$17,1)))</f>
        <v>0.627425032987622</v>
      </c>
      <c r="F698" s="21" t="n">
        <f aca="false">IF(B698="","",IF(B698&lt;$B$19,0.5*EXP((B698-$B$19)/$B$20),1-0.5*EXP(-(B698-$B$19)/$B$20)))</f>
        <v>0.663765381196935</v>
      </c>
      <c r="G698" s="21" t="n">
        <f aca="false">IF(B698="","",1/(1+EXP(-(B698-$B$15)/$B$21)))</f>
        <v>0.626772749085672</v>
      </c>
      <c r="H698" s="21" t="n">
        <f aca="false">IF(B698="","",MAX(ABS($A698/$B$6-D698),ABS(($A698-1)/$B$6-D698)))</f>
        <v>0.0495129748111356</v>
      </c>
      <c r="I698" s="21" t="n">
        <f aca="false">IF(B698="","",MAX(ABS($A698/$B$6-E698),ABS(($A698-1)/$B$6-E698)))</f>
        <v>0.0345749670123782</v>
      </c>
      <c r="J698" s="21" t="n">
        <f aca="false">IF(B698="","",MAX(ABS($A698/$B$6-F698),ABS(($A698-1)/$B$6-F698)))</f>
        <v>0.00276538119693526</v>
      </c>
      <c r="K698" s="21" t="n">
        <f aca="false">IF(B698="","",MAX(ABS($A698/$B$6-G698),ABS(($A698-1)/$B$6-G698)))</f>
        <v>0.0352272509143278</v>
      </c>
    </row>
    <row r="699" customFormat="false" ht="15" hidden="false" customHeight="false" outlineLevel="0" collapsed="false">
      <c r="A699" s="11" t="n">
        <v>663</v>
      </c>
      <c r="B699" s="9" t="n">
        <f aca="false">IF(A699&gt;$B$6,"",SMALL(BTC_Data!$C$3:$C$1002,A699))</f>
        <v>0.000354716157566326</v>
      </c>
      <c r="C699" s="21" t="n">
        <f aca="false">IF(B699="","",A699/$B$6)</f>
        <v>0.663</v>
      </c>
      <c r="D699" s="21" t="n">
        <f aca="false">IF(B699="","",NORMDIST(B699,$B$15,$B$16,TRUE()))</f>
        <v>0.613250442163111</v>
      </c>
      <c r="E699" s="21" t="n">
        <f aca="false">IF(B699="","",IF(B699&gt;=$B$15,1-TDIST((B699-$B$15)/$B$18,$B$17,1),TDIST(($B$15-B699)/$B$18,$B$17,1)))</f>
        <v>0.628275940363324</v>
      </c>
      <c r="F699" s="21" t="n">
        <f aca="false">IF(B699="","",IF(B699&lt;$B$19,0.5*EXP((B699-$B$19)/$B$20),1-0.5*EXP(-(B699-$B$19)/$B$20)))</f>
        <v>0.664700953134314</v>
      </c>
      <c r="G699" s="21" t="n">
        <f aca="false">IF(B699="","",1/(1+EXP(-(B699-$B$15)/$B$21)))</f>
        <v>0.627618391462899</v>
      </c>
      <c r="H699" s="21" t="n">
        <f aca="false">IF(B699="","",MAX(ABS($A699/$B$6-D699),ABS(($A699-1)/$B$6-D699)))</f>
        <v>0.049749557836889</v>
      </c>
      <c r="I699" s="21" t="n">
        <f aca="false">IF(B699="","",MAX(ABS($A699/$B$6-E699),ABS(($A699-1)/$B$6-E699)))</f>
        <v>0.034724059636676</v>
      </c>
      <c r="J699" s="21" t="n">
        <f aca="false">IF(B699="","",MAX(ABS($A699/$B$6-F699),ABS(($A699-1)/$B$6-F699)))</f>
        <v>0.00270095313431351</v>
      </c>
      <c r="K699" s="21" t="n">
        <f aca="false">IF(B699="","",MAX(ABS($A699/$B$6-G699),ABS(($A699-1)/$B$6-G699)))</f>
        <v>0.035381608537101</v>
      </c>
    </row>
    <row r="700" customFormat="false" ht="15" hidden="false" customHeight="false" outlineLevel="0" collapsed="false">
      <c r="A700" s="11" t="n">
        <v>664</v>
      </c>
      <c r="B700" s="9" t="n">
        <f aca="false">IF(A700&gt;$B$6,"",SMALL(BTC_Data!$C$3:$C$1002,A700))</f>
        <v>0.000356734777246404</v>
      </c>
      <c r="C700" s="21" t="n">
        <f aca="false">IF(B700="","",A700/$B$6)</f>
        <v>0.664</v>
      </c>
      <c r="D700" s="21" t="n">
        <f aca="false">IF(B700="","",NORMDIST(B700,$B$15,$B$16,TRUE()))</f>
        <v>0.613857131572988</v>
      </c>
      <c r="E700" s="21" t="n">
        <f aca="false">IF(B700="","",IF(B700&gt;=$B$15,1-TDIST((B700-$B$15)/$B$18,$B$17,1),TDIST(($B$15-B700)/$B$18,$B$17,1)))</f>
        <v>0.6289519588296</v>
      </c>
      <c r="F700" s="21" t="n">
        <f aca="false">IF(B700="","",IF(B700&lt;$B$19,0.5*EXP((B700-$B$19)/$B$20),1-0.5*EXP(-(B700-$B$19)/$B$20)))</f>
        <v>0.665442979243339</v>
      </c>
      <c r="G700" s="21" t="n">
        <f aca="false">IF(B700="","",1/(1+EXP(-(B700-$B$15)/$B$21)))</f>
        <v>0.628290215071417</v>
      </c>
      <c r="H700" s="21" t="n">
        <f aca="false">IF(B700="","",MAX(ABS($A700/$B$6-D700),ABS(($A700-1)/$B$6-D700)))</f>
        <v>0.0501428684270117</v>
      </c>
      <c r="I700" s="21" t="n">
        <f aca="false">IF(B700="","",MAX(ABS($A700/$B$6-E700),ABS(($A700-1)/$B$6-E700)))</f>
        <v>0.0350480411703997</v>
      </c>
      <c r="J700" s="21" t="n">
        <f aca="false">IF(B700="","",MAX(ABS($A700/$B$6-F700),ABS(($A700-1)/$B$6-F700)))</f>
        <v>0.00244297924333892</v>
      </c>
      <c r="K700" s="21" t="n">
        <f aca="false">IF(B700="","",MAX(ABS($A700/$B$6-G700),ABS(($A700-1)/$B$6-G700)))</f>
        <v>0.0357097849285836</v>
      </c>
    </row>
    <row r="701" customFormat="false" ht="15" hidden="false" customHeight="false" outlineLevel="0" collapsed="false">
      <c r="A701" s="11" t="n">
        <v>665</v>
      </c>
      <c r="B701" s="9" t="n">
        <f aca="false">IF(A701&gt;$B$6,"",SMALL(BTC_Data!$C$3:$C$1002,A701))</f>
        <v>0.00035858721881743</v>
      </c>
      <c r="C701" s="21" t="n">
        <f aca="false">IF(B701="","",A701/$B$6)</f>
        <v>0.665</v>
      </c>
      <c r="D701" s="21" t="n">
        <f aca="false">IF(B701="","",NORMDIST(B701,$B$15,$B$16,TRUE()))</f>
        <v>0.614413631877957</v>
      </c>
      <c r="E701" s="21" t="n">
        <f aca="false">IF(B701="","",IF(B701&gt;=$B$15,1-TDIST((B701-$B$15)/$B$18,$B$17,1),TDIST(($B$15-B701)/$B$18,$B$17,1)))</f>
        <v>0.629571896419997</v>
      </c>
      <c r="F701" s="21" t="n">
        <f aca="false">IF(B701="","",IF(B701&lt;$B$19,0.5*EXP((B701-$B$19)/$B$20),1-0.5*EXP(-(B701-$B$19)/$B$20)))</f>
        <v>0.666122474800723</v>
      </c>
      <c r="G701" s="21" t="n">
        <f aca="false">IF(B701="","",1/(1+EXP(-(B701-$B$15)/$B$21)))</f>
        <v>0.62890629643963</v>
      </c>
      <c r="H701" s="21" t="n">
        <f aca="false">IF(B701="","",MAX(ABS($A701/$B$6-D701),ABS(($A701-1)/$B$6-D701)))</f>
        <v>0.0505863681220433</v>
      </c>
      <c r="I701" s="21" t="n">
        <f aca="false">IF(B701="","",MAX(ABS($A701/$B$6-E701),ABS(($A701-1)/$B$6-E701)))</f>
        <v>0.035428103580003</v>
      </c>
      <c r="J701" s="21" t="n">
        <f aca="false">IF(B701="","",MAX(ABS($A701/$B$6-F701),ABS(($A701-1)/$B$6-F701)))</f>
        <v>0.00212247480072258</v>
      </c>
      <c r="K701" s="21" t="n">
        <f aca="false">IF(B701="","",MAX(ABS($A701/$B$6-G701),ABS(($A701-1)/$B$6-G701)))</f>
        <v>0.0360937035603701</v>
      </c>
    </row>
    <row r="702" customFormat="false" ht="15" hidden="false" customHeight="false" outlineLevel="0" collapsed="false">
      <c r="A702" s="11" t="n">
        <v>666</v>
      </c>
      <c r="B702" s="9" t="n">
        <f aca="false">IF(A702&gt;$B$6,"",SMALL(BTC_Data!$C$3:$C$1002,A702))</f>
        <v>0.000360030779313014</v>
      </c>
      <c r="C702" s="21" t="n">
        <f aca="false">IF(B702="","",A702/$B$6)</f>
        <v>0.666</v>
      </c>
      <c r="D702" s="21" t="n">
        <f aca="false">IF(B702="","",NORMDIST(B702,$B$15,$B$16,TRUE()))</f>
        <v>0.614847135218076</v>
      </c>
      <c r="E702" s="21" t="n">
        <f aca="false">IF(B702="","",IF(B702&gt;=$B$15,1-TDIST((B702-$B$15)/$B$18,$B$17,1),TDIST(($B$15-B702)/$B$18,$B$17,1)))</f>
        <v>0.630054712027833</v>
      </c>
      <c r="F702" s="21" t="n">
        <f aca="false">IF(B702="","",IF(B702&lt;$B$19,0.5*EXP((B702-$B$19)/$B$20),1-0.5*EXP(-(B702-$B$19)/$B$20)))</f>
        <v>0.666651031456715</v>
      </c>
      <c r="G702" s="21" t="n">
        <f aca="false">IF(B702="","",1/(1+EXP(-(B702-$B$15)/$B$21)))</f>
        <v>0.629386102551166</v>
      </c>
      <c r="H702" s="21" t="n">
        <f aca="false">IF(B702="","",MAX(ABS($A702/$B$6-D702),ABS(($A702-1)/$B$6-D702)))</f>
        <v>0.0511528647819244</v>
      </c>
      <c r="I702" s="21" t="n">
        <f aca="false">IF(B702="","",MAX(ABS($A702/$B$6-E702),ABS(($A702-1)/$B$6-E702)))</f>
        <v>0.0359452879721668</v>
      </c>
      <c r="J702" s="21" t="n">
        <f aca="false">IF(B702="","",MAX(ABS($A702/$B$6-F702),ABS(($A702-1)/$B$6-F702)))</f>
        <v>0.00165103145671508</v>
      </c>
      <c r="K702" s="21" t="n">
        <f aca="false">IF(B702="","",MAX(ABS($A702/$B$6-G702),ABS(($A702-1)/$B$6-G702)))</f>
        <v>0.0366138974488336</v>
      </c>
    </row>
    <row r="703" customFormat="false" ht="15" hidden="false" customHeight="false" outlineLevel="0" collapsed="false">
      <c r="A703" s="11" t="n">
        <v>667</v>
      </c>
      <c r="B703" s="9" t="n">
        <f aca="false">IF(A703&gt;$B$6,"",SMALL(BTC_Data!$C$3:$C$1002,A703))</f>
        <v>0.000362274743003876</v>
      </c>
      <c r="C703" s="21" t="n">
        <f aca="false">IF(B703="","",A703/$B$6)</f>
        <v>0.667</v>
      </c>
      <c r="D703" s="21" t="n">
        <f aca="false">IF(B703="","",NORMDIST(B703,$B$15,$B$16,TRUE()))</f>
        <v>0.615520715763022</v>
      </c>
      <c r="E703" s="21" t="n">
        <f aca="false">IF(B703="","",IF(B703&gt;=$B$15,1-TDIST((B703-$B$15)/$B$18,$B$17,1),TDIST(($B$15-B703)/$B$18,$B$17,1)))</f>
        <v>0.630804732428013</v>
      </c>
      <c r="F703" s="21" t="n">
        <f aca="false">IF(B703="","",IF(B703&lt;$B$19,0.5*EXP((B703-$B$19)/$B$20),1-0.5*EXP(-(B703-$B$19)/$B$20)))</f>
        <v>0.667470993260098</v>
      </c>
      <c r="G703" s="21" t="n">
        <f aca="false">IF(B703="","",1/(1+EXP(-(B703-$B$15)/$B$21)))</f>
        <v>0.630131437077886</v>
      </c>
      <c r="H703" s="21" t="n">
        <f aca="false">IF(B703="","",MAX(ABS($A703/$B$6-D703),ABS(($A703-1)/$B$6-D703)))</f>
        <v>0.051479284236978</v>
      </c>
      <c r="I703" s="21" t="n">
        <f aca="false">IF(B703="","",MAX(ABS($A703/$B$6-E703),ABS(($A703-1)/$B$6-E703)))</f>
        <v>0.0361952675719867</v>
      </c>
      <c r="J703" s="21" t="n">
        <f aca="false">IF(B703="","",MAX(ABS($A703/$B$6-F703),ABS(($A703-1)/$B$6-F703)))</f>
        <v>0.00147099326009748</v>
      </c>
      <c r="K703" s="21" t="n">
        <f aca="false">IF(B703="","",MAX(ABS($A703/$B$6-G703),ABS(($A703-1)/$B$6-G703)))</f>
        <v>0.0368685629221143</v>
      </c>
    </row>
    <row r="704" customFormat="false" ht="15" hidden="false" customHeight="false" outlineLevel="0" collapsed="false">
      <c r="A704" s="11" t="n">
        <v>668</v>
      </c>
      <c r="B704" s="9" t="n">
        <f aca="false">IF(A704&gt;$B$6,"",SMALL(BTC_Data!$C$3:$C$1002,A704))</f>
        <v>0.000369620249679903</v>
      </c>
      <c r="C704" s="21" t="n">
        <f aca="false">IF(B704="","",A704/$B$6)</f>
        <v>0.668</v>
      </c>
      <c r="D704" s="21" t="n">
        <f aca="false">IF(B704="","",NORMDIST(B704,$B$15,$B$16,TRUE()))</f>
        <v>0.617723200662677</v>
      </c>
      <c r="E704" s="21" t="n">
        <f aca="false">IF(B704="","",IF(B704&gt;=$B$15,1-TDIST((B704-$B$15)/$B$18,$B$17,1),TDIST(($B$15-B704)/$B$18,$B$17,1)))</f>
        <v>0.633255602127231</v>
      </c>
      <c r="F704" s="21" t="n">
        <f aca="false">IF(B704="","",IF(B704&lt;$B$19,0.5*EXP((B704-$B$19)/$B$20),1-0.5*EXP(-(B704-$B$19)/$B$20)))</f>
        <v>0.670141017599105</v>
      </c>
      <c r="G704" s="21" t="n">
        <f aca="false">IF(B704="","",1/(1+EXP(-(B704-$B$15)/$B$21)))</f>
        <v>0.632566902193361</v>
      </c>
      <c r="H704" s="21" t="n">
        <f aca="false">IF(B704="","",MAX(ABS($A704/$B$6-D704),ABS(($A704-1)/$B$6-D704)))</f>
        <v>0.0502767993373233</v>
      </c>
      <c r="I704" s="21" t="n">
        <f aca="false">IF(B704="","",MAX(ABS($A704/$B$6-E704),ABS(($A704-1)/$B$6-E704)))</f>
        <v>0.0347443978727694</v>
      </c>
      <c r="J704" s="21" t="n">
        <f aca="false">IF(B704="","",MAX(ABS($A704/$B$6-F704),ABS(($A704-1)/$B$6-F704)))</f>
        <v>0.00314101759910446</v>
      </c>
      <c r="K704" s="21" t="n">
        <f aca="false">IF(B704="","",MAX(ABS($A704/$B$6-G704),ABS(($A704-1)/$B$6-G704)))</f>
        <v>0.035433097806639</v>
      </c>
    </row>
    <row r="705" customFormat="false" ht="15" hidden="false" customHeight="false" outlineLevel="0" collapsed="false">
      <c r="A705" s="11" t="n">
        <v>669</v>
      </c>
      <c r="B705" s="9" t="n">
        <f aca="false">IF(A705&gt;$B$6,"",SMALL(BTC_Data!$C$3:$C$1002,A705))</f>
        <v>0.000373450876423265</v>
      </c>
      <c r="C705" s="21" t="n">
        <f aca="false">IF(B705="","",A705/$B$6)</f>
        <v>0.669</v>
      </c>
      <c r="D705" s="21" t="n">
        <f aca="false">IF(B705="","",NORMDIST(B705,$B$15,$B$16,TRUE()))</f>
        <v>0.618870275785087</v>
      </c>
      <c r="E705" s="21" t="n">
        <f aca="false">IF(B705="","",IF(B705&gt;=$B$15,1-TDIST((B705-$B$15)/$B$18,$B$17,1),TDIST(($B$15-B705)/$B$18,$B$17,1)))</f>
        <v>0.634531081883554</v>
      </c>
      <c r="F705" s="21" t="n">
        <f aca="false">IF(B705="","",IF(B705&lt;$B$19,0.5*EXP((B705-$B$19)/$B$20),1-0.5*EXP(-(B705-$B$19)/$B$20)))</f>
        <v>0.671524899095101</v>
      </c>
      <c r="G705" s="21" t="n">
        <f aca="false">IF(B705="","",1/(1+EXP(-(B705-$B$15)/$B$21)))</f>
        <v>0.633834308787537</v>
      </c>
      <c r="H705" s="21" t="n">
        <f aca="false">IF(B705="","",MAX(ABS($A705/$B$6-D705),ABS(($A705-1)/$B$6-D705)))</f>
        <v>0.0501297242149127</v>
      </c>
      <c r="I705" s="21" t="n">
        <f aca="false">IF(B705="","",MAX(ABS($A705/$B$6-E705),ABS(($A705-1)/$B$6-E705)))</f>
        <v>0.0344689181164461</v>
      </c>
      <c r="J705" s="21" t="n">
        <f aca="false">IF(B705="","",MAX(ABS($A705/$B$6-F705),ABS(($A705-1)/$B$6-F705)))</f>
        <v>0.00352489909510101</v>
      </c>
      <c r="K705" s="21" t="n">
        <f aca="false">IF(B705="","",MAX(ABS($A705/$B$6-G705),ABS(($A705-1)/$B$6-G705)))</f>
        <v>0.0351656912124629</v>
      </c>
    </row>
    <row r="706" customFormat="false" ht="15" hidden="false" customHeight="false" outlineLevel="0" collapsed="false">
      <c r="A706" s="11" t="n">
        <v>670</v>
      </c>
      <c r="B706" s="9" t="n">
        <f aca="false">IF(A706&gt;$B$6,"",SMALL(BTC_Data!$C$3:$C$1002,A706))</f>
        <v>0.000374526901615102</v>
      </c>
      <c r="C706" s="21" t="n">
        <f aca="false">IF(B706="","",A706/$B$6)</f>
        <v>0.67</v>
      </c>
      <c r="D706" s="21" t="n">
        <f aca="false">IF(B706="","",NORMDIST(B706,$B$15,$B$16,TRUE()))</f>
        <v>0.619192302503134</v>
      </c>
      <c r="E706" s="21" t="n">
        <f aca="false">IF(B706="","",IF(B706&gt;=$B$15,1-TDIST((B706-$B$15)/$B$18,$B$17,1),TDIST(($B$15-B706)/$B$18,$B$17,1)))</f>
        <v>0.63488903759601</v>
      </c>
      <c r="F706" s="21" t="n">
        <f aca="false">IF(B706="","",IF(B706&lt;$B$19,0.5*EXP((B706-$B$19)/$B$20),1-0.5*EXP(-(B706-$B$19)/$B$20)))</f>
        <v>0.67191258663027</v>
      </c>
      <c r="G706" s="21" t="n">
        <f aca="false">IF(B706="","",1/(1+EXP(-(B706-$B$15)/$B$21)))</f>
        <v>0.634189991848631</v>
      </c>
      <c r="H706" s="21" t="n">
        <f aca="false">IF(B706="","",MAX(ABS($A706/$B$6-D706),ABS(($A706-1)/$B$6-D706)))</f>
        <v>0.0508076974968658</v>
      </c>
      <c r="I706" s="21" t="n">
        <f aca="false">IF(B706="","",MAX(ABS($A706/$B$6-E706),ABS(($A706-1)/$B$6-E706)))</f>
        <v>0.0351109624039904</v>
      </c>
      <c r="J706" s="21" t="n">
        <f aca="false">IF(B706="","",MAX(ABS($A706/$B$6-F706),ABS(($A706-1)/$B$6-F706)))</f>
        <v>0.00291258663026983</v>
      </c>
      <c r="K706" s="21" t="n">
        <f aca="false">IF(B706="","",MAX(ABS($A706/$B$6-G706),ABS(($A706-1)/$B$6-G706)))</f>
        <v>0.0358100081513687</v>
      </c>
    </row>
    <row r="707" customFormat="false" ht="15" hidden="false" customHeight="false" outlineLevel="0" collapsed="false">
      <c r="A707" s="11" t="n">
        <v>671</v>
      </c>
      <c r="B707" s="9" t="n">
        <f aca="false">IF(A707&gt;$B$6,"",SMALL(BTC_Data!$C$3:$C$1002,A707))</f>
        <v>0.000377332040359502</v>
      </c>
      <c r="C707" s="21" t="n">
        <f aca="false">IF(B707="","",A707/$B$6)</f>
        <v>0.671</v>
      </c>
      <c r="D707" s="21" t="n">
        <f aca="false">IF(B707="","",NORMDIST(B707,$B$15,$B$16,TRUE()))</f>
        <v>0.620031419893018</v>
      </c>
      <c r="E707" s="21" t="n">
        <f aca="false">IF(B707="","",IF(B707&gt;=$B$15,1-TDIST((B707-$B$15)/$B$18,$B$17,1),TDIST(($B$15-B707)/$B$18,$B$17,1)))</f>
        <v>0.635821529985881</v>
      </c>
      <c r="F707" s="21" t="n">
        <f aca="false">IF(B707="","",IF(B707&lt;$B$19,0.5*EXP((B707-$B$19)/$B$20),1-0.5*EXP(-(B707-$B$19)/$B$20)))</f>
        <v>0.672921116853342</v>
      </c>
      <c r="G707" s="21" t="n">
        <f aca="false">IF(B707="","",1/(1+EXP(-(B707-$B$15)/$B$21)))</f>
        <v>0.63511654948203</v>
      </c>
      <c r="H707" s="21" t="n">
        <f aca="false">IF(B707="","",MAX(ABS($A707/$B$6-D707),ABS(($A707-1)/$B$6-D707)))</f>
        <v>0.0509685801069821</v>
      </c>
      <c r="I707" s="21" t="n">
        <f aca="false">IF(B707="","",MAX(ABS($A707/$B$6-E707),ABS(($A707-1)/$B$6-E707)))</f>
        <v>0.0351784700141193</v>
      </c>
      <c r="J707" s="21" t="n">
        <f aca="false">IF(B707="","",MAX(ABS($A707/$B$6-F707),ABS(($A707-1)/$B$6-F707)))</f>
        <v>0.0029211168533424</v>
      </c>
      <c r="K707" s="21" t="n">
        <f aca="false">IF(B707="","",MAX(ABS($A707/$B$6-G707),ABS(($A707-1)/$B$6-G707)))</f>
        <v>0.0358834505179696</v>
      </c>
    </row>
    <row r="708" customFormat="false" ht="15" hidden="false" customHeight="false" outlineLevel="0" collapsed="false">
      <c r="A708" s="11" t="n">
        <v>672</v>
      </c>
      <c r="B708" s="9" t="n">
        <f aca="false">IF(A708&gt;$B$6,"",SMALL(BTC_Data!$C$3:$C$1002,A708))</f>
        <v>0.000378373747093042</v>
      </c>
      <c r="C708" s="21" t="n">
        <f aca="false">IF(B708="","",A708/$B$6)</f>
        <v>0.672</v>
      </c>
      <c r="D708" s="21" t="n">
        <f aca="false">IF(B708="","",NORMDIST(B708,$B$15,$B$16,TRUE()))</f>
        <v>0.620342888064288</v>
      </c>
      <c r="E708" s="21" t="n">
        <f aca="false">IF(B708="","",IF(B708&gt;=$B$15,1-TDIST((B708-$B$15)/$B$18,$B$17,1),TDIST(($B$15-B708)/$B$18,$B$17,1)))</f>
        <v>0.636167566550074</v>
      </c>
      <c r="F708" s="21" t="n">
        <f aca="false">IF(B708="","",IF(B708&lt;$B$19,0.5*EXP((B708-$B$19)/$B$20),1-0.5*EXP(-(B708-$B$19)/$B$20)))</f>
        <v>0.67329485127491</v>
      </c>
      <c r="G708" s="21" t="n">
        <f aca="false">IF(B708="","",1/(1+EXP(-(B708-$B$15)/$B$21)))</f>
        <v>0.635460378429719</v>
      </c>
      <c r="H708" s="21" t="n">
        <f aca="false">IF(B708="","",MAX(ABS($A708/$B$6-D708),ABS(($A708-1)/$B$6-D708)))</f>
        <v>0.0516571119357119</v>
      </c>
      <c r="I708" s="21" t="n">
        <f aca="false">IF(B708="","",MAX(ABS($A708/$B$6-E708),ABS(($A708-1)/$B$6-E708)))</f>
        <v>0.0358324334499264</v>
      </c>
      <c r="J708" s="21" t="n">
        <f aca="false">IF(B708="","",MAX(ABS($A708/$B$6-F708),ABS(($A708-1)/$B$6-F708)))</f>
        <v>0.00229485127491014</v>
      </c>
      <c r="K708" s="21" t="n">
        <f aca="false">IF(B708="","",MAX(ABS($A708/$B$6-G708),ABS(($A708-1)/$B$6-G708)))</f>
        <v>0.0365396215702816</v>
      </c>
    </row>
    <row r="709" customFormat="false" ht="15" hidden="false" customHeight="false" outlineLevel="0" collapsed="false">
      <c r="A709" s="11" t="n">
        <v>673</v>
      </c>
      <c r="B709" s="9" t="n">
        <f aca="false">IF(A709&gt;$B$6,"",SMALL(BTC_Data!$C$3:$C$1002,A709))</f>
        <v>0.000380099564142533</v>
      </c>
      <c r="C709" s="21" t="n">
        <f aca="false">IF(B709="","",A709/$B$6)</f>
        <v>0.673</v>
      </c>
      <c r="D709" s="21" t="n">
        <f aca="false">IF(B709="","",NORMDIST(B709,$B$15,$B$16,TRUE()))</f>
        <v>0.620858731923724</v>
      </c>
      <c r="E709" s="21" t="n">
        <f aca="false">IF(B709="","",IF(B709&gt;=$B$15,1-TDIST((B709-$B$15)/$B$18,$B$17,1),TDIST(($B$15-B709)/$B$18,$B$17,1)))</f>
        <v>0.636740552590333</v>
      </c>
      <c r="F709" s="21" t="n">
        <f aca="false">IF(B709="","",IF(B709&lt;$B$19,0.5*EXP((B709-$B$19)/$B$20),1-0.5*EXP(-(B709-$B$19)/$B$20)))</f>
        <v>0.67391308523383</v>
      </c>
      <c r="G709" s="21" t="n">
        <f aca="false">IF(B709="","",1/(1+EXP(-(B709-$B$15)/$B$21)))</f>
        <v>0.63602970265527</v>
      </c>
      <c r="H709" s="21" t="n">
        <f aca="false">IF(B709="","",MAX(ABS($A709/$B$6-D709),ABS(($A709-1)/$B$6-D709)))</f>
        <v>0.0521412680762765</v>
      </c>
      <c r="I709" s="21" t="n">
        <f aca="false">IF(B709="","",MAX(ABS($A709/$B$6-E709),ABS(($A709-1)/$B$6-E709)))</f>
        <v>0.0362594474096675</v>
      </c>
      <c r="J709" s="21" t="n">
        <f aca="false">IF(B709="","",MAX(ABS($A709/$B$6-F709),ABS(($A709-1)/$B$6-F709)))</f>
        <v>0.0019130852338296</v>
      </c>
      <c r="K709" s="21" t="n">
        <f aca="false">IF(B709="","",MAX(ABS($A709/$B$6-G709),ABS(($A709-1)/$B$6-G709)))</f>
        <v>0.0369702973447305</v>
      </c>
    </row>
    <row r="710" customFormat="false" ht="15" hidden="false" customHeight="false" outlineLevel="0" collapsed="false">
      <c r="A710" s="11" t="n">
        <v>674</v>
      </c>
      <c r="B710" s="9" t="n">
        <f aca="false">IF(A710&gt;$B$6,"",SMALL(BTC_Data!$C$3:$C$1002,A710))</f>
        <v>0.000386585727225386</v>
      </c>
      <c r="C710" s="21" t="n">
        <f aca="false">IF(B710="","",A710/$B$6)</f>
        <v>0.674</v>
      </c>
      <c r="D710" s="21" t="n">
        <f aca="false">IF(B710="","",NORMDIST(B710,$B$15,$B$16,TRUE()))</f>
        <v>0.622795504730825</v>
      </c>
      <c r="E710" s="21" t="n">
        <f aca="false">IF(B710="","",IF(B710&gt;=$B$15,1-TDIST((B710-$B$15)/$B$18,$B$17,1),TDIST(($B$15-B710)/$B$18,$B$17,1)))</f>
        <v>0.638890648573031</v>
      </c>
      <c r="F710" s="21" t="n">
        <f aca="false">IF(B710="","",IF(B710&lt;$B$19,0.5*EXP((B710-$B$19)/$B$20),1-0.5*EXP(-(B710-$B$19)/$B$20)))</f>
        <v>0.676226160188559</v>
      </c>
      <c r="G710" s="21" t="n">
        <f aca="false">IF(B710="","",1/(1+EXP(-(B710-$B$15)/$B$21)))</f>
        <v>0.638165987314585</v>
      </c>
      <c r="H710" s="21" t="n">
        <f aca="false">IF(B710="","",MAX(ABS($A710/$B$6-D710),ABS(($A710-1)/$B$6-D710)))</f>
        <v>0.0512044952691749</v>
      </c>
      <c r="I710" s="21" t="n">
        <f aca="false">IF(B710="","",MAX(ABS($A710/$B$6-E710),ABS(($A710-1)/$B$6-E710)))</f>
        <v>0.0351093514269693</v>
      </c>
      <c r="J710" s="21" t="n">
        <f aca="false">IF(B710="","",MAX(ABS($A710/$B$6-F710),ABS(($A710-1)/$B$6-F710)))</f>
        <v>0.00322616018855881</v>
      </c>
      <c r="K710" s="21" t="n">
        <f aca="false">IF(B710="","",MAX(ABS($A710/$B$6-G710),ABS(($A710-1)/$B$6-G710)))</f>
        <v>0.0358340126854148</v>
      </c>
    </row>
    <row r="711" customFormat="false" ht="15" hidden="false" customHeight="false" outlineLevel="0" collapsed="false">
      <c r="A711" s="11" t="n">
        <v>675</v>
      </c>
      <c r="B711" s="9" t="n">
        <f aca="false">IF(A711&gt;$B$6,"",SMALL(BTC_Data!$C$3:$C$1002,A711))</f>
        <v>0.000388545927646256</v>
      </c>
      <c r="C711" s="21" t="n">
        <f aca="false">IF(B711="","",A711/$B$6)</f>
        <v>0.675</v>
      </c>
      <c r="D711" s="21" t="n">
        <f aca="false">IF(B711="","",NORMDIST(B711,$B$15,$B$16,TRUE()))</f>
        <v>0.623380217162489</v>
      </c>
      <c r="E711" s="21" t="n">
        <f aca="false">IF(B711="","",IF(B711&gt;=$B$15,1-TDIST((B711-$B$15)/$B$18,$B$17,1),TDIST(($B$15-B711)/$B$18,$B$17,1)))</f>
        <v>0.639539381242474</v>
      </c>
      <c r="F711" s="21" t="n">
        <f aca="false">IF(B711="","",IF(B711&lt;$B$19,0.5*EXP((B711-$B$19)/$B$20),1-0.5*EXP(-(B711-$B$19)/$B$20)))</f>
        <v>0.676921966744498</v>
      </c>
      <c r="G711" s="21" t="n">
        <f aca="false">IF(B711="","",1/(1+EXP(-(B711-$B$15)/$B$21)))</f>
        <v>0.638810530817084</v>
      </c>
      <c r="H711" s="21" t="n">
        <f aca="false">IF(B711="","",MAX(ABS($A711/$B$6-D711),ABS(($A711-1)/$B$6-D711)))</f>
        <v>0.0516197828375107</v>
      </c>
      <c r="I711" s="21" t="n">
        <f aca="false">IF(B711="","",MAX(ABS($A711/$B$6-E711),ABS(($A711-1)/$B$6-E711)))</f>
        <v>0.0354606187575258</v>
      </c>
      <c r="J711" s="21" t="n">
        <f aca="false">IF(B711="","",MAX(ABS($A711/$B$6-F711),ABS(($A711-1)/$B$6-F711)))</f>
        <v>0.00292196674449763</v>
      </c>
      <c r="K711" s="21" t="n">
        <f aca="false">IF(B711="","",MAX(ABS($A711/$B$6-G711),ABS(($A711-1)/$B$6-G711)))</f>
        <v>0.0361894691829158</v>
      </c>
    </row>
    <row r="712" customFormat="false" ht="15" hidden="false" customHeight="false" outlineLevel="0" collapsed="false">
      <c r="A712" s="11" t="n">
        <v>676</v>
      </c>
      <c r="B712" s="9" t="n">
        <f aca="false">IF(A712&gt;$B$6,"",SMALL(BTC_Data!$C$3:$C$1002,A712))</f>
        <v>0.000394055281483618</v>
      </c>
      <c r="C712" s="21" t="n">
        <f aca="false">IF(B712="","",A712/$B$6)</f>
        <v>0.676</v>
      </c>
      <c r="D712" s="21" t="n">
        <f aca="false">IF(B712="","",NORMDIST(B712,$B$15,$B$16,TRUE()))</f>
        <v>0.625022095162481</v>
      </c>
      <c r="E712" s="21" t="n">
        <f aca="false">IF(B712="","",IF(B712&gt;=$B$15,1-TDIST((B712-$B$15)/$B$18,$B$17,1),TDIST(($B$15-B712)/$B$18,$B$17,1)))</f>
        <v>0.641360070799053</v>
      </c>
      <c r="F712" s="21" t="n">
        <f aca="false">IF(B712="","",IF(B712&lt;$B$19,0.5*EXP((B712-$B$19)/$B$20),1-0.5*EXP(-(B712-$B$19)/$B$20)))</f>
        <v>0.678869608641049</v>
      </c>
      <c r="G712" s="21" t="n">
        <f aca="false">IF(B712="","",1/(1+EXP(-(B712-$B$15)/$B$21)))</f>
        <v>0.640619408624043</v>
      </c>
      <c r="H712" s="21" t="n">
        <f aca="false">IF(B712="","",MAX(ABS($A712/$B$6-D712),ABS(($A712-1)/$B$6-D712)))</f>
        <v>0.0509779048375186</v>
      </c>
      <c r="I712" s="21" t="n">
        <f aca="false">IF(B712="","",MAX(ABS($A712/$B$6-E712),ABS(($A712-1)/$B$6-E712)))</f>
        <v>0.0346399292009473</v>
      </c>
      <c r="J712" s="21" t="n">
        <f aca="false">IF(B712="","",MAX(ABS($A712/$B$6-F712),ABS(($A712-1)/$B$6-F712)))</f>
        <v>0.00386960864104857</v>
      </c>
      <c r="K712" s="21" t="n">
        <f aca="false">IF(B712="","",MAX(ABS($A712/$B$6-G712),ABS(($A712-1)/$B$6-G712)))</f>
        <v>0.0353805913759566</v>
      </c>
    </row>
    <row r="713" customFormat="false" ht="15" hidden="false" customHeight="false" outlineLevel="0" collapsed="false">
      <c r="A713" s="11" t="n">
        <v>677</v>
      </c>
      <c r="B713" s="9" t="n">
        <f aca="false">IF(A713&gt;$B$6,"",SMALL(BTC_Data!$C$3:$C$1002,A713))</f>
        <v>0.00039500103559198</v>
      </c>
      <c r="C713" s="21" t="n">
        <f aca="false">IF(B713="","",A713/$B$6)</f>
        <v>0.677</v>
      </c>
      <c r="D713" s="21" t="n">
        <f aca="false">IF(B713="","",NORMDIST(B713,$B$15,$B$16,TRUE()))</f>
        <v>0.625303718658097</v>
      </c>
      <c r="E713" s="21" t="n">
        <f aca="false">IF(B713="","",IF(B713&gt;=$B$15,1-TDIST((B713-$B$15)/$B$18,$B$17,1),TDIST(($B$15-B713)/$B$18,$B$17,1)))</f>
        <v>0.64167222212587</v>
      </c>
      <c r="F713" s="21" t="n">
        <f aca="false">IF(B713="","",IF(B713&lt;$B$19,0.5*EXP((B713-$B$19)/$B$20),1-0.5*EXP(-(B713-$B$19)/$B$20)))</f>
        <v>0.67920276463416</v>
      </c>
      <c r="G713" s="21" t="n">
        <f aca="false">IF(B713="","",1/(1+EXP(-(B713-$B$15)/$B$21)))</f>
        <v>0.640929526737236</v>
      </c>
      <c r="H713" s="21" t="n">
        <f aca="false">IF(B713="","",MAX(ABS($A713/$B$6-D713),ABS(($A713-1)/$B$6-D713)))</f>
        <v>0.0516962813419031</v>
      </c>
      <c r="I713" s="21" t="n">
        <f aca="false">IF(B713="","",MAX(ABS($A713/$B$6-E713),ABS(($A713-1)/$B$6-E713)))</f>
        <v>0.0353277778741306</v>
      </c>
      <c r="J713" s="21" t="n">
        <f aca="false">IF(B713="","",MAX(ABS($A713/$B$6-F713),ABS(($A713-1)/$B$6-F713)))</f>
        <v>0.00320276463415981</v>
      </c>
      <c r="K713" s="21" t="n">
        <f aca="false">IF(B713="","",MAX(ABS($A713/$B$6-G713),ABS(($A713-1)/$B$6-G713)))</f>
        <v>0.0360704732627643</v>
      </c>
    </row>
    <row r="714" customFormat="false" ht="15" hidden="false" customHeight="false" outlineLevel="0" collapsed="false">
      <c r="A714" s="11" t="n">
        <v>678</v>
      </c>
      <c r="B714" s="9" t="n">
        <f aca="false">IF(A714&gt;$B$6,"",SMALL(BTC_Data!$C$3:$C$1002,A714))</f>
        <v>0.000395097270480038</v>
      </c>
      <c r="C714" s="21" t="n">
        <f aca="false">IF(B714="","",A714/$B$6)</f>
        <v>0.678</v>
      </c>
      <c r="D714" s="21" t="n">
        <f aca="false">IF(B714="","",NORMDIST(B714,$B$15,$B$16,TRUE()))</f>
        <v>0.625332371418318</v>
      </c>
      <c r="E714" s="21" t="n">
        <f aca="false">IF(B714="","",IF(B714&gt;=$B$15,1-TDIST((B714-$B$15)/$B$18,$B$17,1),TDIST(($B$15-B714)/$B$18,$B$17,1)))</f>
        <v>0.641703978473019</v>
      </c>
      <c r="F714" s="21" t="n">
        <f aca="false">IF(B714="","",IF(B714&lt;$B$19,0.5*EXP((B714-$B$19)/$B$20),1-0.5*EXP(-(B714-$B$19)/$B$20)))</f>
        <v>0.679236645428889</v>
      </c>
      <c r="G714" s="21" t="n">
        <f aca="false">IF(B714="","",1/(1+EXP(-(B714-$B$15)/$B$21)))</f>
        <v>0.640961076104156</v>
      </c>
      <c r="H714" s="21" t="n">
        <f aca="false">IF(B714="","",MAX(ABS($A714/$B$6-D714),ABS(($A714-1)/$B$6-D714)))</f>
        <v>0.0526676285816821</v>
      </c>
      <c r="I714" s="21" t="n">
        <f aca="false">IF(B714="","",MAX(ABS($A714/$B$6-E714),ABS(($A714-1)/$B$6-E714)))</f>
        <v>0.0362960215269811</v>
      </c>
      <c r="J714" s="21" t="n">
        <f aca="false">IF(B714="","",MAX(ABS($A714/$B$6-F714),ABS(($A714-1)/$B$6-F714)))</f>
        <v>0.00223664542888891</v>
      </c>
      <c r="K714" s="21" t="n">
        <f aca="false">IF(B714="","",MAX(ABS($A714/$B$6-G714),ABS(($A714-1)/$B$6-G714)))</f>
        <v>0.0370389238958438</v>
      </c>
    </row>
    <row r="715" customFormat="false" ht="15" hidden="false" customHeight="false" outlineLevel="0" collapsed="false">
      <c r="A715" s="11" t="n">
        <v>679</v>
      </c>
      <c r="B715" s="9" t="n">
        <f aca="false">IF(A715&gt;$B$6,"",SMALL(BTC_Data!$C$3:$C$1002,A715))</f>
        <v>0.000403669496403136</v>
      </c>
      <c r="C715" s="21" t="n">
        <f aca="false">IF(B715="","",A715/$B$6)</f>
        <v>0.679</v>
      </c>
      <c r="D715" s="21" t="n">
        <f aca="false">IF(B715="","",NORMDIST(B715,$B$15,$B$16,TRUE()))</f>
        <v>0.627881853535595</v>
      </c>
      <c r="E715" s="21" t="n">
        <f aca="false">IF(B715="","",IF(B715&gt;=$B$15,1-TDIST((B715-$B$15)/$B$18,$B$17,1),TDIST(($B$15-B715)/$B$18,$B$17,1)))</f>
        <v>0.644527858362796</v>
      </c>
      <c r="F715" s="21" t="n">
        <f aca="false">IF(B715="","",IF(B715&lt;$B$19,0.5*EXP((B715-$B$19)/$B$20),1-0.5*EXP(-(B715-$B$19)/$B$20)))</f>
        <v>0.682240302527885</v>
      </c>
      <c r="G715" s="21" t="n">
        <f aca="false">IF(B715="","",1/(1+EXP(-(B715-$B$15)/$B$21)))</f>
        <v>0.64376645161841</v>
      </c>
      <c r="H715" s="21" t="n">
        <f aca="false">IF(B715="","",MAX(ABS($A715/$B$6-D715),ABS(($A715-1)/$B$6-D715)))</f>
        <v>0.0511181464644049</v>
      </c>
      <c r="I715" s="21" t="n">
        <f aca="false">IF(B715="","",MAX(ABS($A715/$B$6-E715),ABS(($A715-1)/$B$6-E715)))</f>
        <v>0.0344721416372045</v>
      </c>
      <c r="J715" s="21" t="n">
        <f aca="false">IF(B715="","",MAX(ABS($A715/$B$6-F715),ABS(($A715-1)/$B$6-F715)))</f>
        <v>0.00424030252788465</v>
      </c>
      <c r="K715" s="21" t="n">
        <f aca="false">IF(B715="","",MAX(ABS($A715/$B$6-G715),ABS(($A715-1)/$B$6-G715)))</f>
        <v>0.0352335483815898</v>
      </c>
    </row>
    <row r="716" customFormat="false" ht="15" hidden="false" customHeight="false" outlineLevel="0" collapsed="false">
      <c r="A716" s="11" t="n">
        <v>680</v>
      </c>
      <c r="B716" s="9" t="n">
        <f aca="false">IF(A716&gt;$B$6,"",SMALL(BTC_Data!$C$3:$C$1002,A716))</f>
        <v>0.000408703395298637</v>
      </c>
      <c r="C716" s="21" t="n">
        <f aca="false">IF(B716="","",A716/$B$6)</f>
        <v>0.68</v>
      </c>
      <c r="D716" s="21" t="n">
        <f aca="false">IF(B716="","",NORMDIST(B716,$B$15,$B$16,TRUE()))</f>
        <v>0.629376394745168</v>
      </c>
      <c r="E716" s="21" t="n">
        <f aca="false">IF(B716="","",IF(B716&gt;=$B$15,1-TDIST((B716-$B$15)/$B$18,$B$17,1),TDIST(($B$15-B716)/$B$18,$B$17,1)))</f>
        <v>0.646181624762739</v>
      </c>
      <c r="F716" s="21" t="n">
        <f aca="false">IF(B716="","",IF(B716&lt;$B$19,0.5*EXP((B716-$B$19)/$B$20),1-0.5*EXP(-(B716-$B$19)/$B$20)))</f>
        <v>0.68399102584938</v>
      </c>
      <c r="G716" s="21" t="n">
        <f aca="false">IF(B716="","",1/(1+EXP(-(B716-$B$15)/$B$21)))</f>
        <v>0.645409289853555</v>
      </c>
      <c r="H716" s="21" t="n">
        <f aca="false">IF(B716="","",MAX(ABS($A716/$B$6-D716),ABS(($A716-1)/$B$6-D716)))</f>
        <v>0.0506236052548322</v>
      </c>
      <c r="I716" s="21" t="n">
        <f aca="false">IF(B716="","",MAX(ABS($A716/$B$6-E716),ABS(($A716-1)/$B$6-E716)))</f>
        <v>0.0338183752372606</v>
      </c>
      <c r="J716" s="21" t="n">
        <f aca="false">IF(B716="","",MAX(ABS($A716/$B$6-F716),ABS(($A716-1)/$B$6-F716)))</f>
        <v>0.00499102584938016</v>
      </c>
      <c r="K716" s="21" t="n">
        <f aca="false">IF(B716="","",MAX(ABS($A716/$B$6-G716),ABS(($A716-1)/$B$6-G716)))</f>
        <v>0.0345907101464454</v>
      </c>
    </row>
    <row r="717" customFormat="false" ht="15" hidden="false" customHeight="false" outlineLevel="0" collapsed="false">
      <c r="A717" s="11" t="n">
        <v>681</v>
      </c>
      <c r="B717" s="9" t="n">
        <f aca="false">IF(A717&gt;$B$6,"",SMALL(BTC_Data!$C$3:$C$1002,A717))</f>
        <v>0.000408953683564084</v>
      </c>
      <c r="C717" s="21" t="n">
        <f aca="false">IF(B717="","",A717/$B$6)</f>
        <v>0.681</v>
      </c>
      <c r="D717" s="21" t="n">
        <f aca="false">IF(B717="","",NORMDIST(B717,$B$15,$B$16,TRUE()))</f>
        <v>0.629450653457717</v>
      </c>
      <c r="E717" s="21" t="n">
        <f aca="false">IF(B717="","",IF(B717&gt;=$B$15,1-TDIST((B717-$B$15)/$B$18,$B$17,1),TDIST(($B$15-B717)/$B$18,$B$17,1)))</f>
        <v>0.646263763083403</v>
      </c>
      <c r="F717" s="21" t="n">
        <f aca="false">IF(B717="","",IF(B717&lt;$B$19,0.5*EXP((B717-$B$19)/$B$20),1-0.5*EXP(-(B717-$B$19)/$B$20)))</f>
        <v>0.68407782063158</v>
      </c>
      <c r="G717" s="21" t="n">
        <f aca="false">IF(B717="","",1/(1+EXP(-(B717-$B$15)/$B$21)))</f>
        <v>0.645490883633957</v>
      </c>
      <c r="H717" s="21" t="n">
        <f aca="false">IF(B717="","",MAX(ABS($A717/$B$6-D717),ABS(($A717-1)/$B$6-D717)))</f>
        <v>0.0515493465422827</v>
      </c>
      <c r="I717" s="21" t="n">
        <f aca="false">IF(B717="","",MAX(ABS($A717/$B$6-E717),ABS(($A717-1)/$B$6-E717)))</f>
        <v>0.0347362369165969</v>
      </c>
      <c r="J717" s="21" t="n">
        <f aca="false">IF(B717="","",MAX(ABS($A717/$B$6-F717),ABS(($A717-1)/$B$6-F717)))</f>
        <v>0.00407782063158013</v>
      </c>
      <c r="K717" s="21" t="n">
        <f aca="false">IF(B717="","",MAX(ABS($A717/$B$6-G717),ABS(($A717-1)/$B$6-G717)))</f>
        <v>0.0355091163660433</v>
      </c>
    </row>
    <row r="718" customFormat="false" ht="15" hidden="false" customHeight="false" outlineLevel="0" collapsed="false">
      <c r="A718" s="11" t="n">
        <v>682</v>
      </c>
      <c r="B718" s="9" t="n">
        <f aca="false">IF(A718&gt;$B$6,"",SMALL(BTC_Data!$C$3:$C$1002,A718))</f>
        <v>0.000410278643858675</v>
      </c>
      <c r="C718" s="21" t="n">
        <f aca="false">IF(B718="","",A718/$B$6)</f>
        <v>0.682</v>
      </c>
      <c r="D718" s="21" t="n">
        <f aca="false">IF(B718="","",NORMDIST(B718,$B$15,$B$16,TRUE()))</f>
        <v>0.629843679162187</v>
      </c>
      <c r="E718" s="21" t="n">
        <f aca="false">IF(B718="","",IF(B718&gt;=$B$15,1-TDIST((B718-$B$15)/$B$18,$B$17,1),TDIST(($B$15-B718)/$B$18,$B$17,1)))</f>
        <v>0.646698442525547</v>
      </c>
      <c r="F718" s="21" t="n">
        <f aca="false">IF(B718="","",IF(B718&lt;$B$19,0.5*EXP((B718-$B$19)/$B$20),1-0.5*EXP(-(B718-$B$19)/$B$20)))</f>
        <v>0.684536892426114</v>
      </c>
      <c r="G718" s="21" t="n">
        <f aca="false">IF(B718="","",1/(1+EXP(-(B718-$B$15)/$B$21)))</f>
        <v>0.6459226785574</v>
      </c>
      <c r="H718" s="21" t="n">
        <f aca="false">IF(B718="","",MAX(ABS($A718/$B$6-D718),ABS(($A718-1)/$B$6-D718)))</f>
        <v>0.0521563208378127</v>
      </c>
      <c r="I718" s="21" t="n">
        <f aca="false">IF(B718="","",MAX(ABS($A718/$B$6-E718),ABS(($A718-1)/$B$6-E718)))</f>
        <v>0.0353015574744527</v>
      </c>
      <c r="J718" s="21" t="n">
        <f aca="false">IF(B718="","",MAX(ABS($A718/$B$6-F718),ABS(($A718-1)/$B$6-F718)))</f>
        <v>0.0035368924261141</v>
      </c>
      <c r="K718" s="21" t="n">
        <f aca="false">IF(B718="","",MAX(ABS($A718/$B$6-G718),ABS(($A718-1)/$B$6-G718)))</f>
        <v>0.0360773214426005</v>
      </c>
    </row>
    <row r="719" customFormat="false" ht="15" hidden="false" customHeight="false" outlineLevel="0" collapsed="false">
      <c r="A719" s="11" t="n">
        <v>683</v>
      </c>
      <c r="B719" s="9" t="n">
        <f aca="false">IF(A719&gt;$B$6,"",SMALL(BTC_Data!$C$3:$C$1002,A719))</f>
        <v>0.000410861809230445</v>
      </c>
      <c r="C719" s="21" t="n">
        <f aca="false">IF(B719="","",A719/$B$6)</f>
        <v>0.683</v>
      </c>
      <c r="D719" s="21" t="n">
        <f aca="false">IF(B719="","",NORMDIST(B719,$B$15,$B$16,TRUE()))</f>
        <v>0.630016621777438</v>
      </c>
      <c r="E719" s="21" t="n">
        <f aca="false">IF(B719="","",IF(B719&gt;=$B$15,1-TDIST((B719-$B$15)/$B$18,$B$17,1),TDIST(($B$15-B719)/$B$18,$B$17,1)))</f>
        <v>0.646889687130504</v>
      </c>
      <c r="F719" s="21" t="n">
        <f aca="false">IF(B719="","",IF(B719&lt;$B$19,0.5*EXP((B719-$B$19)/$B$20),1-0.5*EXP(-(B719-$B$19)/$B$20)))</f>
        <v>0.684738735890397</v>
      </c>
      <c r="G719" s="21" t="n">
        <f aca="false">IF(B719="","",1/(1+EXP(-(B719-$B$15)/$B$21)))</f>
        <v>0.646112652582396</v>
      </c>
      <c r="H719" s="21" t="n">
        <f aca="false">IF(B719="","",MAX(ABS($A719/$B$6-D719),ABS(($A719-1)/$B$6-D719)))</f>
        <v>0.0529833782225623</v>
      </c>
      <c r="I719" s="21" t="n">
        <f aca="false">IF(B719="","",MAX(ABS($A719/$B$6-E719),ABS(($A719-1)/$B$6-E719)))</f>
        <v>0.0361103128694964</v>
      </c>
      <c r="J719" s="21" t="n">
        <f aca="false">IF(B719="","",MAX(ABS($A719/$B$6-F719),ABS(($A719-1)/$B$6-F719)))</f>
        <v>0.00273873589039708</v>
      </c>
      <c r="K719" s="21" t="n">
        <f aca="false">IF(B719="","",MAX(ABS($A719/$B$6-G719),ABS(($A719-1)/$B$6-G719)))</f>
        <v>0.0368873474176039</v>
      </c>
    </row>
    <row r="720" customFormat="false" ht="15" hidden="false" customHeight="false" outlineLevel="0" collapsed="false">
      <c r="A720" s="11" t="n">
        <v>684</v>
      </c>
      <c r="B720" s="9" t="n">
        <f aca="false">IF(A720&gt;$B$6,"",SMALL(BTC_Data!$C$3:$C$1002,A720))</f>
        <v>0.000414577993682608</v>
      </c>
      <c r="C720" s="21" t="n">
        <f aca="false">IF(B720="","",A720/$B$6)</f>
        <v>0.684</v>
      </c>
      <c r="D720" s="21" t="n">
        <f aca="false">IF(B720="","",NORMDIST(B720,$B$15,$B$16,TRUE()))</f>
        <v>0.631118068797285</v>
      </c>
      <c r="E720" s="21" t="n">
        <f aca="false">IF(B720="","",IF(B720&gt;=$B$15,1-TDIST((B720-$B$15)/$B$18,$B$17,1),TDIST(($B$15-B720)/$B$18,$B$17,1)))</f>
        <v>0.648107310249243</v>
      </c>
      <c r="F720" s="21" t="n">
        <f aca="false">IF(B720="","",IF(B720&lt;$B$19,0.5*EXP((B720-$B$19)/$B$20),1-0.5*EXP(-(B720-$B$19)/$B$20)))</f>
        <v>0.68602194041208</v>
      </c>
      <c r="G720" s="21" t="n">
        <f aca="false">IF(B720="","",1/(1+EXP(-(B720-$B$15)/$B$21)))</f>
        <v>0.647322164781794</v>
      </c>
      <c r="H720" s="21" t="n">
        <f aca="false">IF(B720="","",MAX(ABS($A720/$B$6-D720),ABS(($A720-1)/$B$6-D720)))</f>
        <v>0.0528819312027153</v>
      </c>
      <c r="I720" s="21" t="n">
        <f aca="false">IF(B720="","",MAX(ABS($A720/$B$6-E720),ABS(($A720-1)/$B$6-E720)))</f>
        <v>0.035892689750757</v>
      </c>
      <c r="J720" s="21" t="n">
        <f aca="false">IF(B720="","",MAX(ABS($A720/$B$6-F720),ABS(($A720-1)/$B$6-F720)))</f>
        <v>0.0030219404120797</v>
      </c>
      <c r="K720" s="21" t="n">
        <f aca="false">IF(B720="","",MAX(ABS($A720/$B$6-G720),ABS(($A720-1)/$B$6-G720)))</f>
        <v>0.0366778352182064</v>
      </c>
    </row>
    <row r="721" customFormat="false" ht="15" hidden="false" customHeight="false" outlineLevel="0" collapsed="false">
      <c r="A721" s="11" t="n">
        <v>685</v>
      </c>
      <c r="B721" s="9" t="n">
        <f aca="false">IF(A721&gt;$B$6,"",SMALL(BTC_Data!$C$3:$C$1002,A721))</f>
        <v>0.000417955966003802</v>
      </c>
      <c r="C721" s="21" t="n">
        <f aca="false">IF(B721="","",A721/$B$6)</f>
        <v>0.685</v>
      </c>
      <c r="D721" s="21" t="n">
        <f aca="false">IF(B721="","",NORMDIST(B721,$B$15,$B$16,TRUE()))</f>
        <v>0.632118339281666</v>
      </c>
      <c r="E721" s="21" t="n">
        <f aca="false">IF(B721="","",IF(B721&gt;=$B$15,1-TDIST((B721-$B$15)/$B$18,$B$17,1),TDIST(($B$15-B721)/$B$18,$B$17,1)))</f>
        <v>0.649212502770105</v>
      </c>
      <c r="F721" s="21" t="n">
        <f aca="false">IF(B721="","",IF(B721&lt;$B$19,0.5*EXP((B721-$B$19)/$B$20),1-0.5*EXP(-(B721-$B$19)/$B$20)))</f>
        <v>0.687183827555783</v>
      </c>
      <c r="G721" s="21" t="n">
        <f aca="false">IF(B721="","",1/(1+EXP(-(B721-$B$15)/$B$21)))</f>
        <v>0.648419963302567</v>
      </c>
      <c r="H721" s="21" t="n">
        <f aca="false">IF(B721="","",MAX(ABS($A721/$B$6-D721),ABS(($A721-1)/$B$6-D721)))</f>
        <v>0.0528816607183339</v>
      </c>
      <c r="I721" s="21" t="n">
        <f aca="false">IF(B721="","",MAX(ABS($A721/$B$6-E721),ABS(($A721-1)/$B$6-E721)))</f>
        <v>0.0357874972298953</v>
      </c>
      <c r="J721" s="21" t="n">
        <f aca="false">IF(B721="","",MAX(ABS($A721/$B$6-F721),ABS(($A721-1)/$B$6-F721)))</f>
        <v>0.00318382755578328</v>
      </c>
      <c r="K721" s="21" t="n">
        <f aca="false">IF(B721="","",MAX(ABS($A721/$B$6-G721),ABS(($A721-1)/$B$6-G721)))</f>
        <v>0.0365800366974333</v>
      </c>
    </row>
    <row r="722" customFormat="false" ht="15" hidden="false" customHeight="false" outlineLevel="0" collapsed="false">
      <c r="A722" s="11" t="n">
        <v>686</v>
      </c>
      <c r="B722" s="9" t="n">
        <f aca="false">IF(A722&gt;$B$6,"",SMALL(BTC_Data!$C$3:$C$1002,A722))</f>
        <v>0.000418964704318903</v>
      </c>
      <c r="C722" s="21" t="n">
        <f aca="false">IF(B722="","",A722/$B$6)</f>
        <v>0.686</v>
      </c>
      <c r="D722" s="21" t="n">
        <f aca="false">IF(B722="","",NORMDIST(B722,$B$15,$B$16,TRUE()))</f>
        <v>0.632416869200245</v>
      </c>
      <c r="E722" s="21" t="n">
        <f aca="false">IF(B722="","",IF(B722&gt;=$B$15,1-TDIST((B722-$B$15)/$B$18,$B$17,1),TDIST(($B$15-B722)/$B$18,$B$17,1)))</f>
        <v>0.649542238545153</v>
      </c>
      <c r="F722" s="21" t="n">
        <f aca="false">IF(B722="","",IF(B722&lt;$B$19,0.5*EXP((B722-$B$19)/$B$20),1-0.5*EXP(-(B722-$B$19)/$B$20)))</f>
        <v>0.687529958711041</v>
      </c>
      <c r="G722" s="21" t="n">
        <f aca="false">IF(B722="","",1/(1+EXP(-(B722-$B$15)/$B$21)))</f>
        <v>0.64874748715384</v>
      </c>
      <c r="H722" s="21" t="n">
        <f aca="false">IF(B722="","",MAX(ABS($A722/$B$6-D722),ABS(($A722-1)/$B$6-D722)))</f>
        <v>0.0535831307997553</v>
      </c>
      <c r="I722" s="21" t="n">
        <f aca="false">IF(B722="","",MAX(ABS($A722/$B$6-E722),ABS(($A722-1)/$B$6-E722)))</f>
        <v>0.0364577614548469</v>
      </c>
      <c r="J722" s="21" t="n">
        <f aca="false">IF(B722="","",MAX(ABS($A722/$B$6-F722),ABS(($A722-1)/$B$6-F722)))</f>
        <v>0.00252995871104134</v>
      </c>
      <c r="K722" s="21" t="n">
        <f aca="false">IF(B722="","",MAX(ABS($A722/$B$6-G722),ABS(($A722-1)/$B$6-G722)))</f>
        <v>0.0372525128461606</v>
      </c>
    </row>
    <row r="723" customFormat="false" ht="15" hidden="false" customHeight="false" outlineLevel="0" collapsed="false">
      <c r="A723" s="11" t="n">
        <v>687</v>
      </c>
      <c r="B723" s="9" t="n">
        <f aca="false">IF(A723&gt;$B$6,"",SMALL(BTC_Data!$C$3:$C$1002,A723))</f>
        <v>0.000423477682543805</v>
      </c>
      <c r="C723" s="21" t="n">
        <f aca="false">IF(B723="","",A723/$B$6)</f>
        <v>0.687</v>
      </c>
      <c r="D723" s="21" t="n">
        <f aca="false">IF(B723="","",NORMDIST(B723,$B$15,$B$16,TRUE()))</f>
        <v>0.633751475595522</v>
      </c>
      <c r="E723" s="21" t="n">
        <f aca="false">IF(B723="","",IF(B723&gt;=$B$15,1-TDIST((B723-$B$15)/$B$18,$B$17,1),TDIST(($B$15-B723)/$B$18,$B$17,1)))</f>
        <v>0.651015742460955</v>
      </c>
      <c r="F723" s="21" t="n">
        <f aca="false">IF(B723="","",IF(B723&lt;$B$19,0.5*EXP((B723-$B$19)/$B$20),1-0.5*EXP(-(B723-$B$19)/$B$20)))</f>
        <v>0.689073825686543</v>
      </c>
      <c r="G723" s="21" t="n">
        <f aca="false">IF(B723="","",1/(1+EXP(-(B723-$B$15)/$B$21)))</f>
        <v>0.650211073268579</v>
      </c>
      <c r="H723" s="21" t="n">
        <f aca="false">IF(B723="","",MAX(ABS($A723/$B$6-D723),ABS(($A723-1)/$B$6-D723)))</f>
        <v>0.0532485244044777</v>
      </c>
      <c r="I723" s="21" t="n">
        <f aca="false">IF(B723="","",MAX(ABS($A723/$B$6-E723),ABS(($A723-1)/$B$6-E723)))</f>
        <v>0.0359842575390449</v>
      </c>
      <c r="J723" s="21" t="n">
        <f aca="false">IF(B723="","",MAX(ABS($A723/$B$6-F723),ABS(($A723-1)/$B$6-F723)))</f>
        <v>0.00307382568654246</v>
      </c>
      <c r="K723" s="21" t="n">
        <f aca="false">IF(B723="","",MAX(ABS($A723/$B$6-G723),ABS(($A723-1)/$B$6-G723)))</f>
        <v>0.0367889267314215</v>
      </c>
    </row>
    <row r="724" customFormat="false" ht="15" hidden="false" customHeight="false" outlineLevel="0" collapsed="false">
      <c r="A724" s="11" t="n">
        <v>688</v>
      </c>
      <c r="B724" s="9" t="n">
        <f aca="false">IF(A724&gt;$B$6,"",SMALL(BTC_Data!$C$3:$C$1002,A724))</f>
        <v>0.000439264048729848</v>
      </c>
      <c r="C724" s="21" t="n">
        <f aca="false">IF(B724="","",A724/$B$6)</f>
        <v>0.688</v>
      </c>
      <c r="D724" s="21" t="n">
        <f aca="false">IF(B724="","",NORMDIST(B724,$B$15,$B$16,TRUE()))</f>
        <v>0.638407110409156</v>
      </c>
      <c r="E724" s="21" t="n">
        <f aca="false">IF(B724="","",IF(B724&gt;=$B$15,1-TDIST((B724-$B$15)/$B$18,$B$17,1),TDIST(($B$15-B724)/$B$18,$B$17,1)))</f>
        <v>0.656147967333322</v>
      </c>
      <c r="F724" s="21" t="n">
        <f aca="false">IF(B724="","",IF(B724&lt;$B$19,0.5*EXP((B724-$B$19)/$B$20),1-0.5*EXP(-(B724-$B$19)/$B$20)))</f>
        <v>0.694414498595248</v>
      </c>
      <c r="G724" s="21" t="n">
        <f aca="false">IF(B724="","",1/(1+EXP(-(B724-$B$15)/$B$21)))</f>
        <v>0.655308327482132</v>
      </c>
      <c r="H724" s="21" t="n">
        <f aca="false">IF(B724="","",MAX(ABS($A724/$B$6-D724),ABS(($A724-1)/$B$6-D724)))</f>
        <v>0.0495928895908443</v>
      </c>
      <c r="I724" s="21" t="n">
        <f aca="false">IF(B724="","",MAX(ABS($A724/$B$6-E724),ABS(($A724-1)/$B$6-E724)))</f>
        <v>0.0318520326666777</v>
      </c>
      <c r="J724" s="21" t="n">
        <f aca="false">IF(B724="","",MAX(ABS($A724/$B$6-F724),ABS(($A724-1)/$B$6-F724)))</f>
        <v>0.00741449859524757</v>
      </c>
      <c r="K724" s="21" t="n">
        <f aca="false">IF(B724="","",MAX(ABS($A724/$B$6-G724),ABS(($A724-1)/$B$6-G724)))</f>
        <v>0.0326916725178678</v>
      </c>
    </row>
    <row r="725" customFormat="false" ht="15" hidden="false" customHeight="false" outlineLevel="0" collapsed="false">
      <c r="A725" s="11" t="n">
        <v>689</v>
      </c>
      <c r="B725" s="9" t="n">
        <f aca="false">IF(A725&gt;$B$6,"",SMALL(BTC_Data!$C$3:$C$1002,A725))</f>
        <v>0.000442690347912444</v>
      </c>
      <c r="C725" s="21" t="n">
        <f aca="false">IF(B725="","",A725/$B$6)</f>
        <v>0.689</v>
      </c>
      <c r="D725" s="21" t="n">
        <f aca="false">IF(B725="","",NORMDIST(B725,$B$15,$B$16,TRUE()))</f>
        <v>0.639414904246164</v>
      </c>
      <c r="E725" s="21" t="n">
        <f aca="false">IF(B725="","",IF(B725&gt;=$B$15,1-TDIST((B725-$B$15)/$B$18,$B$17,1),TDIST(($B$15-B725)/$B$18,$B$17,1)))</f>
        <v>0.657257275623021</v>
      </c>
      <c r="F725" s="21" t="n">
        <f aca="false">IF(B725="","",IF(B725&lt;$B$19,0.5*EXP((B725-$B$19)/$B$20),1-0.5*EXP(-(B725-$B$19)/$B$20)))</f>
        <v>0.695561476563826</v>
      </c>
      <c r="G725" s="21" t="n">
        <f aca="false">IF(B725="","",1/(1+EXP(-(B725-$B$15)/$B$21)))</f>
        <v>0.656409989380434</v>
      </c>
      <c r="H725" s="21" t="n">
        <f aca="false">IF(B725="","",MAX(ABS($A725/$B$6-D725),ABS(($A725-1)/$B$6-D725)))</f>
        <v>0.0495850957538364</v>
      </c>
      <c r="I725" s="21" t="n">
        <f aca="false">IF(B725="","",MAX(ABS($A725/$B$6-E725),ABS(($A725-1)/$B$6-E725)))</f>
        <v>0.0317427243769793</v>
      </c>
      <c r="J725" s="21" t="n">
        <f aca="false">IF(B725="","",MAX(ABS($A725/$B$6-F725),ABS(($A725-1)/$B$6-F725)))</f>
        <v>0.00756147656382644</v>
      </c>
      <c r="K725" s="21" t="n">
        <f aca="false">IF(B725="","",MAX(ABS($A725/$B$6-G725),ABS(($A725-1)/$B$6-G725)))</f>
        <v>0.0325900106195661</v>
      </c>
    </row>
    <row r="726" customFormat="false" ht="15" hidden="false" customHeight="false" outlineLevel="0" collapsed="false">
      <c r="A726" s="11" t="n">
        <v>690</v>
      </c>
      <c r="B726" s="9" t="n">
        <f aca="false">IF(A726&gt;$B$6,"",SMALL(BTC_Data!$C$3:$C$1002,A726))</f>
        <v>0.000444270848725115</v>
      </c>
      <c r="C726" s="21" t="n">
        <f aca="false">IF(B726="","",A726/$B$6)</f>
        <v>0.69</v>
      </c>
      <c r="D726" s="21" t="n">
        <f aca="false">IF(B726="","",NORMDIST(B726,$B$15,$B$16,TRUE()))</f>
        <v>0.63987945887245</v>
      </c>
      <c r="E726" s="21" t="n">
        <f aca="false">IF(B726="","",IF(B726&gt;=$B$15,1-TDIST((B726-$B$15)/$B$18,$B$17,1),TDIST(($B$15-B726)/$B$18,$B$17,1)))</f>
        <v>0.657768423773574</v>
      </c>
      <c r="F726" s="21" t="n">
        <f aca="false">IF(B726="","",IF(B726&lt;$B$19,0.5*EXP((B726-$B$19)/$B$20),1-0.5*EXP(-(B726-$B$19)/$B$20)))</f>
        <v>0.696089108500798</v>
      </c>
      <c r="G726" s="21" t="n">
        <f aca="false">IF(B726="","",1/(1+EXP(-(B726-$B$15)/$B$21)))</f>
        <v>0.656917603693287</v>
      </c>
      <c r="H726" s="21" t="n">
        <f aca="false">IF(B726="","",MAX(ABS($A726/$B$6-D726),ABS(($A726-1)/$B$6-D726)))</f>
        <v>0.0501205411275502</v>
      </c>
      <c r="I726" s="21" t="n">
        <f aca="false">IF(B726="","",MAX(ABS($A726/$B$6-E726),ABS(($A726-1)/$B$6-E726)))</f>
        <v>0.0322315762264258</v>
      </c>
      <c r="J726" s="21" t="n">
        <f aca="false">IF(B726="","",MAX(ABS($A726/$B$6-F726),ABS(($A726-1)/$B$6-F726)))</f>
        <v>0.00708910850079791</v>
      </c>
      <c r="K726" s="21" t="n">
        <f aca="false">IF(B726="","",MAX(ABS($A726/$B$6-G726),ABS(($A726-1)/$B$6-G726)))</f>
        <v>0.033082396306713</v>
      </c>
    </row>
    <row r="727" customFormat="false" ht="15" hidden="false" customHeight="false" outlineLevel="0" collapsed="false">
      <c r="A727" s="11" t="n">
        <v>691</v>
      </c>
      <c r="B727" s="9" t="n">
        <f aca="false">IF(A727&gt;$B$6,"",SMALL(BTC_Data!$C$3:$C$1002,A727))</f>
        <v>0.000448770288041356</v>
      </c>
      <c r="C727" s="21" t="n">
        <f aca="false">IF(B727="","",A727/$B$6)</f>
        <v>0.691</v>
      </c>
      <c r="D727" s="21" t="n">
        <f aca="false">IF(B727="","",NORMDIST(B727,$B$15,$B$16,TRUE()))</f>
        <v>0.641200840739492</v>
      </c>
      <c r="E727" s="21" t="n">
        <f aca="false">IF(B727="","",IF(B727&gt;=$B$15,1-TDIST((B727-$B$15)/$B$18,$B$17,1),TDIST(($B$15-B727)/$B$18,$B$17,1)))</f>
        <v>0.659221639369596</v>
      </c>
      <c r="F727" s="21" t="n">
        <f aca="false">IF(B727="","",IF(B727&lt;$B$19,0.5*EXP((B727-$B$19)/$B$20),1-0.5*EXP(-(B727-$B$19)/$B$20)))</f>
        <v>0.697586192407931</v>
      </c>
      <c r="G727" s="21" t="n">
        <f aca="false">IF(B727="","",1/(1+EXP(-(B727-$B$15)/$B$21)))</f>
        <v>0.658360736105066</v>
      </c>
      <c r="H727" s="21" t="n">
        <f aca="false">IF(B727="","",MAX(ABS($A727/$B$6-D727),ABS(($A727-1)/$B$6-D727)))</f>
        <v>0.0497991592605079</v>
      </c>
      <c r="I727" s="21" t="n">
        <f aca="false">IF(B727="","",MAX(ABS($A727/$B$6-E727),ABS(($A727-1)/$B$6-E727)))</f>
        <v>0.0317783606304036</v>
      </c>
      <c r="J727" s="21" t="n">
        <f aca="false">IF(B727="","",MAX(ABS($A727/$B$6-F727),ABS(($A727-1)/$B$6-F727)))</f>
        <v>0.00758619240793146</v>
      </c>
      <c r="K727" s="21" t="n">
        <f aca="false">IF(B727="","",MAX(ABS($A727/$B$6-G727),ABS(($A727-1)/$B$6-G727)))</f>
        <v>0.0326392638949335</v>
      </c>
    </row>
    <row r="728" customFormat="false" ht="15" hidden="false" customHeight="false" outlineLevel="0" collapsed="false">
      <c r="A728" s="11" t="n">
        <v>692</v>
      </c>
      <c r="B728" s="9" t="n">
        <f aca="false">IF(A728&gt;$B$6,"",SMALL(BTC_Data!$C$3:$C$1002,A728))</f>
        <v>0.000451876247760774</v>
      </c>
      <c r="C728" s="21" t="n">
        <f aca="false">IF(B728="","",A728/$B$6)</f>
        <v>0.692</v>
      </c>
      <c r="D728" s="21" t="n">
        <f aca="false">IF(B728="","",NORMDIST(B728,$B$15,$B$16,TRUE()))</f>
        <v>0.642112005907301</v>
      </c>
      <c r="E728" s="21" t="n">
        <f aca="false">IF(B728="","",IF(B728&gt;=$B$15,1-TDIST((B728-$B$15)/$B$18,$B$17,1),TDIST(($B$15-B728)/$B$18,$B$17,1)))</f>
        <v>0.6602231064789</v>
      </c>
      <c r="F728" s="21" t="n">
        <f aca="false">IF(B728="","",IF(B728&lt;$B$19,0.5*EXP((B728-$B$19)/$B$20),1-0.5*EXP(-(B728-$B$19)/$B$20)))</f>
        <v>0.698615323697237</v>
      </c>
      <c r="G728" s="21" t="n">
        <f aca="false">IF(B728="","",1/(1+EXP(-(B728-$B$15)/$B$21)))</f>
        <v>0.659355223166011</v>
      </c>
      <c r="H728" s="21" t="n">
        <f aca="false">IF(B728="","",MAX(ABS($A728/$B$6-D728),ABS(($A728-1)/$B$6-D728)))</f>
        <v>0.049887994092699</v>
      </c>
      <c r="I728" s="21" t="n">
        <f aca="false">IF(B728="","",MAX(ABS($A728/$B$6-E728),ABS(($A728-1)/$B$6-E728)))</f>
        <v>0.0317768935210999</v>
      </c>
      <c r="J728" s="21" t="n">
        <f aca="false">IF(B728="","",MAX(ABS($A728/$B$6-F728),ABS(($A728-1)/$B$6-F728)))</f>
        <v>0.00761532369723661</v>
      </c>
      <c r="K728" s="21" t="n">
        <f aca="false">IF(B728="","",MAX(ABS($A728/$B$6-G728),ABS(($A728-1)/$B$6-G728)))</f>
        <v>0.032644776833989</v>
      </c>
    </row>
    <row r="729" customFormat="false" ht="15" hidden="false" customHeight="false" outlineLevel="0" collapsed="false">
      <c r="A729" s="11" t="n">
        <v>693</v>
      </c>
      <c r="B729" s="9" t="n">
        <f aca="false">IF(A729&gt;$B$6,"",SMALL(BTC_Data!$C$3:$C$1002,A729))</f>
        <v>0.000454124717359505</v>
      </c>
      <c r="C729" s="21" t="n">
        <f aca="false">IF(B729="","",A729/$B$6)</f>
        <v>0.693</v>
      </c>
      <c r="D729" s="21" t="n">
        <f aca="false">IF(B729="","",NORMDIST(B729,$B$15,$B$16,TRUE()))</f>
        <v>0.642771113040151</v>
      </c>
      <c r="E729" s="21" t="n">
        <f aca="false">IF(B729="","",IF(B729&gt;=$B$15,1-TDIST((B729-$B$15)/$B$18,$B$17,1),TDIST(($B$15-B729)/$B$18,$B$17,1)))</f>
        <v>0.660947225449531</v>
      </c>
      <c r="F729" s="21" t="n">
        <f aca="false">IF(B729="","",IF(B729&lt;$B$19,0.5*EXP((B729-$B$19)/$B$20),1-0.5*EXP(-(B729-$B$19)/$B$20)))</f>
        <v>0.699358147470627</v>
      </c>
      <c r="G729" s="21" t="n">
        <f aca="false">IF(B729="","",1/(1+EXP(-(B729-$B$15)/$B$21)))</f>
        <v>0.660074279204859</v>
      </c>
      <c r="H729" s="21" t="n">
        <f aca="false">IF(B729="","",MAX(ABS($A729/$B$6-D729),ABS(($A729-1)/$B$6-D729)))</f>
        <v>0.0502288869598485</v>
      </c>
      <c r="I729" s="21" t="n">
        <f aca="false">IF(B729="","",MAX(ABS($A729/$B$6-E729),ABS(($A729-1)/$B$6-E729)))</f>
        <v>0.0320527745504693</v>
      </c>
      <c r="J729" s="21" t="n">
        <f aca="false">IF(B729="","",MAX(ABS($A729/$B$6-F729),ABS(($A729-1)/$B$6-F729)))</f>
        <v>0.00735814747062702</v>
      </c>
      <c r="K729" s="21" t="n">
        <f aca="false">IF(B729="","",MAX(ABS($A729/$B$6-G729),ABS(($A729-1)/$B$6-G729)))</f>
        <v>0.0329257207951407</v>
      </c>
    </row>
    <row r="730" customFormat="false" ht="15" hidden="false" customHeight="false" outlineLevel="0" collapsed="false">
      <c r="A730" s="11" t="n">
        <v>694</v>
      </c>
      <c r="B730" s="9" t="n">
        <f aca="false">IF(A730&gt;$B$6,"",SMALL(BTC_Data!$C$3:$C$1002,A730))</f>
        <v>0.000454332461996998</v>
      </c>
      <c r="C730" s="21" t="n">
        <f aca="false">IF(B730="","",A730/$B$6)</f>
        <v>0.694</v>
      </c>
      <c r="D730" s="21" t="n">
        <f aca="false">IF(B730="","",NORMDIST(B730,$B$15,$B$16,TRUE()))</f>
        <v>0.642831988992124</v>
      </c>
      <c r="E730" s="21" t="n">
        <f aca="false">IF(B730="","",IF(B730&gt;=$B$15,1-TDIST((B730-$B$15)/$B$18,$B$17,1),TDIST(($B$15-B730)/$B$18,$B$17,1)))</f>
        <v>0.661014092814778</v>
      </c>
      <c r="F730" s="21" t="n">
        <f aca="false">IF(B730="","",IF(B730&lt;$B$19,0.5*EXP((B730-$B$19)/$B$20),1-0.5*EXP(-(B730-$B$19)/$B$20)))</f>
        <v>0.699426687314818</v>
      </c>
      <c r="G730" s="21" t="n">
        <f aca="false">IF(B730="","",1/(1+EXP(-(B730-$B$15)/$B$21)))</f>
        <v>0.660140678367773</v>
      </c>
      <c r="H730" s="21" t="n">
        <f aca="false">IF(B730="","",MAX(ABS($A730/$B$6-D730),ABS(($A730-1)/$B$6-D730)))</f>
        <v>0.0511680110078758</v>
      </c>
      <c r="I730" s="21" t="n">
        <f aca="false">IF(B730="","",MAX(ABS($A730/$B$6-E730),ABS(($A730-1)/$B$6-E730)))</f>
        <v>0.0329859071852222</v>
      </c>
      <c r="J730" s="21" t="n">
        <f aca="false">IF(B730="","",MAX(ABS($A730/$B$6-F730),ABS(($A730-1)/$B$6-F730)))</f>
        <v>0.00642668731481766</v>
      </c>
      <c r="K730" s="21" t="n">
        <f aca="false">IF(B730="","",MAX(ABS($A730/$B$6-G730),ABS(($A730-1)/$B$6-G730)))</f>
        <v>0.0338593216322272</v>
      </c>
    </row>
    <row r="731" customFormat="false" ht="15" hidden="false" customHeight="false" outlineLevel="0" collapsed="false">
      <c r="A731" s="11" t="n">
        <v>695</v>
      </c>
      <c r="B731" s="9" t="n">
        <f aca="false">IF(A731&gt;$B$6,"",SMALL(BTC_Data!$C$3:$C$1002,A731))</f>
        <v>0.000458867352170156</v>
      </c>
      <c r="C731" s="21" t="n">
        <f aca="false">IF(B731="","",A731/$B$6)</f>
        <v>0.695</v>
      </c>
      <c r="D731" s="21" t="n">
        <f aca="false">IF(B731="","",NORMDIST(B731,$B$15,$B$16,TRUE()))</f>
        <v>0.644159951353563</v>
      </c>
      <c r="E731" s="21" t="n">
        <f aca="false">IF(B731="","",IF(B731&gt;=$B$15,1-TDIST((B731-$B$15)/$B$18,$B$17,1),TDIST(($B$15-B731)/$B$18,$B$17,1)))</f>
        <v>0.662472196951607</v>
      </c>
      <c r="F731" s="21" t="n">
        <f aca="false">IF(B731="","",IF(B731&lt;$B$19,0.5*EXP((B731-$B$19)/$B$20),1-0.5*EXP(-(B731-$B$19)/$B$20)))</f>
        <v>0.700918967004782</v>
      </c>
      <c r="G731" s="21" t="n">
        <f aca="false">IF(B731="","",1/(1+EXP(-(B731-$B$15)/$B$21)))</f>
        <v>0.661588544492239</v>
      </c>
      <c r="H731" s="21" t="n">
        <f aca="false">IF(B731="","",MAX(ABS($A731/$B$6-D731),ABS(($A731-1)/$B$6-D731)))</f>
        <v>0.0508400486464372</v>
      </c>
      <c r="I731" s="21" t="n">
        <f aca="false">IF(B731="","",MAX(ABS($A731/$B$6-E731),ABS(($A731-1)/$B$6-E731)))</f>
        <v>0.0325278030483928</v>
      </c>
      <c r="J731" s="21" t="n">
        <f aca="false">IF(B731="","",MAX(ABS($A731/$B$6-F731),ABS(($A731-1)/$B$6-F731)))</f>
        <v>0.00691896700478223</v>
      </c>
      <c r="K731" s="21" t="n">
        <f aca="false">IF(B731="","",MAX(ABS($A731/$B$6-G731),ABS(($A731-1)/$B$6-G731)))</f>
        <v>0.0334114555077607</v>
      </c>
    </row>
    <row r="732" customFormat="false" ht="15" hidden="false" customHeight="false" outlineLevel="0" collapsed="false">
      <c r="A732" s="11" t="n">
        <v>696</v>
      </c>
      <c r="B732" s="9" t="n">
        <f aca="false">IF(A732&gt;$B$6,"",SMALL(BTC_Data!$C$3:$C$1002,A732))</f>
        <v>0.000459068912602501</v>
      </c>
      <c r="C732" s="21" t="n">
        <f aca="false">IF(B732="","",A732/$B$6)</f>
        <v>0.696</v>
      </c>
      <c r="D732" s="21" t="n">
        <f aca="false">IF(B732="","",NORMDIST(B732,$B$15,$B$16,TRUE()))</f>
        <v>0.644218934318791</v>
      </c>
      <c r="E732" s="21" t="n">
        <f aca="false">IF(B732="","",IF(B732&gt;=$B$15,1-TDIST((B732-$B$15)/$B$18,$B$17,1),TDIST(($B$15-B732)/$B$18,$B$17,1)))</f>
        <v>0.662536935556912</v>
      </c>
      <c r="F732" s="21" t="n">
        <f aca="false">IF(B732="","",IF(B732&lt;$B$19,0.5*EXP((B732-$B$19)/$B$20),1-0.5*EXP(-(B732-$B$19)/$B$20)))</f>
        <v>0.700985121518105</v>
      </c>
      <c r="G732" s="21" t="n">
        <f aca="false">IF(B732="","",1/(1+EXP(-(B732-$B$15)/$B$21)))</f>
        <v>0.66165282727702</v>
      </c>
      <c r="H732" s="21" t="n">
        <f aca="false">IF(B732="","",MAX(ABS($A732/$B$6-D732),ABS(($A732-1)/$B$6-D732)))</f>
        <v>0.0517810656812092</v>
      </c>
      <c r="I732" s="21" t="n">
        <f aca="false">IF(B732="","",MAX(ABS($A732/$B$6-E732),ABS(($A732-1)/$B$6-E732)))</f>
        <v>0.0334630644430882</v>
      </c>
      <c r="J732" s="21" t="n">
        <f aca="false">IF(B732="","",MAX(ABS($A732/$B$6-F732),ABS(($A732-1)/$B$6-F732)))</f>
        <v>0.00598512151810537</v>
      </c>
      <c r="K732" s="21" t="n">
        <f aca="false">IF(B732="","",MAX(ABS($A732/$B$6-G732),ABS(($A732-1)/$B$6-G732)))</f>
        <v>0.0343471727229803</v>
      </c>
    </row>
    <row r="733" customFormat="false" ht="15" hidden="false" customHeight="false" outlineLevel="0" collapsed="false">
      <c r="A733" s="11" t="n">
        <v>697</v>
      </c>
      <c r="B733" s="9" t="n">
        <f aca="false">IF(A733&gt;$B$6,"",SMALL(BTC_Data!$C$3:$C$1002,A733))</f>
        <v>0.000460535693259212</v>
      </c>
      <c r="C733" s="21" t="n">
        <f aca="false">IF(B733="","",A733/$B$6)</f>
        <v>0.697</v>
      </c>
      <c r="D733" s="21" t="n">
        <f aca="false">IF(B733="","",NORMDIST(B733,$B$15,$B$16,TRUE()))</f>
        <v>0.644648056730104</v>
      </c>
      <c r="E733" s="21" t="n">
        <f aca="false">IF(B733="","",IF(B733&gt;=$B$15,1-TDIST((B733-$B$15)/$B$18,$B$17,1),TDIST(($B$15-B733)/$B$18,$B$17,1)))</f>
        <v>0.663007868693039</v>
      </c>
      <c r="F733" s="21" t="n">
        <f aca="false">IF(B733="","",IF(B733&lt;$B$19,0.5*EXP((B733-$B$19)/$B$20),1-0.5*EXP(-(B733-$B$19)/$B$20)))</f>
        <v>0.701466095752491</v>
      </c>
      <c r="G733" s="21" t="n">
        <f aca="false">IF(B733="","",1/(1+EXP(-(B733-$B$15)/$B$21)))</f>
        <v>0.662120441372207</v>
      </c>
      <c r="H733" s="21" t="n">
        <f aca="false">IF(B733="","",MAX(ABS($A733/$B$6-D733),ABS(($A733-1)/$B$6-D733)))</f>
        <v>0.0523519432698963</v>
      </c>
      <c r="I733" s="21" t="n">
        <f aca="false">IF(B733="","",MAX(ABS($A733/$B$6-E733),ABS(($A733-1)/$B$6-E733)))</f>
        <v>0.0339921313069614</v>
      </c>
      <c r="J733" s="21" t="n">
        <f aca="false">IF(B733="","",MAX(ABS($A733/$B$6-F733),ABS(($A733-1)/$B$6-F733)))</f>
        <v>0.00546609575249057</v>
      </c>
      <c r="K733" s="21" t="n">
        <f aca="false">IF(B733="","",MAX(ABS($A733/$B$6-G733),ABS(($A733-1)/$B$6-G733)))</f>
        <v>0.0348795586277934</v>
      </c>
    </row>
    <row r="734" customFormat="false" ht="15" hidden="false" customHeight="false" outlineLevel="0" collapsed="false">
      <c r="A734" s="11" t="n">
        <v>698</v>
      </c>
      <c r="B734" s="9" t="n">
        <f aca="false">IF(A734&gt;$B$6,"",SMALL(BTC_Data!$C$3:$C$1002,A734))</f>
        <v>0.000462389899331894</v>
      </c>
      <c r="C734" s="21" t="n">
        <f aca="false">IF(B734="","",A734/$B$6)</f>
        <v>0.698</v>
      </c>
      <c r="D734" s="21" t="n">
        <f aca="false">IF(B734="","",NORMDIST(B734,$B$15,$B$16,TRUE()))</f>
        <v>0.645190262193412</v>
      </c>
      <c r="E734" s="21" t="n">
        <f aca="false">IF(B734="","",IF(B734&gt;=$B$15,1-TDIST((B734-$B$15)/$B$18,$B$17,1),TDIST(($B$15-B734)/$B$18,$B$17,1)))</f>
        <v>0.663602742535394</v>
      </c>
      <c r="F734" s="21" t="n">
        <f aca="false">IF(B734="","",IF(B734&lt;$B$19,0.5*EXP((B734-$B$19)/$B$20),1-0.5*EXP(-(B734-$B$19)/$B$20)))</f>
        <v>0.702073004216782</v>
      </c>
      <c r="G734" s="21" t="n">
        <f aca="false">IF(B734="","",1/(1+EXP(-(B734-$B$15)/$B$21)))</f>
        <v>0.662711114544244</v>
      </c>
      <c r="H734" s="21" t="n">
        <f aca="false">IF(B734="","",MAX(ABS($A734/$B$6-D734),ABS(($A734-1)/$B$6-D734)))</f>
        <v>0.0528097378065878</v>
      </c>
      <c r="I734" s="21" t="n">
        <f aca="false">IF(B734="","",MAX(ABS($A734/$B$6-E734),ABS(($A734-1)/$B$6-E734)))</f>
        <v>0.0343972574646056</v>
      </c>
      <c r="J734" s="21" t="n">
        <f aca="false">IF(B734="","",MAX(ABS($A734/$B$6-F734),ABS(($A734-1)/$B$6-F734)))</f>
        <v>0.00507300421678181</v>
      </c>
      <c r="K734" s="21" t="n">
        <f aca="false">IF(B734="","",MAX(ABS($A734/$B$6-G734),ABS(($A734-1)/$B$6-G734)))</f>
        <v>0.0352888854557565</v>
      </c>
    </row>
    <row r="735" customFormat="false" ht="15" hidden="false" customHeight="false" outlineLevel="0" collapsed="false">
      <c r="A735" s="11" t="n">
        <v>699</v>
      </c>
      <c r="B735" s="9" t="n">
        <f aca="false">IF(A735&gt;$B$6,"",SMALL(BTC_Data!$C$3:$C$1002,A735))</f>
        <v>0.000465770294052481</v>
      </c>
      <c r="C735" s="21" t="n">
        <f aca="false">IF(B735="","",A735/$B$6)</f>
        <v>0.699</v>
      </c>
      <c r="D735" s="21" t="n">
        <f aca="false">IF(B735="","",NORMDIST(B735,$B$15,$B$16,TRUE()))</f>
        <v>0.646177997399081</v>
      </c>
      <c r="E735" s="21" t="n">
        <f aca="false">IF(B735="","",IF(B735&gt;=$B$15,1-TDIST((B735-$B$15)/$B$18,$B$17,1),TDIST(($B$15-B735)/$B$18,$B$17,1)))</f>
        <v>0.664685961517537</v>
      </c>
      <c r="F735" s="21" t="n">
        <f aca="false">IF(B735="","",IF(B735&lt;$B$19,0.5*EXP((B735-$B$19)/$B$20),1-0.5*EXP(-(B735-$B$19)/$B$20)))</f>
        <v>0.703176282967139</v>
      </c>
      <c r="G735" s="21" t="n">
        <f aca="false">IF(B735="","",1/(1+EXP(-(B735-$B$15)/$B$21)))</f>
        <v>0.663786661135568</v>
      </c>
      <c r="H735" s="21" t="n">
        <f aca="false">IF(B735="","",MAX(ABS($A735/$B$6-D735),ABS(($A735-1)/$B$6-D735)))</f>
        <v>0.0528220026009189</v>
      </c>
      <c r="I735" s="21" t="n">
        <f aca="false">IF(B735="","",MAX(ABS($A735/$B$6-E735),ABS(($A735-1)/$B$6-E735)))</f>
        <v>0.0343140384824632</v>
      </c>
      <c r="J735" s="21" t="n">
        <f aca="false">IF(B735="","",MAX(ABS($A735/$B$6-F735),ABS(($A735-1)/$B$6-F735)))</f>
        <v>0.00517628296713868</v>
      </c>
      <c r="K735" s="21" t="n">
        <f aca="false">IF(B735="","",MAX(ABS($A735/$B$6-G735),ABS(($A735-1)/$B$6-G735)))</f>
        <v>0.0352133388644316</v>
      </c>
    </row>
    <row r="736" customFormat="false" ht="15" hidden="false" customHeight="false" outlineLevel="0" collapsed="false">
      <c r="A736" s="11" t="n">
        <v>700</v>
      </c>
      <c r="B736" s="9" t="n">
        <f aca="false">IF(A736&gt;$B$6,"",SMALL(BTC_Data!$C$3:$C$1002,A736))</f>
        <v>0.000468894344841653</v>
      </c>
      <c r="C736" s="21" t="n">
        <f aca="false">IF(B736="","",A736/$B$6)</f>
        <v>0.7</v>
      </c>
      <c r="D736" s="21" t="n">
        <f aca="false">IF(B736="","",NORMDIST(B736,$B$15,$B$16,TRUE()))</f>
        <v>0.647089956290166</v>
      </c>
      <c r="E736" s="21" t="n">
        <f aca="false">IF(B736="","",IF(B736&gt;=$B$15,1-TDIST((B736-$B$15)/$B$18,$B$17,1),TDIST(($B$15-B736)/$B$18,$B$17,1)))</f>
        <v>0.665685546272702</v>
      </c>
      <c r="F736" s="21" t="n">
        <f aca="false">IF(B736="","",IF(B736&lt;$B$19,0.5*EXP((B736-$B$19)/$B$20),1-0.5*EXP(-(B736-$B$19)/$B$20)))</f>
        <v>0.704192264287421</v>
      </c>
      <c r="G736" s="21" t="n">
        <f aca="false">IF(B736="","",1/(1+EXP(-(B736-$B$15)/$B$21)))</f>
        <v>0.664779139174281</v>
      </c>
      <c r="H736" s="21" t="n">
        <f aca="false">IF(B736="","",MAX(ABS($A736/$B$6-D736),ABS(($A736-1)/$B$6-D736)))</f>
        <v>0.0529100437098335</v>
      </c>
      <c r="I736" s="21" t="n">
        <f aca="false">IF(B736="","",MAX(ABS($A736/$B$6-E736),ABS(($A736-1)/$B$6-E736)))</f>
        <v>0.0343144537272976</v>
      </c>
      <c r="J736" s="21" t="n">
        <f aca="false">IF(B736="","",MAX(ABS($A736/$B$6-F736),ABS(($A736-1)/$B$6-F736)))</f>
        <v>0.00519226428742103</v>
      </c>
      <c r="K736" s="21" t="n">
        <f aca="false">IF(B736="","",MAX(ABS($A736/$B$6-G736),ABS(($A736-1)/$B$6-G736)))</f>
        <v>0.0352208608257185</v>
      </c>
    </row>
    <row r="737" customFormat="false" ht="15" hidden="false" customHeight="false" outlineLevel="0" collapsed="false">
      <c r="A737" s="11" t="n">
        <v>701</v>
      </c>
      <c r="B737" s="9" t="n">
        <f aca="false">IF(A737&gt;$B$6,"",SMALL(BTC_Data!$C$3:$C$1002,A737))</f>
        <v>0.000475375235061248</v>
      </c>
      <c r="C737" s="21" t="n">
        <f aca="false">IF(B737="","",A737/$B$6)</f>
        <v>0.701</v>
      </c>
      <c r="D737" s="21" t="n">
        <f aca="false">IF(B737="","",NORMDIST(B737,$B$15,$B$16,TRUE()))</f>
        <v>0.648979130971524</v>
      </c>
      <c r="E737" s="21" t="n">
        <f aca="false">IF(B737="","",IF(B737&gt;=$B$15,1-TDIST((B737-$B$15)/$B$18,$B$17,1),TDIST(($B$15-B737)/$B$18,$B$17,1)))</f>
        <v>0.667754602481718</v>
      </c>
      <c r="F737" s="21" t="n">
        <f aca="false">IF(B737="","",IF(B737&lt;$B$19,0.5*EXP((B737-$B$19)/$B$20),1-0.5*EXP(-(B737-$B$19)/$B$20)))</f>
        <v>0.706288856255306</v>
      </c>
      <c r="G737" s="21" t="n">
        <f aca="false">IF(B737="","",1/(1+EXP(-(B737-$B$15)/$B$21)))</f>
        <v>0.666833403564699</v>
      </c>
      <c r="H737" s="21" t="n">
        <f aca="false">IF(B737="","",MAX(ABS($A737/$B$6-D737),ABS(($A737-1)/$B$6-D737)))</f>
        <v>0.0520208690284764</v>
      </c>
      <c r="I737" s="21" t="n">
        <f aca="false">IF(B737="","",MAX(ABS($A737/$B$6-E737),ABS(($A737-1)/$B$6-E737)))</f>
        <v>0.0332453975182825</v>
      </c>
      <c r="J737" s="21" t="n">
        <f aca="false">IF(B737="","",MAX(ABS($A737/$B$6-F737),ABS(($A737-1)/$B$6-F737)))</f>
        <v>0.00628885625530584</v>
      </c>
      <c r="K737" s="21" t="n">
        <f aca="false">IF(B737="","",MAX(ABS($A737/$B$6-G737),ABS(($A737-1)/$B$6-G737)))</f>
        <v>0.034166596435301</v>
      </c>
    </row>
    <row r="738" customFormat="false" ht="15" hidden="false" customHeight="false" outlineLevel="0" collapsed="false">
      <c r="A738" s="11" t="n">
        <v>702</v>
      </c>
      <c r="B738" s="9" t="n">
        <f aca="false">IF(A738&gt;$B$6,"",SMALL(BTC_Data!$C$3:$C$1002,A738))</f>
        <v>0.0004761087243772</v>
      </c>
      <c r="C738" s="21" t="n">
        <f aca="false">IF(B738="","",A738/$B$6)</f>
        <v>0.702</v>
      </c>
      <c r="D738" s="21" t="n">
        <f aca="false">IF(B738="","",NORMDIST(B738,$B$15,$B$16,TRUE()))</f>
        <v>0.649192711828921</v>
      </c>
      <c r="E738" s="21" t="n">
        <f aca="false">IF(B738="","",IF(B738&gt;=$B$15,1-TDIST((B738-$B$15)/$B$18,$B$17,1),TDIST(($B$15-B738)/$B$18,$B$17,1)))</f>
        <v>0.667988379741737</v>
      </c>
      <c r="F738" s="21" t="n">
        <f aca="false">IF(B738="","",IF(B738&lt;$B$19,0.5*EXP((B738-$B$19)/$B$20),1-0.5*EXP(-(B738-$B$19)/$B$20)))</f>
        <v>0.706525204717985</v>
      </c>
      <c r="G738" s="21" t="n">
        <f aca="false">IF(B738="","",1/(1+EXP(-(B738-$B$15)/$B$21)))</f>
        <v>0.667065502619718</v>
      </c>
      <c r="H738" s="21" t="n">
        <f aca="false">IF(B738="","",MAX(ABS($A738/$B$6-D738),ABS(($A738-1)/$B$6-D738)))</f>
        <v>0.0528072881710789</v>
      </c>
      <c r="I738" s="21" t="n">
        <f aca="false">IF(B738="","",MAX(ABS($A738/$B$6-E738),ABS(($A738-1)/$B$6-E738)))</f>
        <v>0.0340116202582625</v>
      </c>
      <c r="J738" s="21" t="n">
        <f aca="false">IF(B738="","",MAX(ABS($A738/$B$6-F738),ABS(($A738-1)/$B$6-F738)))</f>
        <v>0.00552520471798512</v>
      </c>
      <c r="K738" s="21" t="n">
        <f aca="false">IF(B738="","",MAX(ABS($A738/$B$6-G738),ABS(($A738-1)/$B$6-G738)))</f>
        <v>0.034934497380282</v>
      </c>
    </row>
    <row r="739" customFormat="false" ht="15" hidden="false" customHeight="false" outlineLevel="0" collapsed="false">
      <c r="A739" s="11" t="n">
        <v>703</v>
      </c>
      <c r="B739" s="9" t="n">
        <f aca="false">IF(A739&gt;$B$6,"",SMALL(BTC_Data!$C$3:$C$1002,A739))</f>
        <v>0.000484346522678925</v>
      </c>
      <c r="C739" s="21" t="n">
        <f aca="false">IF(B739="","",A739/$B$6)</f>
        <v>0.703</v>
      </c>
      <c r="D739" s="21" t="n">
        <f aca="false">IF(B739="","",NORMDIST(B739,$B$15,$B$16,TRUE()))</f>
        <v>0.651588180967983</v>
      </c>
      <c r="E739" s="21" t="n">
        <f aca="false">IF(B739="","",IF(B739&gt;=$B$15,1-TDIST((B739-$B$15)/$B$18,$B$17,1),TDIST(($B$15-B739)/$B$18,$B$17,1)))</f>
        <v>0.670608397920973</v>
      </c>
      <c r="F739" s="21" t="n">
        <f aca="false">IF(B739="","",IF(B739&lt;$B$19,0.5*EXP((B739-$B$19)/$B$20),1-0.5*EXP(-(B739-$B$19)/$B$20)))</f>
        <v>0.709166600856525</v>
      </c>
      <c r="G739" s="21" t="n">
        <f aca="false">IF(B739="","",1/(1+EXP(-(B739-$B$15)/$B$21)))</f>
        <v>0.66966661648824</v>
      </c>
      <c r="H739" s="21" t="n">
        <f aca="false">IF(B739="","",MAX(ABS($A739/$B$6-D739),ABS(($A739-1)/$B$6-D739)))</f>
        <v>0.051411819032017</v>
      </c>
      <c r="I739" s="21" t="n">
        <f aca="false">IF(B739="","",MAX(ABS($A739/$B$6-E739),ABS(($A739-1)/$B$6-E739)))</f>
        <v>0.0323916020790268</v>
      </c>
      <c r="J739" s="21" t="n">
        <f aca="false">IF(B739="","",MAX(ABS($A739/$B$6-F739),ABS(($A739-1)/$B$6-F739)))</f>
        <v>0.00716660085652499</v>
      </c>
      <c r="K739" s="21" t="n">
        <f aca="false">IF(B739="","",MAX(ABS($A739/$B$6-G739),ABS(($A739-1)/$B$6-G739)))</f>
        <v>0.0333333835117601</v>
      </c>
    </row>
    <row r="740" customFormat="false" ht="15" hidden="false" customHeight="false" outlineLevel="0" collapsed="false">
      <c r="A740" s="11" t="n">
        <v>704</v>
      </c>
      <c r="B740" s="9" t="n">
        <f aca="false">IF(A740&gt;$B$6,"",SMALL(BTC_Data!$C$3:$C$1002,A740))</f>
        <v>0.00048895213526623</v>
      </c>
      <c r="C740" s="21" t="n">
        <f aca="false">IF(B740="","",A740/$B$6)</f>
        <v>0.704</v>
      </c>
      <c r="D740" s="21" t="n">
        <f aca="false">IF(B740="","",NORMDIST(B740,$B$15,$B$16,TRUE()))</f>
        <v>0.652924823981042</v>
      </c>
      <c r="E740" s="21" t="n">
        <f aca="false">IF(B740="","",IF(B740&gt;=$B$15,1-TDIST((B740-$B$15)/$B$18,$B$17,1),TDIST(($B$15-B740)/$B$18,$B$17,1)))</f>
        <v>0.672068752121665</v>
      </c>
      <c r="F740" s="21" t="n">
        <f aca="false">IF(B740="","",IF(B740&lt;$B$19,0.5*EXP((B740-$B$19)/$B$20),1-0.5*EXP(-(B740-$B$19)/$B$20)))</f>
        <v>0.710632985414507</v>
      </c>
      <c r="G740" s="21" t="n">
        <f aca="false">IF(B740="","",1/(1+EXP(-(B740-$B$15)/$B$21)))</f>
        <v>0.671116357117683</v>
      </c>
      <c r="H740" s="21" t="n">
        <f aca="false">IF(B740="","",MAX(ABS($A740/$B$6-D740),ABS(($A740-1)/$B$6-D740)))</f>
        <v>0.0510751760189582</v>
      </c>
      <c r="I740" s="21" t="n">
        <f aca="false">IF(B740="","",MAX(ABS($A740/$B$6-E740),ABS(($A740-1)/$B$6-E740)))</f>
        <v>0.031931247878335</v>
      </c>
      <c r="J740" s="21" t="n">
        <f aca="false">IF(B740="","",MAX(ABS($A740/$B$6-F740),ABS(($A740-1)/$B$6-F740)))</f>
        <v>0.00763298541450663</v>
      </c>
      <c r="K740" s="21" t="n">
        <f aca="false">IF(B740="","",MAX(ABS($A740/$B$6-G740),ABS(($A740-1)/$B$6-G740)))</f>
        <v>0.0328836428823172</v>
      </c>
    </row>
    <row r="741" customFormat="false" ht="15" hidden="false" customHeight="false" outlineLevel="0" collapsed="false">
      <c r="A741" s="11" t="n">
        <v>705</v>
      </c>
      <c r="B741" s="9" t="n">
        <f aca="false">IF(A741&gt;$B$6,"",SMALL(BTC_Data!$C$3:$C$1002,A741))</f>
        <v>0.0004899619943739</v>
      </c>
      <c r="C741" s="21" t="n">
        <f aca="false">IF(B741="","",A741/$B$6)</f>
        <v>0.705</v>
      </c>
      <c r="D741" s="21" t="n">
        <f aca="false">IF(B741="","",NORMDIST(B741,$B$15,$B$16,TRUE()))</f>
        <v>0.653217652309783</v>
      </c>
      <c r="E741" s="21" t="n">
        <f aca="false">IF(B741="","",IF(B741&gt;=$B$15,1-TDIST((B741-$B$15)/$B$18,$B$17,1),TDIST(($B$15-B741)/$B$18,$B$17,1)))</f>
        <v>0.672388529947278</v>
      </c>
      <c r="F741" s="21" t="n">
        <f aca="false">IF(B741="","",IF(B741&lt;$B$19,0.5*EXP((B741-$B$19)/$B$20),1-0.5*EXP(-(B741-$B$19)/$B$20)))</f>
        <v>0.710953525626864</v>
      </c>
      <c r="G741" s="21" t="n">
        <f aca="false">IF(B741="","",1/(1+EXP(-(B741-$B$15)/$B$21)))</f>
        <v>0.671433803539151</v>
      </c>
      <c r="H741" s="21" t="n">
        <f aca="false">IF(B741="","",MAX(ABS($A741/$B$6-D741),ABS(($A741-1)/$B$6-D741)))</f>
        <v>0.0517823476902167</v>
      </c>
      <c r="I741" s="21" t="n">
        <f aca="false">IF(B741="","",MAX(ABS($A741/$B$6-E741),ABS(($A741-1)/$B$6-E741)))</f>
        <v>0.0326114700527225</v>
      </c>
      <c r="J741" s="21" t="n">
        <f aca="false">IF(B741="","",MAX(ABS($A741/$B$6-F741),ABS(($A741-1)/$B$6-F741)))</f>
        <v>0.00695352562686447</v>
      </c>
      <c r="K741" s="21" t="n">
        <f aca="false">IF(B741="","",MAX(ABS($A741/$B$6-G741),ABS(($A741-1)/$B$6-G741)))</f>
        <v>0.0335661964608487</v>
      </c>
    </row>
    <row r="742" customFormat="false" ht="15" hidden="false" customHeight="false" outlineLevel="0" collapsed="false">
      <c r="A742" s="11" t="n">
        <v>706</v>
      </c>
      <c r="B742" s="9" t="n">
        <f aca="false">IF(A742&gt;$B$6,"",SMALL(BTC_Data!$C$3:$C$1002,A742))</f>
        <v>0.000491019292753414</v>
      </c>
      <c r="C742" s="21" t="n">
        <f aca="false">IF(B742="","",A742/$B$6)</f>
        <v>0.706</v>
      </c>
      <c r="D742" s="21" t="n">
        <f aca="false">IF(B742="","",NORMDIST(B742,$B$15,$B$16,TRUE()))</f>
        <v>0.653524138530492</v>
      </c>
      <c r="E742" s="21" t="n">
        <f aca="false">IF(B742="","",IF(B742&gt;=$B$15,1-TDIST((B742-$B$15)/$B$18,$B$17,1),TDIST(($B$15-B742)/$B$18,$B$17,1)))</f>
        <v>0.672723163554813</v>
      </c>
      <c r="F742" s="21" t="n">
        <f aca="false">IF(B742="","",IF(B742&lt;$B$19,0.5*EXP((B742-$B$19)/$B$20),1-0.5*EXP(-(B742-$B$19)/$B$20)))</f>
        <v>0.711288743100948</v>
      </c>
      <c r="G742" s="21" t="n">
        <f aca="false">IF(B742="","",1/(1+EXP(-(B742-$B$15)/$B$21)))</f>
        <v>0.671765994617297</v>
      </c>
      <c r="H742" s="21" t="n">
        <f aca="false">IF(B742="","",MAX(ABS($A742/$B$6-D742),ABS(($A742-1)/$B$6-D742)))</f>
        <v>0.0524758614695082</v>
      </c>
      <c r="I742" s="21" t="n">
        <f aca="false">IF(B742="","",MAX(ABS($A742/$B$6-E742),ABS(($A742-1)/$B$6-E742)))</f>
        <v>0.033276836445187</v>
      </c>
      <c r="J742" s="21" t="n">
        <f aca="false">IF(B742="","",MAX(ABS($A742/$B$6-F742),ABS(($A742-1)/$B$6-F742)))</f>
        <v>0.0062887431009484</v>
      </c>
      <c r="K742" s="21" t="n">
        <f aca="false">IF(B742="","",MAX(ABS($A742/$B$6-G742),ABS(($A742-1)/$B$6-G742)))</f>
        <v>0.0342340053827034</v>
      </c>
    </row>
    <row r="743" customFormat="false" ht="15" hidden="false" customHeight="false" outlineLevel="0" collapsed="false">
      <c r="A743" s="11" t="n">
        <v>707</v>
      </c>
      <c r="B743" s="9" t="n">
        <f aca="false">IF(A743&gt;$B$6,"",SMALL(BTC_Data!$C$3:$C$1002,A743))</f>
        <v>0.000495102576094864</v>
      </c>
      <c r="C743" s="21" t="n">
        <f aca="false">IF(B743="","",A743/$B$6)</f>
        <v>0.707</v>
      </c>
      <c r="D743" s="21" t="n">
        <f aca="false">IF(B743="","",NORMDIST(B743,$B$15,$B$16,TRUE()))</f>
        <v>0.654706842535631</v>
      </c>
      <c r="E743" s="21" t="n">
        <f aca="false">IF(B743="","",IF(B743&gt;=$B$15,1-TDIST((B743-$B$15)/$B$18,$B$17,1),TDIST(($B$15-B743)/$B$18,$B$17,1)))</f>
        <v>0.674013917427092</v>
      </c>
      <c r="F743" s="21" t="n">
        <f aca="false">IF(B743="","",IF(B743&lt;$B$19,0.5*EXP((B743-$B$19)/$B$20),1-0.5*EXP(-(B743-$B$19)/$B$20)))</f>
        <v>0.71257970615964</v>
      </c>
      <c r="G743" s="21" t="n">
        <f aca="false">IF(B743="","",1/(1+EXP(-(B743-$B$15)/$B$21)))</f>
        <v>0.673047300150765</v>
      </c>
      <c r="H743" s="21" t="n">
        <f aca="false">IF(B743="","",MAX(ABS($A743/$B$6-D743),ABS(($A743-1)/$B$6-D743)))</f>
        <v>0.0522931574643695</v>
      </c>
      <c r="I743" s="21" t="n">
        <f aca="false">IF(B743="","",MAX(ABS($A743/$B$6-E743),ABS(($A743-1)/$B$6-E743)))</f>
        <v>0.0329860825729084</v>
      </c>
      <c r="J743" s="21" t="n">
        <f aca="false">IF(B743="","",MAX(ABS($A743/$B$6-F743),ABS(($A743-1)/$B$6-F743)))</f>
        <v>0.00657970615963988</v>
      </c>
      <c r="K743" s="21" t="n">
        <f aca="false">IF(B743="","",MAX(ABS($A743/$B$6-G743),ABS(($A743-1)/$B$6-G743)))</f>
        <v>0.0339526998492351</v>
      </c>
    </row>
    <row r="744" customFormat="false" ht="15" hidden="false" customHeight="false" outlineLevel="0" collapsed="false">
      <c r="A744" s="11" t="n">
        <v>708</v>
      </c>
      <c r="B744" s="9" t="n">
        <f aca="false">IF(A744&gt;$B$6,"",SMALL(BTC_Data!$C$3:$C$1002,A744))</f>
        <v>0.000500427244500834</v>
      </c>
      <c r="C744" s="21" t="n">
        <f aca="false">IF(B744="","",A744/$B$6)</f>
        <v>0.708</v>
      </c>
      <c r="D744" s="21" t="n">
        <f aca="false">IF(B744="","",NORMDIST(B744,$B$15,$B$16,TRUE()))</f>
        <v>0.656246839751919</v>
      </c>
      <c r="E744" s="21" t="n">
        <f aca="false">IF(B744="","",IF(B744&gt;=$B$15,1-TDIST((B744-$B$15)/$B$18,$B$17,1),TDIST(($B$15-B744)/$B$18,$B$17,1)))</f>
        <v>0.675693244458603</v>
      </c>
      <c r="F744" s="21" t="n">
        <f aca="false">IF(B744="","",IF(B744&lt;$B$19,0.5*EXP((B744-$B$19)/$B$20),1-0.5*EXP(-(B744-$B$19)/$B$20)))</f>
        <v>0.714254475414922</v>
      </c>
      <c r="G744" s="21" t="n">
        <f aca="false">IF(B744="","",1/(1+EXP(-(B744-$B$15)/$B$21)))</f>
        <v>0.674714270366519</v>
      </c>
      <c r="H744" s="21" t="n">
        <f aca="false">IF(B744="","",MAX(ABS($A744/$B$6-D744),ABS(($A744-1)/$B$6-D744)))</f>
        <v>0.0517531602480806</v>
      </c>
      <c r="I744" s="21" t="n">
        <f aca="false">IF(B744="","",MAX(ABS($A744/$B$6-E744),ABS(($A744-1)/$B$6-E744)))</f>
        <v>0.0323067555413967</v>
      </c>
      <c r="J744" s="21" t="n">
        <f aca="false">IF(B744="","",MAX(ABS($A744/$B$6-F744),ABS(($A744-1)/$B$6-F744)))</f>
        <v>0.0072544754149223</v>
      </c>
      <c r="K744" s="21" t="n">
        <f aca="false">IF(B744="","",MAX(ABS($A744/$B$6-G744),ABS(($A744-1)/$B$6-G744)))</f>
        <v>0.0332857296334812</v>
      </c>
    </row>
    <row r="745" customFormat="false" ht="15" hidden="false" customHeight="false" outlineLevel="0" collapsed="false">
      <c r="A745" s="11" t="n">
        <v>709</v>
      </c>
      <c r="B745" s="9" t="n">
        <f aca="false">IF(A745&gt;$B$6,"",SMALL(BTC_Data!$C$3:$C$1002,A745))</f>
        <v>0.000507188855784602</v>
      </c>
      <c r="C745" s="21" t="n">
        <f aca="false">IF(B745="","",A745/$B$6)</f>
        <v>0.709</v>
      </c>
      <c r="D745" s="21" t="n">
        <f aca="false">IF(B745="","",NORMDIST(B745,$B$15,$B$16,TRUE()))</f>
        <v>0.658198695415635</v>
      </c>
      <c r="E745" s="21" t="n">
        <f aca="false">IF(B745="","",IF(B745&gt;=$B$15,1-TDIST((B745-$B$15)/$B$18,$B$17,1),TDIST(($B$15-B745)/$B$18,$B$17,1)))</f>
        <v>0.677819457837117</v>
      </c>
      <c r="F745" s="21" t="n">
        <f aca="false">IF(B745="","",IF(B745&lt;$B$19,0.5*EXP((B745-$B$19)/$B$20),1-0.5*EXP(-(B745-$B$19)/$B$20)))</f>
        <v>0.716367149676011</v>
      </c>
      <c r="G745" s="21" t="n">
        <f aca="false">IF(B745="","",1/(1+EXP(-(B745-$B$15)/$B$21)))</f>
        <v>0.676824734721695</v>
      </c>
      <c r="H745" s="21" t="n">
        <f aca="false">IF(B745="","",MAX(ABS($A745/$B$6-D745),ABS(($A745-1)/$B$6-D745)))</f>
        <v>0.0508013045843647</v>
      </c>
      <c r="I745" s="21" t="n">
        <f aca="false">IF(B745="","",MAX(ABS($A745/$B$6-E745),ABS(($A745-1)/$B$6-E745)))</f>
        <v>0.0311805421628829</v>
      </c>
      <c r="J745" s="21" t="n">
        <f aca="false">IF(B745="","",MAX(ABS($A745/$B$6-F745),ABS(($A745-1)/$B$6-F745)))</f>
        <v>0.00836714967601115</v>
      </c>
      <c r="K745" s="21" t="n">
        <f aca="false">IF(B745="","",MAX(ABS($A745/$B$6-G745),ABS(($A745-1)/$B$6-G745)))</f>
        <v>0.0321752652783053</v>
      </c>
    </row>
    <row r="746" customFormat="false" ht="15" hidden="false" customHeight="false" outlineLevel="0" collapsed="false">
      <c r="A746" s="11" t="n">
        <v>710</v>
      </c>
      <c r="B746" s="9" t="n">
        <f aca="false">IF(A746&gt;$B$6,"",SMALL(BTC_Data!$C$3:$C$1002,A746))</f>
        <v>0.000511903260778324</v>
      </c>
      <c r="C746" s="21" t="n">
        <f aca="false">IF(B746="","",A746/$B$6)</f>
        <v>0.71</v>
      </c>
      <c r="D746" s="21" t="n">
        <f aca="false">IF(B746="","",NORMDIST(B746,$B$15,$B$16,TRUE()))</f>
        <v>0.659557095618693</v>
      </c>
      <c r="E746" s="21" t="n">
        <f aca="false">IF(B746="","",IF(B746&gt;=$B$15,1-TDIST((B746-$B$15)/$B$18,$B$17,1),TDIST(($B$15-B746)/$B$18,$B$17,1)))</f>
        <v>0.679297714139836</v>
      </c>
      <c r="F746" s="21" t="n">
        <f aca="false">IF(B746="","",IF(B746&lt;$B$19,0.5*EXP((B746-$B$19)/$B$20),1-0.5*EXP(-(B746-$B$19)/$B$20)))</f>
        <v>0.717830922593785</v>
      </c>
      <c r="G746" s="21" t="n">
        <f aca="false">IF(B746="","",1/(1+EXP(-(B746-$B$15)/$B$21)))</f>
        <v>0.67829197310842</v>
      </c>
      <c r="H746" s="21" t="n">
        <f aca="false">IF(B746="","",MAX(ABS($A746/$B$6-D746),ABS(($A746-1)/$B$6-D746)))</f>
        <v>0.0504429043813073</v>
      </c>
      <c r="I746" s="21" t="n">
        <f aca="false">IF(B746="","",MAX(ABS($A746/$B$6-E746),ABS(($A746-1)/$B$6-E746)))</f>
        <v>0.0307022858601635</v>
      </c>
      <c r="J746" s="21" t="n">
        <f aca="false">IF(B746="","",MAX(ABS($A746/$B$6-F746),ABS(($A746-1)/$B$6-F746)))</f>
        <v>0.00883092259378493</v>
      </c>
      <c r="K746" s="21" t="n">
        <f aca="false">IF(B746="","",MAX(ABS($A746/$B$6-G746),ABS(($A746-1)/$B$6-G746)))</f>
        <v>0.0317080268915799</v>
      </c>
    </row>
    <row r="747" customFormat="false" ht="15" hidden="false" customHeight="false" outlineLevel="0" collapsed="false">
      <c r="A747" s="11" t="n">
        <v>711</v>
      </c>
      <c r="B747" s="9" t="n">
        <f aca="false">IF(A747&gt;$B$6,"",SMALL(BTC_Data!$C$3:$C$1002,A747))</f>
        <v>0.000514272226313395</v>
      </c>
      <c r="C747" s="21" t="n">
        <f aca="false">IF(B747="","",A747/$B$6)</f>
        <v>0.711</v>
      </c>
      <c r="D747" s="21" t="n">
        <f aca="false">IF(B747="","",NORMDIST(B747,$B$15,$B$16,TRUE()))</f>
        <v>0.66023890581328</v>
      </c>
      <c r="E747" s="21" t="n">
        <f aca="false">IF(B747="","",IF(B747&gt;=$B$15,1-TDIST((B747-$B$15)/$B$18,$B$17,1),TDIST(($B$15-B747)/$B$18,$B$17,1)))</f>
        <v>0.680039218487725</v>
      </c>
      <c r="F747" s="21" t="n">
        <f aca="false">IF(B747="","",IF(B747&lt;$B$19,0.5*EXP((B747-$B$19)/$B$20),1-0.5*EXP(-(B747-$B$19)/$B$20)))</f>
        <v>0.718563607193346</v>
      </c>
      <c r="G747" s="21" t="n">
        <f aca="false">IF(B747="","",1/(1+EXP(-(B747-$B$15)/$B$21)))</f>
        <v>0.6790279296974</v>
      </c>
      <c r="H747" s="21" t="n">
        <f aca="false">IF(B747="","",MAX(ABS($A747/$B$6-D747),ABS(($A747-1)/$B$6-D747)))</f>
        <v>0.0507610941867201</v>
      </c>
      <c r="I747" s="21" t="n">
        <f aca="false">IF(B747="","",MAX(ABS($A747/$B$6-E747),ABS(($A747-1)/$B$6-E747)))</f>
        <v>0.0309607815122747</v>
      </c>
      <c r="J747" s="21" t="n">
        <f aca="false">IF(B747="","",MAX(ABS($A747/$B$6-F747),ABS(($A747-1)/$B$6-F747)))</f>
        <v>0.00856360719334615</v>
      </c>
      <c r="K747" s="21" t="n">
        <f aca="false">IF(B747="","",MAX(ABS($A747/$B$6-G747),ABS(($A747-1)/$B$6-G747)))</f>
        <v>0.0319720703026</v>
      </c>
    </row>
    <row r="748" customFormat="false" ht="15" hidden="false" customHeight="false" outlineLevel="0" collapsed="false">
      <c r="A748" s="11" t="n">
        <v>712</v>
      </c>
      <c r="B748" s="9" t="n">
        <f aca="false">IF(A748&gt;$B$6,"",SMALL(BTC_Data!$C$3:$C$1002,A748))</f>
        <v>0.00051465991707822</v>
      </c>
      <c r="C748" s="21" t="n">
        <f aca="false">IF(B748="","",A748/$B$6)</f>
        <v>0.712</v>
      </c>
      <c r="D748" s="21" t="n">
        <f aca="false">IF(B748="","",NORMDIST(B748,$B$15,$B$16,TRUE()))</f>
        <v>0.660350436972677</v>
      </c>
      <c r="E748" s="21" t="n">
        <f aca="false">IF(B748="","",IF(B748&gt;=$B$15,1-TDIST((B748-$B$15)/$B$18,$B$17,1),TDIST(($B$15-B748)/$B$18,$B$17,1)))</f>
        <v>0.680160484821186</v>
      </c>
      <c r="F748" s="21" t="n">
        <f aca="false">IF(B748="","",IF(B748&lt;$B$19,0.5*EXP((B748-$B$19)/$B$20),1-0.5*EXP(-(B748-$B$19)/$B$20)))</f>
        <v>0.718683332699085</v>
      </c>
      <c r="G748" s="21" t="n">
        <f aca="false">IF(B748="","",1/(1+EXP(-(B748-$B$15)/$B$21)))</f>
        <v>0.679148287405499</v>
      </c>
      <c r="H748" s="21" t="n">
        <f aca="false">IF(B748="","",MAX(ABS($A748/$B$6-D748),ABS(($A748-1)/$B$6-D748)))</f>
        <v>0.0516495630273226</v>
      </c>
      <c r="I748" s="21" t="n">
        <f aca="false">IF(B748="","",MAX(ABS($A748/$B$6-E748),ABS(($A748-1)/$B$6-E748)))</f>
        <v>0.0318395151788137</v>
      </c>
      <c r="J748" s="21" t="n">
        <f aca="false">IF(B748="","",MAX(ABS($A748/$B$6-F748),ABS(($A748-1)/$B$6-F748)))</f>
        <v>0.00768333269908494</v>
      </c>
      <c r="K748" s="21" t="n">
        <f aca="false">IF(B748="","",MAX(ABS($A748/$B$6-G748),ABS(($A748-1)/$B$6-G748)))</f>
        <v>0.0328517125945008</v>
      </c>
    </row>
    <row r="749" customFormat="false" ht="15" hidden="false" customHeight="false" outlineLevel="0" collapsed="false">
      <c r="A749" s="11" t="n">
        <v>713</v>
      </c>
      <c r="B749" s="9" t="n">
        <f aca="false">IF(A749&gt;$B$6,"",SMALL(BTC_Data!$C$3:$C$1002,A749))</f>
        <v>0.00051962841314479</v>
      </c>
      <c r="C749" s="21" t="n">
        <f aca="false">IF(B749="","",A749/$B$6)</f>
        <v>0.713</v>
      </c>
      <c r="D749" s="21" t="n">
        <f aca="false">IF(B749="","",NORMDIST(B749,$B$15,$B$16,TRUE()))</f>
        <v>0.661778531694409</v>
      </c>
      <c r="E749" s="21" t="n">
        <f aca="false">IF(B749="","",IF(B749&gt;=$B$15,1-TDIST((B749-$B$15)/$B$18,$B$17,1),TDIST(($B$15-B749)/$B$18,$B$17,1)))</f>
        <v>0.681712493000343</v>
      </c>
      <c r="F749" s="21" t="n">
        <f aca="false">IF(B749="","",IF(B749&lt;$B$19,0.5*EXP((B749-$B$19)/$B$20),1-0.5*EXP(-(B749-$B$19)/$B$20)))</f>
        <v>0.720213187458738</v>
      </c>
      <c r="G749" s="21" t="n">
        <f aca="false">IF(B749="","",1/(1+EXP(-(B749-$B$15)/$B$21)))</f>
        <v>0.680688633466742</v>
      </c>
      <c r="H749" s="21" t="n">
        <f aca="false">IF(B749="","",MAX(ABS($A749/$B$6-D749),ABS(($A749-1)/$B$6-D749)))</f>
        <v>0.0512214683055915</v>
      </c>
      <c r="I749" s="21" t="n">
        <f aca="false">IF(B749="","",MAX(ABS($A749/$B$6-E749),ABS(($A749-1)/$B$6-E749)))</f>
        <v>0.0312875069996572</v>
      </c>
      <c r="J749" s="21" t="n">
        <f aca="false">IF(B749="","",MAX(ABS($A749/$B$6-F749),ABS(($A749-1)/$B$6-F749)))</f>
        <v>0.00821318745873789</v>
      </c>
      <c r="K749" s="21" t="n">
        <f aca="false">IF(B749="","",MAX(ABS($A749/$B$6-G749),ABS(($A749-1)/$B$6-G749)))</f>
        <v>0.0323113665332578</v>
      </c>
    </row>
    <row r="750" customFormat="false" ht="15" hidden="false" customHeight="false" outlineLevel="0" collapsed="false">
      <c r="A750" s="11" t="n">
        <v>714</v>
      </c>
      <c r="B750" s="9" t="n">
        <f aca="false">IF(A750&gt;$B$6,"",SMALL(BTC_Data!$C$3:$C$1002,A750))</f>
        <v>0.000520111966359371</v>
      </c>
      <c r="C750" s="21" t="n">
        <f aca="false">IF(B750="","",A750/$B$6)</f>
        <v>0.714</v>
      </c>
      <c r="D750" s="21" t="n">
        <f aca="false">IF(B750="","",NORMDIST(B750,$B$15,$B$16,TRUE()))</f>
        <v>0.661917395590665</v>
      </c>
      <c r="E750" s="21" t="n">
        <f aca="false">IF(B750="","",IF(B750&gt;=$B$15,1-TDIST((B750-$B$15)/$B$18,$B$17,1),TDIST(($B$15-B750)/$B$18,$B$17,1)))</f>
        <v>0.681863332412677</v>
      </c>
      <c r="F750" s="21" t="n">
        <f aca="false">IF(B750="","",IF(B750&lt;$B$19,0.5*EXP((B750-$B$19)/$B$20),1-0.5*EXP(-(B750-$B$19)/$B$20)))</f>
        <v>0.720361633848362</v>
      </c>
      <c r="G750" s="21" t="n">
        <f aca="false">IF(B750="","",1/(1+EXP(-(B750-$B$15)/$B$21)))</f>
        <v>0.680838336156716</v>
      </c>
      <c r="H750" s="21" t="n">
        <f aca="false">IF(B750="","",MAX(ABS($A750/$B$6-D750),ABS(($A750-1)/$B$6-D750)))</f>
        <v>0.0520826044093352</v>
      </c>
      <c r="I750" s="21" t="n">
        <f aca="false">IF(B750="","",MAX(ABS($A750/$B$6-E750),ABS(($A750-1)/$B$6-E750)))</f>
        <v>0.0321366675873235</v>
      </c>
      <c r="J750" s="21" t="n">
        <f aca="false">IF(B750="","",MAX(ABS($A750/$B$6-F750),ABS(($A750-1)/$B$6-F750)))</f>
        <v>0.0073616338483623</v>
      </c>
      <c r="K750" s="21" t="n">
        <f aca="false">IF(B750="","",MAX(ABS($A750/$B$6-G750),ABS(($A750-1)/$B$6-G750)))</f>
        <v>0.0331616638432838</v>
      </c>
    </row>
    <row r="751" customFormat="false" ht="15" hidden="false" customHeight="false" outlineLevel="0" collapsed="false">
      <c r="A751" s="11" t="n">
        <v>715</v>
      </c>
      <c r="B751" s="9" t="n">
        <f aca="false">IF(A751&gt;$B$6,"",SMALL(BTC_Data!$C$3:$C$1002,A751))</f>
        <v>0.000524082211452503</v>
      </c>
      <c r="C751" s="21" t="n">
        <f aca="false">IF(B751="","",A751/$B$6)</f>
        <v>0.715</v>
      </c>
      <c r="D751" s="21" t="n">
        <f aca="false">IF(B751="","",NORMDIST(B751,$B$15,$B$16,TRUE()))</f>
        <v>0.663056712255166</v>
      </c>
      <c r="E751" s="21" t="n">
        <f aca="false">IF(B751="","",IF(B751&gt;=$B$15,1-TDIST((B751-$B$15)/$B$18,$B$17,1),TDIST(($B$15-B751)/$B$18,$B$17,1)))</f>
        <v>0.683100408528525</v>
      </c>
      <c r="F751" s="21" t="n">
        <f aca="false">IF(B751="","",IF(B751&lt;$B$19,0.5*EXP((B751-$B$19)/$B$20),1-0.5*EXP(-(B751-$B$19)/$B$20)))</f>
        <v>0.721577488257909</v>
      </c>
      <c r="G751" s="21" t="n">
        <f aca="false">IF(B751="","",1/(1+EXP(-(B751-$B$15)/$B$21)))</f>
        <v>0.682066067778274</v>
      </c>
      <c r="H751" s="21" t="n">
        <f aca="false">IF(B751="","",MAX(ABS($A751/$B$6-D751),ABS(($A751-1)/$B$6-D751)))</f>
        <v>0.0519432877448337</v>
      </c>
      <c r="I751" s="21" t="n">
        <f aca="false">IF(B751="","",MAX(ABS($A751/$B$6-E751),ABS(($A751-1)/$B$6-E751)))</f>
        <v>0.0318995914714753</v>
      </c>
      <c r="J751" s="21" t="n">
        <f aca="false">IF(B751="","",MAX(ABS($A751/$B$6-F751),ABS(($A751-1)/$B$6-F751)))</f>
        <v>0.00757748825790872</v>
      </c>
      <c r="K751" s="21" t="n">
        <f aca="false">IF(B751="","",MAX(ABS($A751/$B$6-G751),ABS(($A751-1)/$B$6-G751)))</f>
        <v>0.0329339322217264</v>
      </c>
    </row>
    <row r="752" customFormat="false" ht="15" hidden="false" customHeight="false" outlineLevel="0" collapsed="false">
      <c r="A752" s="11" t="n">
        <v>716</v>
      </c>
      <c r="B752" s="9" t="n">
        <f aca="false">IF(A752&gt;$B$6,"",SMALL(BTC_Data!$C$3:$C$1002,A752))</f>
        <v>0.000529457517833176</v>
      </c>
      <c r="C752" s="21" t="n">
        <f aca="false">IF(B752="","",A752/$B$6)</f>
        <v>0.716</v>
      </c>
      <c r="D752" s="21" t="n">
        <f aca="false">IF(B752="","",NORMDIST(B752,$B$15,$B$16,TRUE()))</f>
        <v>0.664596848258097</v>
      </c>
      <c r="E752" s="21" t="n">
        <f aca="false">IF(B752="","",IF(B752&gt;=$B$15,1-TDIST((B752-$B$15)/$B$18,$B$17,1),TDIST(($B$15-B752)/$B$18,$B$17,1)))</f>
        <v>0.684771287916473</v>
      </c>
      <c r="F752" s="21" t="n">
        <f aca="false">IF(B752="","",IF(B752&lt;$B$19,0.5*EXP((B752-$B$19)/$B$20),1-0.5*EXP(-(B752-$B$19)/$B$20)))</f>
        <v>0.723215211442388</v>
      </c>
      <c r="G752" s="21" t="n">
        <f aca="false">IF(B752="","",1/(1+EXP(-(B752-$B$15)/$B$21)))</f>
        <v>0.683724263926644</v>
      </c>
      <c r="H752" s="21" t="n">
        <f aca="false">IF(B752="","",MAX(ABS($A752/$B$6-D752),ABS(($A752-1)/$B$6-D752)))</f>
        <v>0.0514031517419034</v>
      </c>
      <c r="I752" s="21" t="n">
        <f aca="false">IF(B752="","",MAX(ABS($A752/$B$6-E752),ABS(($A752-1)/$B$6-E752)))</f>
        <v>0.0312287120835272</v>
      </c>
      <c r="J752" s="21" t="n">
        <f aca="false">IF(B752="","",MAX(ABS($A752/$B$6-F752),ABS(($A752-1)/$B$6-F752)))</f>
        <v>0.00821521144238813</v>
      </c>
      <c r="K752" s="21" t="n">
        <f aca="false">IF(B752="","",MAX(ABS($A752/$B$6-G752),ABS(($A752-1)/$B$6-G752)))</f>
        <v>0.0322757360733561</v>
      </c>
    </row>
    <row r="753" customFormat="false" ht="15" hidden="false" customHeight="false" outlineLevel="0" collapsed="false">
      <c r="A753" s="11" t="n">
        <v>717</v>
      </c>
      <c r="B753" s="9" t="n">
        <f aca="false">IF(A753&gt;$B$6,"",SMALL(BTC_Data!$C$3:$C$1002,A753))</f>
        <v>0.000538649953175652</v>
      </c>
      <c r="C753" s="21" t="n">
        <f aca="false">IF(B753="","",A753/$B$6)</f>
        <v>0.717</v>
      </c>
      <c r="D753" s="21" t="n">
        <f aca="false">IF(B753="","",NORMDIST(B753,$B$15,$B$16,TRUE()))</f>
        <v>0.667224259557911</v>
      </c>
      <c r="E753" s="21" t="n">
        <f aca="false">IF(B753="","",IF(B753&gt;=$B$15,1-TDIST((B753-$B$15)/$B$18,$B$17,1),TDIST(($B$15-B753)/$B$18,$B$17,1)))</f>
        <v>0.687617966875949</v>
      </c>
      <c r="F753" s="21" t="n">
        <f aca="false">IF(B753="","",IF(B753&lt;$B$19,0.5*EXP((B753-$B$19)/$B$20),1-0.5*EXP(-(B753-$B$19)/$B$20)))</f>
        <v>0.725993627167351</v>
      </c>
      <c r="G753" s="21" t="n">
        <f aca="false">IF(B753="","",1/(1+EXP(-(B753-$B$15)/$B$21)))</f>
        <v>0.686549171069558</v>
      </c>
      <c r="H753" s="21" t="n">
        <f aca="false">IF(B753="","",MAX(ABS($A753/$B$6-D753),ABS(($A753-1)/$B$6-D753)))</f>
        <v>0.0497757404420894</v>
      </c>
      <c r="I753" s="21" t="n">
        <f aca="false">IF(B753="","",MAX(ABS($A753/$B$6-E753),ABS(($A753-1)/$B$6-E753)))</f>
        <v>0.0293820331240514</v>
      </c>
      <c r="J753" s="21" t="n">
        <f aca="false">IF(B753="","",MAX(ABS($A753/$B$6-F753),ABS(($A753-1)/$B$6-F753)))</f>
        <v>0.00999362716735053</v>
      </c>
      <c r="K753" s="21" t="n">
        <f aca="false">IF(B753="","",MAX(ABS($A753/$B$6-G753),ABS(($A753-1)/$B$6-G753)))</f>
        <v>0.0304508289304419</v>
      </c>
    </row>
    <row r="754" customFormat="false" ht="15" hidden="false" customHeight="false" outlineLevel="0" collapsed="false">
      <c r="A754" s="11" t="n">
        <v>718</v>
      </c>
      <c r="B754" s="9" t="n">
        <f aca="false">IF(A754&gt;$B$6,"",SMALL(BTC_Data!$C$3:$C$1002,A754))</f>
        <v>0.000540396708853086</v>
      </c>
      <c r="C754" s="21" t="n">
        <f aca="false">IF(B754="","",A754/$B$6)</f>
        <v>0.718</v>
      </c>
      <c r="D754" s="21" t="n">
        <f aca="false">IF(B754="","",NORMDIST(B754,$B$15,$B$16,TRUE()))</f>
        <v>0.667722600616767</v>
      </c>
      <c r="E754" s="21" t="n">
        <f aca="false">IF(B754="","",IF(B754&gt;=$B$15,1-TDIST((B754-$B$15)/$B$18,$B$17,1),TDIST(($B$15-B754)/$B$18,$B$17,1)))</f>
        <v>0.688157354599534</v>
      </c>
      <c r="F754" s="21" t="n">
        <f aca="false">IF(B754="","",IF(B754&lt;$B$19,0.5*EXP((B754-$B$19)/$B$20),1-0.5*EXP(-(B754-$B$19)/$B$20)))</f>
        <v>0.726518422497014</v>
      </c>
      <c r="G754" s="21" t="n">
        <f aca="false">IF(B754="","",1/(1+EXP(-(B754-$B$15)/$B$21)))</f>
        <v>0.687084410351385</v>
      </c>
      <c r="H754" s="21" t="n">
        <f aca="false">IF(B754="","",MAX(ABS($A754/$B$6-D754),ABS(($A754-1)/$B$6-D754)))</f>
        <v>0.0502773993832331</v>
      </c>
      <c r="I754" s="21" t="n">
        <f aca="false">IF(B754="","",MAX(ABS($A754/$B$6-E754),ABS(($A754-1)/$B$6-E754)))</f>
        <v>0.0298426454004664</v>
      </c>
      <c r="J754" s="21" t="n">
        <f aca="false">IF(B754="","",MAX(ABS($A754/$B$6-F754),ABS(($A754-1)/$B$6-F754)))</f>
        <v>0.00951842249701396</v>
      </c>
      <c r="K754" s="21" t="n">
        <f aca="false">IF(B754="","",MAX(ABS($A754/$B$6-G754),ABS(($A754-1)/$B$6-G754)))</f>
        <v>0.0309155896486155</v>
      </c>
    </row>
    <row r="755" customFormat="false" ht="15" hidden="false" customHeight="false" outlineLevel="0" collapsed="false">
      <c r="A755" s="11" t="n">
        <v>719</v>
      </c>
      <c r="B755" s="9" t="n">
        <f aca="false">IF(A755&gt;$B$6,"",SMALL(BTC_Data!$C$3:$C$1002,A755))</f>
        <v>0.000540567580535889</v>
      </c>
      <c r="C755" s="21" t="n">
        <f aca="false">IF(B755="","",A755/$B$6)</f>
        <v>0.719</v>
      </c>
      <c r="D755" s="21" t="n">
        <f aca="false">IF(B755="","",NORMDIST(B755,$B$15,$B$16,TRUE()))</f>
        <v>0.667771333590723</v>
      </c>
      <c r="E755" s="21" t="n">
        <f aca="false">IF(B755="","",IF(B755&gt;=$B$15,1-TDIST((B755-$B$15)/$B$18,$B$17,1),TDIST(($B$15-B755)/$B$18,$B$17,1)))</f>
        <v>0.688210092214559</v>
      </c>
      <c r="F755" s="21" t="n">
        <f aca="false">IF(B755="","",IF(B755&lt;$B$19,0.5*EXP((B755-$B$19)/$B$20),1-0.5*EXP(-(B755-$B$19)/$B$20)))</f>
        <v>0.726569705188708</v>
      </c>
      <c r="G755" s="21" t="n">
        <f aca="false">IF(B755="","",1/(1+EXP(-(B755-$B$15)/$B$21)))</f>
        <v>0.687136741965934</v>
      </c>
      <c r="H755" s="21" t="n">
        <f aca="false">IF(B755="","",MAX(ABS($A755/$B$6-D755),ABS(($A755-1)/$B$6-D755)))</f>
        <v>0.051228666409277</v>
      </c>
      <c r="I755" s="21" t="n">
        <f aca="false">IF(B755="","",MAX(ABS($A755/$B$6-E755),ABS(($A755-1)/$B$6-E755)))</f>
        <v>0.0307899077854408</v>
      </c>
      <c r="J755" s="21" t="n">
        <f aca="false">IF(B755="","",MAX(ABS($A755/$B$6-F755),ABS(($A755-1)/$B$6-F755)))</f>
        <v>0.00856970518870837</v>
      </c>
      <c r="K755" s="21" t="n">
        <f aca="false">IF(B755="","",MAX(ABS($A755/$B$6-G755),ABS(($A755-1)/$B$6-G755)))</f>
        <v>0.0318632580340658</v>
      </c>
    </row>
    <row r="756" customFormat="false" ht="15" hidden="false" customHeight="false" outlineLevel="0" collapsed="false">
      <c r="A756" s="11" t="n">
        <v>720</v>
      </c>
      <c r="B756" s="9" t="n">
        <f aca="false">IF(A756&gt;$B$6,"",SMALL(BTC_Data!$C$3:$C$1002,A756))</f>
        <v>0.000544601207675299</v>
      </c>
      <c r="C756" s="21" t="n">
        <f aca="false">IF(B756="","",A756/$B$6)</f>
        <v>0.72</v>
      </c>
      <c r="D756" s="21" t="n">
        <f aca="false">IF(B756="","",NORMDIST(B756,$B$15,$B$16,TRUE()))</f>
        <v>0.66892090734735</v>
      </c>
      <c r="E756" s="21" t="n">
        <f aca="false">IF(B756="","",IF(B756&gt;=$B$15,1-TDIST((B756-$B$15)/$B$18,$B$17,1),TDIST(($B$15-B756)/$B$18,$B$17,1)))</f>
        <v>0.689453648860105</v>
      </c>
      <c r="F756" s="21" t="n">
        <f aca="false">IF(B756="","",IF(B756&lt;$B$19,0.5*EXP((B756-$B$19)/$B$20),1-0.5*EXP(-(B756-$B$19)/$B$20)))</f>
        <v>0.727777504526679</v>
      </c>
      <c r="G756" s="21" t="n">
        <f aca="false">IF(B756="","",1/(1+EXP(-(B756-$B$15)/$B$21)))</f>
        <v>0.688370704759788</v>
      </c>
      <c r="H756" s="21" t="n">
        <f aca="false">IF(B756="","",MAX(ABS($A756/$B$6-D756),ABS(($A756-1)/$B$6-D756)))</f>
        <v>0.05107909265265</v>
      </c>
      <c r="I756" s="21" t="n">
        <f aca="false">IF(B756="","",MAX(ABS($A756/$B$6-E756),ABS(($A756-1)/$B$6-E756)))</f>
        <v>0.0305463511398952</v>
      </c>
      <c r="J756" s="21" t="n">
        <f aca="false">IF(B756="","",MAX(ABS($A756/$B$6-F756),ABS(($A756-1)/$B$6-F756)))</f>
        <v>0.00877750452667925</v>
      </c>
      <c r="K756" s="21" t="n">
        <f aca="false">IF(B756="","",MAX(ABS($A756/$B$6-G756),ABS(($A756-1)/$B$6-G756)))</f>
        <v>0.0316292952402124</v>
      </c>
    </row>
    <row r="757" customFormat="false" ht="15" hidden="false" customHeight="false" outlineLevel="0" collapsed="false">
      <c r="A757" s="11" t="n">
        <v>721</v>
      </c>
      <c r="B757" s="9" t="n">
        <f aca="false">IF(A757&gt;$B$6,"",SMALL(BTC_Data!$C$3:$C$1002,A757))</f>
        <v>0.000553525964857693</v>
      </c>
      <c r="C757" s="21" t="n">
        <f aca="false">IF(B757="","",A757/$B$6)</f>
        <v>0.721</v>
      </c>
      <c r="D757" s="21" t="n">
        <f aca="false">IF(B757="","",NORMDIST(B757,$B$15,$B$16,TRUE()))</f>
        <v>0.671458776225031</v>
      </c>
      <c r="E757" s="21" t="n">
        <f aca="false">IF(B757="","",IF(B757&gt;=$B$15,1-TDIST((B757-$B$15)/$B$18,$B$17,1),TDIST(($B$15-B757)/$B$18,$B$17,1)))</f>
        <v>0.692195692368423</v>
      </c>
      <c r="F757" s="21" t="n">
        <f aca="false">IF(B757="","",IF(B757&lt;$B$19,0.5*EXP((B757-$B$19)/$B$20),1-0.5*EXP(-(B757-$B$19)/$B$20)))</f>
        <v>0.730430940019878</v>
      </c>
      <c r="G757" s="21" t="n">
        <f aca="false">IF(B757="","",1/(1+EXP(-(B757-$B$15)/$B$21)))</f>
        <v>0.691091456438086</v>
      </c>
      <c r="H757" s="21" t="n">
        <f aca="false">IF(B757="","",MAX(ABS($A757/$B$6-D757),ABS(($A757-1)/$B$6-D757)))</f>
        <v>0.0495412237749687</v>
      </c>
      <c r="I757" s="21" t="n">
        <f aca="false">IF(B757="","",MAX(ABS($A757/$B$6-E757),ABS(($A757-1)/$B$6-E757)))</f>
        <v>0.0288043076315766</v>
      </c>
      <c r="J757" s="21" t="n">
        <f aca="false">IF(B757="","",MAX(ABS($A757/$B$6-F757),ABS(($A757-1)/$B$6-F757)))</f>
        <v>0.0104309400198775</v>
      </c>
      <c r="K757" s="21" t="n">
        <f aca="false">IF(B757="","",MAX(ABS($A757/$B$6-G757),ABS(($A757-1)/$B$6-G757)))</f>
        <v>0.029908543561914</v>
      </c>
    </row>
    <row r="758" customFormat="false" ht="15" hidden="false" customHeight="false" outlineLevel="0" collapsed="false">
      <c r="A758" s="11" t="n">
        <v>722</v>
      </c>
      <c r="B758" s="9" t="n">
        <f aca="false">IF(A758&gt;$B$6,"",SMALL(BTC_Data!$C$3:$C$1002,A758))</f>
        <v>0.000558358829094496</v>
      </c>
      <c r="C758" s="21" t="n">
        <f aca="false">IF(B758="","",A758/$B$6)</f>
        <v>0.722</v>
      </c>
      <c r="D758" s="21" t="n">
        <f aca="false">IF(B758="","",NORMDIST(B758,$B$15,$B$16,TRUE()))</f>
        <v>0.672829778349677</v>
      </c>
      <c r="E758" s="21" t="n">
        <f aca="false">IF(B758="","",IF(B758&gt;=$B$15,1-TDIST((B758-$B$15)/$B$18,$B$17,1),TDIST(($B$15-B758)/$B$18,$B$17,1)))</f>
        <v>0.693675081468536</v>
      </c>
      <c r="F758" s="21" t="n">
        <f aca="false">IF(B758="","",IF(B758&lt;$B$19,0.5*EXP((B758-$B$19)/$B$20),1-0.5*EXP(-(B758-$B$19)/$B$20)))</f>
        <v>0.731856996487684</v>
      </c>
      <c r="G758" s="21" t="n">
        <f aca="false">IF(B758="","",1/(1+EXP(-(B758-$B$15)/$B$21)))</f>
        <v>0.692559280040862</v>
      </c>
      <c r="H758" s="21" t="n">
        <f aca="false">IF(B758="","",MAX(ABS($A758/$B$6-D758),ABS(($A758-1)/$B$6-D758)))</f>
        <v>0.0491702216503227</v>
      </c>
      <c r="I758" s="21" t="n">
        <f aca="false">IF(B758="","",MAX(ABS($A758/$B$6-E758),ABS(($A758-1)/$B$6-E758)))</f>
        <v>0.0283249185314644</v>
      </c>
      <c r="J758" s="21" t="n">
        <f aca="false">IF(B758="","",MAX(ABS($A758/$B$6-F758),ABS(($A758-1)/$B$6-F758)))</f>
        <v>0.010856996487684</v>
      </c>
      <c r="K758" s="21" t="n">
        <f aca="false">IF(B758="","",MAX(ABS($A758/$B$6-G758),ABS(($A758-1)/$B$6-G758)))</f>
        <v>0.0294407199591377</v>
      </c>
    </row>
    <row r="759" customFormat="false" ht="15" hidden="false" customHeight="false" outlineLevel="0" collapsed="false">
      <c r="A759" s="11" t="n">
        <v>723</v>
      </c>
      <c r="B759" s="9" t="n">
        <f aca="false">IF(A759&gt;$B$6,"",SMALL(BTC_Data!$C$3:$C$1002,A759))</f>
        <v>0.000562644395898149</v>
      </c>
      <c r="C759" s="21" t="n">
        <f aca="false">IF(B759="","",A759/$B$6)</f>
        <v>0.723</v>
      </c>
      <c r="D759" s="21" t="n">
        <f aca="false">IF(B759="","",NORMDIST(B759,$B$15,$B$16,TRUE()))</f>
        <v>0.674043574420995</v>
      </c>
      <c r="E759" s="21" t="n">
        <f aca="false">IF(B759="","",IF(B759&gt;=$B$15,1-TDIST((B759-$B$15)/$B$18,$B$17,1),TDIST(($B$15-B759)/$B$18,$B$17,1)))</f>
        <v>0.694983706635257</v>
      </c>
      <c r="F759" s="21" t="n">
        <f aca="false">IF(B759="","",IF(B759&lt;$B$19,0.5*EXP((B759-$B$19)/$B$20),1-0.5*EXP(-(B759-$B$19)/$B$20)))</f>
        <v>0.733115247091576</v>
      </c>
      <c r="G759" s="21" t="n">
        <f aca="false">IF(B759="","",1/(1+EXP(-(B759-$B$15)/$B$21)))</f>
        <v>0.69385762931709</v>
      </c>
      <c r="H759" s="21" t="n">
        <f aca="false">IF(B759="","",MAX(ABS($A759/$B$6-D759),ABS(($A759-1)/$B$6-D759)))</f>
        <v>0.0489564255790048</v>
      </c>
      <c r="I759" s="21" t="n">
        <f aca="false">IF(B759="","",MAX(ABS($A759/$B$6-E759),ABS(($A759-1)/$B$6-E759)))</f>
        <v>0.0280162933647431</v>
      </c>
      <c r="J759" s="21" t="n">
        <f aca="false">IF(B759="","",MAX(ABS($A759/$B$6-F759),ABS(($A759-1)/$B$6-F759)))</f>
        <v>0.0111152470915761</v>
      </c>
      <c r="K759" s="21" t="n">
        <f aca="false">IF(B759="","",MAX(ABS($A759/$B$6-G759),ABS(($A759-1)/$B$6-G759)))</f>
        <v>0.0291423706829099</v>
      </c>
    </row>
    <row r="760" customFormat="false" ht="15" hidden="false" customHeight="false" outlineLevel="0" collapsed="false">
      <c r="A760" s="11" t="n">
        <v>724</v>
      </c>
      <c r="B760" s="9" t="n">
        <f aca="false">IF(A760&gt;$B$6,"",SMALL(BTC_Data!$C$3:$C$1002,A760))</f>
        <v>0.000566300979697898</v>
      </c>
      <c r="C760" s="21" t="n">
        <f aca="false">IF(B760="","",A760/$B$6)</f>
        <v>0.724</v>
      </c>
      <c r="D760" s="21" t="n">
        <f aca="false">IF(B760="","",NORMDIST(B760,$B$15,$B$16,TRUE()))</f>
        <v>0.675077768808519</v>
      </c>
      <c r="E760" s="21" t="n">
        <f aca="false">IF(B760="","",IF(B760&gt;=$B$15,1-TDIST((B760-$B$15)/$B$18,$B$17,1),TDIST(($B$15-B760)/$B$18,$B$17,1)))</f>
        <v>0.696097855994209</v>
      </c>
      <c r="F760" s="21" t="n">
        <f aca="false">IF(B760="","",IF(B760&lt;$B$19,0.5*EXP((B760-$B$19)/$B$20),1-0.5*EXP(-(B760-$B$19)/$B$20)))</f>
        <v>0.734184157966379</v>
      </c>
      <c r="G760" s="21" t="n">
        <f aca="false">IF(B760="","",1/(1+EXP(-(B760-$B$15)/$B$21)))</f>
        <v>0.694962996460143</v>
      </c>
      <c r="H760" s="21" t="n">
        <f aca="false">IF(B760="","",MAX(ABS($A760/$B$6-D760),ABS(($A760-1)/$B$6-D760)))</f>
        <v>0.0489222311914811</v>
      </c>
      <c r="I760" s="21" t="n">
        <f aca="false">IF(B760="","",MAX(ABS($A760/$B$6-E760),ABS(($A760-1)/$B$6-E760)))</f>
        <v>0.0279021440057909</v>
      </c>
      <c r="J760" s="21" t="n">
        <f aca="false">IF(B760="","",MAX(ABS($A760/$B$6-F760),ABS(($A760-1)/$B$6-F760)))</f>
        <v>0.0111841579663793</v>
      </c>
      <c r="K760" s="21" t="n">
        <f aca="false">IF(B760="","",MAX(ABS($A760/$B$6-G760),ABS(($A760-1)/$B$6-G760)))</f>
        <v>0.0290370035398569</v>
      </c>
    </row>
    <row r="761" customFormat="false" ht="15" hidden="false" customHeight="false" outlineLevel="0" collapsed="false">
      <c r="A761" s="11" t="n">
        <v>725</v>
      </c>
      <c r="B761" s="9" t="n">
        <f aca="false">IF(A761&gt;$B$6,"",SMALL(BTC_Data!$C$3:$C$1002,A761))</f>
        <v>0.000567161429170904</v>
      </c>
      <c r="C761" s="21" t="n">
        <f aca="false">IF(B761="","",A761/$B$6)</f>
        <v>0.725</v>
      </c>
      <c r="D761" s="21" t="n">
        <f aca="false">IF(B761="","",NORMDIST(B761,$B$15,$B$16,TRUE()))</f>
        <v>0.67532093479467</v>
      </c>
      <c r="E761" s="21" t="n">
        <f aca="false">IF(B761="","",IF(B761&gt;=$B$15,1-TDIST((B761-$B$15)/$B$18,$B$17,1),TDIST(($B$15-B761)/$B$18,$B$17,1)))</f>
        <v>0.696359708403676</v>
      </c>
      <c r="F761" s="21" t="n">
        <f aca="false">IF(B761="","",IF(B761&lt;$B$19,0.5*EXP((B761-$B$19)/$B$20),1-0.5*EXP(-(B761-$B$19)/$B$20)))</f>
        <v>0.734435065987437</v>
      </c>
      <c r="G761" s="21" t="n">
        <f aca="false">IF(B761="","",1/(1+EXP(-(B761-$B$15)/$B$21)))</f>
        <v>0.69522278038473</v>
      </c>
      <c r="H761" s="21" t="n">
        <f aca="false">IF(B761="","",MAX(ABS($A761/$B$6-D761),ABS(($A761-1)/$B$6-D761)))</f>
        <v>0.0496790652053305</v>
      </c>
      <c r="I761" s="21" t="n">
        <f aca="false">IF(B761="","",MAX(ABS($A761/$B$6-E761),ABS(($A761-1)/$B$6-E761)))</f>
        <v>0.0286402915963242</v>
      </c>
      <c r="J761" s="21" t="n">
        <f aca="false">IF(B761="","",MAX(ABS($A761/$B$6-F761),ABS(($A761-1)/$B$6-F761)))</f>
        <v>0.0104350659874368</v>
      </c>
      <c r="K761" s="21" t="n">
        <f aca="false">IF(B761="","",MAX(ABS($A761/$B$6-G761),ABS(($A761-1)/$B$6-G761)))</f>
        <v>0.0297772196152702</v>
      </c>
    </row>
    <row r="762" customFormat="false" ht="15" hidden="false" customHeight="false" outlineLevel="0" collapsed="false">
      <c r="A762" s="11" t="n">
        <v>726</v>
      </c>
      <c r="B762" s="9" t="n">
        <f aca="false">IF(A762&gt;$B$6,"",SMALL(BTC_Data!$C$3:$C$1002,A762))</f>
        <v>0.000570105321662462</v>
      </c>
      <c r="C762" s="21" t="n">
        <f aca="false">IF(B762="","",A762/$B$6)</f>
        <v>0.726</v>
      </c>
      <c r="D762" s="21" t="n">
        <f aca="false">IF(B762="","",NORMDIST(B762,$B$15,$B$16,TRUE()))</f>
        <v>0.676152323417355</v>
      </c>
      <c r="E762" s="21" t="n">
        <f aca="false">IF(B762="","",IF(B762&gt;=$B$15,1-TDIST((B762-$B$15)/$B$18,$B$17,1),TDIST(($B$15-B762)/$B$18,$B$17,1)))</f>
        <v>0.69725465979974</v>
      </c>
      <c r="F762" s="21" t="n">
        <f aca="false">IF(B762="","",IF(B762&lt;$B$19,0.5*EXP((B762-$B$19)/$B$20),1-0.5*EXP(-(B762-$B$19)/$B$20)))</f>
        <v>0.735291718365968</v>
      </c>
      <c r="G762" s="21" t="n">
        <f aca="false">IF(B762="","",1/(1+EXP(-(B762-$B$15)/$B$21)))</f>
        <v>0.696110649426658</v>
      </c>
      <c r="H762" s="21" t="n">
        <f aca="false">IF(B762="","",MAX(ABS($A762/$B$6-D762),ABS(($A762-1)/$B$6-D762)))</f>
        <v>0.0498476765826446</v>
      </c>
      <c r="I762" s="21" t="n">
        <f aca="false">IF(B762="","",MAX(ABS($A762/$B$6-E762),ABS(($A762-1)/$B$6-E762)))</f>
        <v>0.02874534020026</v>
      </c>
      <c r="J762" s="21" t="n">
        <f aca="false">IF(B762="","",MAX(ABS($A762/$B$6-F762),ABS(($A762-1)/$B$6-F762)))</f>
        <v>0.0102917183659675</v>
      </c>
      <c r="K762" s="21" t="n">
        <f aca="false">IF(B762="","",MAX(ABS($A762/$B$6-G762),ABS(($A762-1)/$B$6-G762)))</f>
        <v>0.0298893505733417</v>
      </c>
    </row>
    <row r="763" customFormat="false" ht="15" hidden="false" customHeight="false" outlineLevel="0" collapsed="false">
      <c r="A763" s="11" t="n">
        <v>727</v>
      </c>
      <c r="B763" s="9" t="n">
        <f aca="false">IF(A763&gt;$B$6,"",SMALL(BTC_Data!$C$3:$C$1002,A763))</f>
        <v>0.000571021324023535</v>
      </c>
      <c r="C763" s="21" t="n">
        <f aca="false">IF(B763="","",A763/$B$6)</f>
        <v>0.727</v>
      </c>
      <c r="D763" s="21" t="n">
        <f aca="false">IF(B763="","",NORMDIST(B763,$B$15,$B$16,TRUE()))</f>
        <v>0.676410833948174</v>
      </c>
      <c r="E763" s="21" t="n">
        <f aca="false">IF(B763="","",IF(B763&gt;=$B$15,1-TDIST((B763-$B$15)/$B$18,$B$17,1),TDIST(($B$15-B763)/$B$18,$B$17,1)))</f>
        <v>0.697532831239003</v>
      </c>
      <c r="F763" s="21" t="n">
        <f aca="false">IF(B763="","",IF(B763&lt;$B$19,0.5*EXP((B763-$B$19)/$B$20),1-0.5*EXP(-(B763-$B$19)/$B$20)))</f>
        <v>0.73555770462189</v>
      </c>
      <c r="G763" s="21" t="n">
        <f aca="false">IF(B763="","",1/(1+EXP(-(B763-$B$15)/$B$21)))</f>
        <v>0.696386615496642</v>
      </c>
      <c r="H763" s="21" t="n">
        <f aca="false">IF(B763="","",MAX(ABS($A763/$B$6-D763),ABS(($A763-1)/$B$6-D763)))</f>
        <v>0.0505891660518262</v>
      </c>
      <c r="I763" s="21" t="n">
        <f aca="false">IF(B763="","",MAX(ABS($A763/$B$6-E763),ABS(($A763-1)/$B$6-E763)))</f>
        <v>0.0294671687609973</v>
      </c>
      <c r="J763" s="21" t="n">
        <f aca="false">IF(B763="","",MAX(ABS($A763/$B$6-F763),ABS(($A763-1)/$B$6-F763)))</f>
        <v>0.00955770462188954</v>
      </c>
      <c r="K763" s="21" t="n">
        <f aca="false">IF(B763="","",MAX(ABS($A763/$B$6-G763),ABS(($A763-1)/$B$6-G763)))</f>
        <v>0.030613384503358</v>
      </c>
    </row>
    <row r="764" customFormat="false" ht="15" hidden="false" customHeight="false" outlineLevel="0" collapsed="false">
      <c r="A764" s="11" t="n">
        <v>728</v>
      </c>
      <c r="B764" s="9" t="n">
        <f aca="false">IF(A764&gt;$B$6,"",SMALL(BTC_Data!$C$3:$C$1002,A764))</f>
        <v>0.000571835595618353</v>
      </c>
      <c r="C764" s="21" t="n">
        <f aca="false">IF(B764="","",A764/$B$6)</f>
        <v>0.728</v>
      </c>
      <c r="D764" s="21" t="n">
        <f aca="false">IF(B764="","",NORMDIST(B764,$B$15,$B$16,TRUE()))</f>
        <v>0.676640562978678</v>
      </c>
      <c r="E764" s="21" t="n">
        <f aca="false">IF(B764="","",IF(B764&gt;=$B$15,1-TDIST((B764-$B$15)/$B$18,$B$17,1),TDIST(($B$15-B764)/$B$18,$B$17,1)))</f>
        <v>0.697779991038632</v>
      </c>
      <c r="F764" s="21" t="n">
        <f aca="false">IF(B764="","",IF(B764&lt;$B$19,0.5*EXP((B764-$B$19)/$B$20),1-0.5*EXP(-(B764-$B$19)/$B$20)))</f>
        <v>0.735793926173973</v>
      </c>
      <c r="G764" s="21" t="n">
        <f aca="false">IF(B764="","",1/(1+EXP(-(B764-$B$15)/$B$21)))</f>
        <v>0.696631814197158</v>
      </c>
      <c r="H764" s="21" t="n">
        <f aca="false">IF(B764="","",MAX(ABS($A764/$B$6-D764),ABS(($A764-1)/$B$6-D764)))</f>
        <v>0.0513594370213223</v>
      </c>
      <c r="I764" s="21" t="n">
        <f aca="false">IF(B764="","",MAX(ABS($A764/$B$6-E764),ABS(($A764-1)/$B$6-E764)))</f>
        <v>0.0302200089613677</v>
      </c>
      <c r="J764" s="21" t="n">
        <f aca="false">IF(B764="","",MAX(ABS($A764/$B$6-F764),ABS(($A764-1)/$B$6-F764)))</f>
        <v>0.00879392617397279</v>
      </c>
      <c r="K764" s="21" t="n">
        <f aca="false">IF(B764="","",MAX(ABS($A764/$B$6-G764),ABS(($A764-1)/$B$6-G764)))</f>
        <v>0.031368185802842</v>
      </c>
    </row>
    <row r="765" customFormat="false" ht="15" hidden="false" customHeight="false" outlineLevel="0" collapsed="false">
      <c r="A765" s="11" t="n">
        <v>729</v>
      </c>
      <c r="B765" s="9" t="n">
        <f aca="false">IF(A765&gt;$B$6,"",SMALL(BTC_Data!$C$3:$C$1002,A765))</f>
        <v>0.000577201533453975</v>
      </c>
      <c r="C765" s="21" t="n">
        <f aca="false">IF(B765="","",A765/$B$6)</f>
        <v>0.729</v>
      </c>
      <c r="D765" s="21" t="n">
        <f aca="false">IF(B765="","",NORMDIST(B765,$B$15,$B$16,TRUE()))</f>
        <v>0.678152758554316</v>
      </c>
      <c r="E765" s="21" t="n">
        <f aca="false">IF(B765="","",IF(B765&gt;=$B$15,1-TDIST((B765-$B$15)/$B$18,$B$17,1),TDIST(($B$15-B765)/$B$18,$B$17,1)))</f>
        <v>0.699405954596528</v>
      </c>
      <c r="F765" s="21" t="n">
        <f aca="false">IF(B765="","",IF(B765&lt;$B$19,0.5*EXP((B765-$B$19)/$B$20),1-0.5*EXP(-(B765-$B$19)/$B$20)))</f>
        <v>0.737345325476917</v>
      </c>
      <c r="G765" s="21" t="n">
        <f aca="false">IF(B765="","",1/(1+EXP(-(B765-$B$15)/$B$21)))</f>
        <v>0.698244839222749</v>
      </c>
      <c r="H765" s="21" t="n">
        <f aca="false">IF(B765="","",MAX(ABS($A765/$B$6-D765),ABS(($A765-1)/$B$6-D765)))</f>
        <v>0.0508472414456843</v>
      </c>
      <c r="I765" s="21" t="n">
        <f aca="false">IF(B765="","",MAX(ABS($A765/$B$6-E765),ABS(($A765-1)/$B$6-E765)))</f>
        <v>0.0295940454034721</v>
      </c>
      <c r="J765" s="21" t="n">
        <f aca="false">IF(B765="","",MAX(ABS($A765/$B$6-F765),ABS(($A765-1)/$B$6-F765)))</f>
        <v>0.00934532547691713</v>
      </c>
      <c r="K765" s="21" t="n">
        <f aca="false">IF(B765="","",MAX(ABS($A765/$B$6-G765),ABS(($A765-1)/$B$6-G765)))</f>
        <v>0.030755160777251</v>
      </c>
    </row>
    <row r="766" customFormat="false" ht="15" hidden="false" customHeight="false" outlineLevel="0" collapsed="false">
      <c r="A766" s="11" t="n">
        <v>730</v>
      </c>
      <c r="B766" s="9" t="n">
        <f aca="false">IF(A766&gt;$B$6,"",SMALL(BTC_Data!$C$3:$C$1002,A766))</f>
        <v>0.000583638944375409</v>
      </c>
      <c r="C766" s="21" t="n">
        <f aca="false">IF(B766="","",A766/$B$6)</f>
        <v>0.73</v>
      </c>
      <c r="D766" s="21" t="n">
        <f aca="false">IF(B766="","",NORMDIST(B766,$B$15,$B$16,TRUE()))</f>
        <v>0.67996302260562</v>
      </c>
      <c r="E766" s="21" t="n">
        <f aca="false">IF(B766="","",IF(B766&gt;=$B$15,1-TDIST((B766-$B$15)/$B$18,$B$17,1),TDIST(($B$15-B766)/$B$18,$B$17,1)))</f>
        <v>0.701350181984728</v>
      </c>
      <c r="F766" s="21" t="n">
        <f aca="false">IF(B766="","",IF(B766&lt;$B$19,0.5*EXP((B766-$B$19)/$B$20),1-0.5*EXP(-(B766-$B$19)/$B$20)))</f>
        <v>0.739194493788184</v>
      </c>
      <c r="G766" s="21" t="n">
        <f aca="false">IF(B766="","",1/(1+EXP(-(B766-$B$15)/$B$21)))</f>
        <v>0.700173511037051</v>
      </c>
      <c r="H766" s="21" t="n">
        <f aca="false">IF(B766="","",MAX(ABS($A766/$B$6-D766),ABS(($A766-1)/$B$6-D766)))</f>
        <v>0.0500369773943805</v>
      </c>
      <c r="I766" s="21" t="n">
        <f aca="false">IF(B766="","",MAX(ABS($A766/$B$6-E766),ABS(($A766-1)/$B$6-E766)))</f>
        <v>0.0286498180152723</v>
      </c>
      <c r="J766" s="21" t="n">
        <f aca="false">IF(B766="","",MAX(ABS($A766/$B$6-F766),ABS(($A766-1)/$B$6-F766)))</f>
        <v>0.0101944937881843</v>
      </c>
      <c r="K766" s="21" t="n">
        <f aca="false">IF(B766="","",MAX(ABS($A766/$B$6-G766),ABS(($A766-1)/$B$6-G766)))</f>
        <v>0.0298264889629493</v>
      </c>
    </row>
    <row r="767" customFormat="false" ht="15" hidden="false" customHeight="false" outlineLevel="0" collapsed="false">
      <c r="A767" s="11" t="n">
        <v>731</v>
      </c>
      <c r="B767" s="9" t="n">
        <f aca="false">IF(A767&gt;$B$6,"",SMALL(BTC_Data!$C$3:$C$1002,A767))</f>
        <v>0.000585026772512487</v>
      </c>
      <c r="C767" s="21" t="n">
        <f aca="false">IF(B767="","",A767/$B$6)</f>
        <v>0.731</v>
      </c>
      <c r="D767" s="21" t="n">
        <f aca="false">IF(B767="","",NORMDIST(B767,$B$15,$B$16,TRUE()))</f>
        <v>0.680352734818587</v>
      </c>
      <c r="E767" s="21" t="n">
        <f aca="false">IF(B767="","",IF(B767&gt;=$B$15,1-TDIST((B767-$B$15)/$B$18,$B$17,1),TDIST(($B$15-B767)/$B$18,$B$17,1)))</f>
        <v>0.701768413873421</v>
      </c>
      <c r="F767" s="21" t="n">
        <f aca="false">IF(B767="","",IF(B767&lt;$B$19,0.5*EXP((B767-$B$19)/$B$20),1-0.5*EXP(-(B767-$B$19)/$B$20)))</f>
        <v>0.739591443138095</v>
      </c>
      <c r="G767" s="21" t="n">
        <f aca="false">IF(B767="","",1/(1+EXP(-(B767-$B$15)/$B$21)))</f>
        <v>0.700588384738861</v>
      </c>
      <c r="H767" s="21" t="n">
        <f aca="false">IF(B767="","",MAX(ABS($A767/$B$6-D767),ABS(($A767-1)/$B$6-D767)))</f>
        <v>0.0506472651814126</v>
      </c>
      <c r="I767" s="21" t="n">
        <f aca="false">IF(B767="","",MAX(ABS($A767/$B$6-E767),ABS(($A767-1)/$B$6-E767)))</f>
        <v>0.0292315861265793</v>
      </c>
      <c r="J767" s="21" t="n">
        <f aca="false">IF(B767="","",MAX(ABS($A767/$B$6-F767),ABS(($A767-1)/$B$6-F767)))</f>
        <v>0.00959144313809546</v>
      </c>
      <c r="K767" s="21" t="n">
        <f aca="false">IF(B767="","",MAX(ABS($A767/$B$6-G767),ABS(($A767-1)/$B$6-G767)))</f>
        <v>0.0304116152611391</v>
      </c>
    </row>
    <row r="768" customFormat="false" ht="15" hidden="false" customHeight="false" outlineLevel="0" collapsed="false">
      <c r="A768" s="11" t="n">
        <v>732</v>
      </c>
      <c r="B768" s="9" t="n">
        <f aca="false">IF(A768&gt;$B$6,"",SMALL(BTC_Data!$C$3:$C$1002,A768))</f>
        <v>0.000586570921150997</v>
      </c>
      <c r="C768" s="21" t="n">
        <f aca="false">IF(B768="","",A768/$B$6)</f>
        <v>0.732</v>
      </c>
      <c r="D768" s="21" t="n">
        <f aca="false">IF(B768="","",NORMDIST(B768,$B$15,$B$16,TRUE()))</f>
        <v>0.680786109017041</v>
      </c>
      <c r="E768" s="21" t="n">
        <f aca="false">IF(B768="","",IF(B768&gt;=$B$15,1-TDIST((B768-$B$15)/$B$18,$B$17,1),TDIST(($B$15-B768)/$B$18,$B$17,1)))</f>
        <v>0.702233369316668</v>
      </c>
      <c r="F768" s="21" t="n">
        <f aca="false">IF(B768="","",IF(B768&lt;$B$19,0.5*EXP((B768-$B$19)/$B$20),1-0.5*EXP(-(B768-$B$19)/$B$20)))</f>
        <v>0.740032393556873</v>
      </c>
      <c r="G768" s="21" t="n">
        <f aca="false">IF(B768="","",1/(1+EXP(-(B768-$B$15)/$B$21)))</f>
        <v>0.701049601882346</v>
      </c>
      <c r="H768" s="21" t="n">
        <f aca="false">IF(B768="","",MAX(ABS($A768/$B$6-D768),ABS(($A768-1)/$B$6-D768)))</f>
        <v>0.0512138909829595</v>
      </c>
      <c r="I768" s="21" t="n">
        <f aca="false">IF(B768="","",MAX(ABS($A768/$B$6-E768),ABS(($A768-1)/$B$6-E768)))</f>
        <v>0.0297666306833319</v>
      </c>
      <c r="J768" s="21" t="n">
        <f aca="false">IF(B768="","",MAX(ABS($A768/$B$6-F768),ABS(($A768-1)/$B$6-F768)))</f>
        <v>0.00903239355687335</v>
      </c>
      <c r="K768" s="21" t="n">
        <f aca="false">IF(B768="","",MAX(ABS($A768/$B$6-G768),ABS(($A768-1)/$B$6-G768)))</f>
        <v>0.030950398117654</v>
      </c>
    </row>
    <row r="769" customFormat="false" ht="15" hidden="false" customHeight="false" outlineLevel="0" collapsed="false">
      <c r="A769" s="11" t="n">
        <v>733</v>
      </c>
      <c r="B769" s="9" t="n">
        <f aca="false">IF(A769&gt;$B$6,"",SMALL(BTC_Data!$C$3:$C$1002,A769))</f>
        <v>0.000594144258931229</v>
      </c>
      <c r="C769" s="21" t="n">
        <f aca="false">IF(B769="","",A769/$B$6)</f>
        <v>0.733</v>
      </c>
      <c r="D769" s="21" t="n">
        <f aca="false">IF(B769="","",NORMDIST(B769,$B$15,$B$16,TRUE()))</f>
        <v>0.682908025518519</v>
      </c>
      <c r="E769" s="21" t="n">
        <f aca="false">IF(B769="","",IF(B769&gt;=$B$15,1-TDIST((B769-$B$15)/$B$18,$B$17,1),TDIST(($B$15-B769)/$B$18,$B$17,1)))</f>
        <v>0.704507873903199</v>
      </c>
      <c r="F769" s="21" t="n">
        <f aca="false">IF(B769="","",IF(B769&lt;$B$19,0.5*EXP((B769-$B$19)/$B$20),1-0.5*EXP(-(B769-$B$19)/$B$20)))</f>
        <v>0.742184264725345</v>
      </c>
      <c r="G769" s="21" t="n">
        <f aca="false">IF(B769="","",1/(1+EXP(-(B769-$B$15)/$B$21)))</f>
        <v>0.703305744491138</v>
      </c>
      <c r="H769" s="21" t="n">
        <f aca="false">IF(B769="","",MAX(ABS($A769/$B$6-D769),ABS(($A769-1)/$B$6-D769)))</f>
        <v>0.0500919744814815</v>
      </c>
      <c r="I769" s="21" t="n">
        <f aca="false">IF(B769="","",MAX(ABS($A769/$B$6-E769),ABS(($A769-1)/$B$6-E769)))</f>
        <v>0.0284921260968014</v>
      </c>
      <c r="J769" s="21" t="n">
        <f aca="false">IF(B769="","",MAX(ABS($A769/$B$6-F769),ABS(($A769-1)/$B$6-F769)))</f>
        <v>0.0101842647253454</v>
      </c>
      <c r="K769" s="21" t="n">
        <f aca="false">IF(B769="","",MAX(ABS($A769/$B$6-G769),ABS(($A769-1)/$B$6-G769)))</f>
        <v>0.0296942555088625</v>
      </c>
    </row>
    <row r="770" customFormat="false" ht="15" hidden="false" customHeight="false" outlineLevel="0" collapsed="false">
      <c r="A770" s="11" t="n">
        <v>734</v>
      </c>
      <c r="B770" s="9" t="n">
        <f aca="false">IF(A770&gt;$B$6,"",SMALL(BTC_Data!$C$3:$C$1002,A770))</f>
        <v>0.000594493651856265</v>
      </c>
      <c r="C770" s="21" t="n">
        <f aca="false">IF(B770="","",A770/$B$6)</f>
        <v>0.734</v>
      </c>
      <c r="D770" s="21" t="n">
        <f aca="false">IF(B770="","",NORMDIST(B770,$B$15,$B$16,TRUE()))</f>
        <v>0.683005775013711</v>
      </c>
      <c r="E770" s="21" t="n">
        <f aca="false">IF(B770="","",IF(B770&gt;=$B$15,1-TDIST((B770-$B$15)/$B$18,$B$17,1),TDIST(($B$15-B770)/$B$18,$B$17,1)))</f>
        <v>0.704612570525678</v>
      </c>
      <c r="F770" s="21" t="n">
        <f aca="false">IF(B770="","",IF(B770&lt;$B$19,0.5*EXP((B770-$B$19)/$B$20),1-0.5*EXP(-(B770-$B$19)/$B$20)))</f>
        <v>0.7422831094787</v>
      </c>
      <c r="G770" s="21" t="n">
        <f aca="false">IF(B770="","",1/(1+EXP(-(B770-$B$15)/$B$21)))</f>
        <v>0.703409592931131</v>
      </c>
      <c r="H770" s="21" t="n">
        <f aca="false">IF(B770="","",MAX(ABS($A770/$B$6-D770),ABS(($A770-1)/$B$6-D770)))</f>
        <v>0.0509942249862893</v>
      </c>
      <c r="I770" s="21" t="n">
        <f aca="false">IF(B770="","",MAX(ABS($A770/$B$6-E770),ABS(($A770-1)/$B$6-E770)))</f>
        <v>0.0293874294743218</v>
      </c>
      <c r="J770" s="21" t="n">
        <f aca="false">IF(B770="","",MAX(ABS($A770/$B$6-F770),ABS(($A770-1)/$B$6-F770)))</f>
        <v>0.00928310947869993</v>
      </c>
      <c r="K770" s="21" t="n">
        <f aca="false">IF(B770="","",MAX(ABS($A770/$B$6-G770),ABS(($A770-1)/$B$6-G770)))</f>
        <v>0.030590407068869</v>
      </c>
    </row>
    <row r="771" customFormat="false" ht="15" hidden="false" customHeight="false" outlineLevel="0" collapsed="false">
      <c r="A771" s="11" t="n">
        <v>735</v>
      </c>
      <c r="B771" s="9" t="n">
        <f aca="false">IF(A771&gt;$B$6,"",SMALL(BTC_Data!$C$3:$C$1002,A771))</f>
        <v>0.000596586940075916</v>
      </c>
      <c r="C771" s="21" t="n">
        <f aca="false">IF(B771="","",A771/$B$6)</f>
        <v>0.735</v>
      </c>
      <c r="D771" s="21" t="n">
        <f aca="false">IF(B771="","",NORMDIST(B771,$B$15,$B$16,TRUE()))</f>
        <v>0.683591145631804</v>
      </c>
      <c r="E771" s="21" t="n">
        <f aca="false">IF(B771="","",IF(B771&gt;=$B$15,1-TDIST((B771-$B$15)/$B$18,$B$17,1),TDIST(($B$15-B771)/$B$18,$B$17,1)))</f>
        <v>0.7052393918507</v>
      </c>
      <c r="F771" s="21" t="n">
        <f aca="false">IF(B771="","",IF(B771&lt;$B$19,0.5*EXP((B771-$B$19)/$B$20),1-0.5*EXP(-(B771-$B$19)/$B$20)))</f>
        <v>0.74287451651643</v>
      </c>
      <c r="G771" s="21" t="n">
        <f aca="false">IF(B771="","",1/(1+EXP(-(B771-$B$15)/$B$21)))</f>
        <v>0.704031330725472</v>
      </c>
      <c r="H771" s="21" t="n">
        <f aca="false">IF(B771="","",MAX(ABS($A771/$B$6-D771),ABS(($A771-1)/$B$6-D771)))</f>
        <v>0.0514088543681962</v>
      </c>
      <c r="I771" s="21" t="n">
        <f aca="false">IF(B771="","",MAX(ABS($A771/$B$6-E771),ABS(($A771-1)/$B$6-E771)))</f>
        <v>0.0297606081493</v>
      </c>
      <c r="J771" s="21" t="n">
        <f aca="false">IF(B771="","",MAX(ABS($A771/$B$6-F771),ABS(($A771-1)/$B$6-F771)))</f>
        <v>0.00887451651643001</v>
      </c>
      <c r="K771" s="21" t="n">
        <f aca="false">IF(B771="","",MAX(ABS($A771/$B$6-G771),ABS(($A771-1)/$B$6-G771)))</f>
        <v>0.0309686692745285</v>
      </c>
    </row>
    <row r="772" customFormat="false" ht="15" hidden="false" customHeight="false" outlineLevel="0" collapsed="false">
      <c r="A772" s="11" t="n">
        <v>736</v>
      </c>
      <c r="B772" s="9" t="n">
        <f aca="false">IF(A772&gt;$B$6,"",SMALL(BTC_Data!$C$3:$C$1002,A772))</f>
        <v>0.000597905473828986</v>
      </c>
      <c r="C772" s="21" t="n">
        <f aca="false">IF(B772="","",A772/$B$6)</f>
        <v>0.736</v>
      </c>
      <c r="D772" s="21" t="n">
        <f aca="false">IF(B772="","",NORMDIST(B772,$B$15,$B$16,TRUE()))</f>
        <v>0.683959626764229</v>
      </c>
      <c r="E772" s="21" t="n">
        <f aca="false">IF(B772="","",IF(B772&gt;=$B$15,1-TDIST((B772-$B$15)/$B$18,$B$17,1),TDIST(($B$15-B772)/$B$18,$B$17,1)))</f>
        <v>0.70563383167519</v>
      </c>
      <c r="F772" s="21" t="n">
        <f aca="false">IF(B772="","",IF(B772&lt;$B$19,0.5*EXP((B772-$B$19)/$B$20),1-0.5*EXP(-(B772-$B$19)/$B$20)))</f>
        <v>0.743246338903089</v>
      </c>
      <c r="G772" s="21" t="n">
        <f aca="false">IF(B772="","",1/(1+EXP(-(B772-$B$15)/$B$21)))</f>
        <v>0.704422566866829</v>
      </c>
      <c r="H772" s="21" t="n">
        <f aca="false">IF(B772="","",MAX(ABS($A772/$B$6-D772),ABS(($A772-1)/$B$6-D772)))</f>
        <v>0.0520403732357715</v>
      </c>
      <c r="I772" s="21" t="n">
        <f aca="false">IF(B772="","",MAX(ABS($A772/$B$6-E772),ABS(($A772-1)/$B$6-E772)))</f>
        <v>0.0303661683248103</v>
      </c>
      <c r="J772" s="21" t="n">
        <f aca="false">IF(B772="","",MAX(ABS($A772/$B$6-F772),ABS(($A772-1)/$B$6-F772)))</f>
        <v>0.00824633890308901</v>
      </c>
      <c r="K772" s="21" t="n">
        <f aca="false">IF(B772="","",MAX(ABS($A772/$B$6-G772),ABS(($A772-1)/$B$6-G772)))</f>
        <v>0.0315774331331714</v>
      </c>
    </row>
    <row r="773" customFormat="false" ht="15" hidden="false" customHeight="false" outlineLevel="0" collapsed="false">
      <c r="A773" s="11" t="n">
        <v>737</v>
      </c>
      <c r="B773" s="9" t="n">
        <f aca="false">IF(A773&gt;$B$6,"",SMALL(BTC_Data!$C$3:$C$1002,A773))</f>
        <v>0.000601084717014366</v>
      </c>
      <c r="C773" s="21" t="n">
        <f aca="false">IF(B773="","",A773/$B$6)</f>
        <v>0.737</v>
      </c>
      <c r="D773" s="21" t="n">
        <f aca="false">IF(B773="","",NORMDIST(B773,$B$15,$B$16,TRUE()))</f>
        <v>0.684847355183545</v>
      </c>
      <c r="E773" s="21" t="n">
        <f aca="false">IF(B773="","",IF(B773&gt;=$B$15,1-TDIST((B773-$B$15)/$B$18,$B$17,1),TDIST(($B$15-B773)/$B$18,$B$17,1)))</f>
        <v>0.70658367265364</v>
      </c>
      <c r="F773" s="21" t="n">
        <f aca="false">IF(B773="","",IF(B773&lt;$B$19,0.5*EXP((B773-$B$19)/$B$20),1-0.5*EXP(-(B773-$B$19)/$B$20)))</f>
        <v>0.744140665786868</v>
      </c>
      <c r="G773" s="21" t="n">
        <f aca="false">IF(B773="","",1/(1+EXP(-(B773-$B$15)/$B$21)))</f>
        <v>0.705364678068683</v>
      </c>
      <c r="H773" s="21" t="n">
        <f aca="false">IF(B773="","",MAX(ABS($A773/$B$6-D773),ABS(($A773-1)/$B$6-D773)))</f>
        <v>0.0521526448164548</v>
      </c>
      <c r="I773" s="21" t="n">
        <f aca="false">IF(B773="","",MAX(ABS($A773/$B$6-E773),ABS(($A773-1)/$B$6-E773)))</f>
        <v>0.03041632734636</v>
      </c>
      <c r="J773" s="21" t="n">
        <f aca="false">IF(B773="","",MAX(ABS($A773/$B$6-F773),ABS(($A773-1)/$B$6-F773)))</f>
        <v>0.00814066578686845</v>
      </c>
      <c r="K773" s="21" t="n">
        <f aca="false">IF(B773="","",MAX(ABS($A773/$B$6-G773),ABS(($A773-1)/$B$6-G773)))</f>
        <v>0.0316353219313174</v>
      </c>
    </row>
    <row r="774" customFormat="false" ht="15" hidden="false" customHeight="false" outlineLevel="0" collapsed="false">
      <c r="A774" s="11" t="n">
        <v>738</v>
      </c>
      <c r="B774" s="9" t="n">
        <f aca="false">IF(A774&gt;$B$6,"",SMALL(BTC_Data!$C$3:$C$1002,A774))</f>
        <v>0.000605162035743012</v>
      </c>
      <c r="C774" s="21" t="n">
        <f aca="false">IF(B774="","",A774/$B$6)</f>
        <v>0.738</v>
      </c>
      <c r="D774" s="21" t="n">
        <f aca="false">IF(B774="","",NORMDIST(B774,$B$15,$B$16,TRUE()))</f>
        <v>0.685984288832107</v>
      </c>
      <c r="E774" s="21" t="n">
        <f aca="false">IF(B774="","",IF(B774&gt;=$B$15,1-TDIST((B774-$B$15)/$B$18,$B$17,1),TDIST(($B$15-B774)/$B$18,$B$17,1)))</f>
        <v>0.707799272455223</v>
      </c>
      <c r="F774" s="21" t="n">
        <f aca="false">IF(B774="","",IF(B774&lt;$B$19,0.5*EXP((B774-$B$19)/$B$20),1-0.5*EXP(-(B774-$B$19)/$B$20)))</f>
        <v>0.745283065087604</v>
      </c>
      <c r="G774" s="21" t="n">
        <f aca="false">IF(B774="","",1/(1+EXP(-(B774-$B$15)/$B$21)))</f>
        <v>0.706570354450297</v>
      </c>
      <c r="H774" s="21" t="n">
        <f aca="false">IF(B774="","",MAX(ABS($A774/$B$6-D774),ABS(($A774-1)/$B$6-D774)))</f>
        <v>0.0520157111678926</v>
      </c>
      <c r="I774" s="21" t="n">
        <f aca="false">IF(B774="","",MAX(ABS($A774/$B$6-E774),ABS(($A774-1)/$B$6-E774)))</f>
        <v>0.0302007275447767</v>
      </c>
      <c r="J774" s="21" t="n">
        <f aca="false">IF(B774="","",MAX(ABS($A774/$B$6-F774),ABS(($A774-1)/$B$6-F774)))</f>
        <v>0.00828306508760435</v>
      </c>
      <c r="K774" s="21" t="n">
        <f aca="false">IF(B774="","",MAX(ABS($A774/$B$6-G774),ABS(($A774-1)/$B$6-G774)))</f>
        <v>0.0314296455497035</v>
      </c>
    </row>
    <row r="775" customFormat="false" ht="15" hidden="false" customHeight="false" outlineLevel="0" collapsed="false">
      <c r="A775" s="11" t="n">
        <v>739</v>
      </c>
      <c r="B775" s="9" t="n">
        <f aca="false">IF(A775&gt;$B$6,"",SMALL(BTC_Data!$C$3:$C$1002,A775))</f>
        <v>0.000606670705962653</v>
      </c>
      <c r="C775" s="21" t="n">
        <f aca="false">IF(B775="","",A775/$B$6)</f>
        <v>0.739</v>
      </c>
      <c r="D775" s="21" t="n">
        <f aca="false">IF(B775="","",NORMDIST(B775,$B$15,$B$16,TRUE()))</f>
        <v>0.686404525371754</v>
      </c>
      <c r="E775" s="21" t="n">
        <f aca="false">IF(B775="","",IF(B775&gt;=$B$15,1-TDIST((B775-$B$15)/$B$18,$B$17,1),TDIST(($B$15-B775)/$B$18,$B$17,1)))</f>
        <v>0.708248333817762</v>
      </c>
      <c r="F775" s="21" t="n">
        <f aca="false">IF(B775="","",IF(B775&lt;$B$19,0.5*EXP((B775-$B$19)/$B$20),1-0.5*EXP(-(B775-$B$19)/$B$20)))</f>
        <v>0.745704476212604</v>
      </c>
      <c r="G775" s="21" t="n">
        <f aca="false">IF(B775="","",1/(1+EXP(-(B775-$B$15)/$B$21)))</f>
        <v>0.707015741216099</v>
      </c>
      <c r="H775" s="21" t="n">
        <f aca="false">IF(B775="","",MAX(ABS($A775/$B$6-D775),ABS(($A775-1)/$B$6-D775)))</f>
        <v>0.0525954746282463</v>
      </c>
      <c r="I775" s="21" t="n">
        <f aca="false">IF(B775="","",MAX(ABS($A775/$B$6-E775),ABS(($A775-1)/$B$6-E775)))</f>
        <v>0.0307516661822385</v>
      </c>
      <c r="J775" s="21" t="n">
        <f aca="false">IF(B775="","",MAX(ABS($A775/$B$6-F775),ABS(($A775-1)/$B$6-F775)))</f>
        <v>0.00770447621260351</v>
      </c>
      <c r="K775" s="21" t="n">
        <f aca="false">IF(B775="","",MAX(ABS($A775/$B$6-G775),ABS(($A775-1)/$B$6-G775)))</f>
        <v>0.0319842587839007</v>
      </c>
    </row>
    <row r="776" customFormat="false" ht="15" hidden="false" customHeight="false" outlineLevel="0" collapsed="false">
      <c r="A776" s="11" t="n">
        <v>740</v>
      </c>
      <c r="B776" s="9" t="n">
        <f aca="false">IF(A776&gt;$B$6,"",SMALL(BTC_Data!$C$3:$C$1002,A776))</f>
        <v>0.000609595347545344</v>
      </c>
      <c r="C776" s="21" t="n">
        <f aca="false">IF(B776="","",A776/$B$6)</f>
        <v>0.74</v>
      </c>
      <c r="D776" s="21" t="n">
        <f aca="false">IF(B776="","",NORMDIST(B776,$B$15,$B$16,TRUE()))</f>
        <v>0.687218488370031</v>
      </c>
      <c r="E776" s="21" t="n">
        <f aca="false">IF(B776="","",IF(B776&gt;=$B$15,1-TDIST((B776-$B$15)/$B$18,$B$17,1),TDIST(($B$15-B776)/$B$18,$B$17,1)))</f>
        <v>0.709117739738779</v>
      </c>
      <c r="F776" s="21" t="n">
        <f aca="false">IF(B776="","",IF(B776&lt;$B$19,0.5*EXP((B776-$B$19)/$B$20),1-0.5*EXP(-(B776-$B$19)/$B$20)))</f>
        <v>0.746519420466366</v>
      </c>
      <c r="G776" s="21" t="n">
        <f aca="false">IF(B776="","",1/(1+EXP(-(B776-$B$15)/$B$21)))</f>
        <v>0.70787801960767</v>
      </c>
      <c r="H776" s="21" t="n">
        <f aca="false">IF(B776="","",MAX(ABS($A776/$B$6-D776),ABS(($A776-1)/$B$6-D776)))</f>
        <v>0.0527815116299694</v>
      </c>
      <c r="I776" s="21" t="n">
        <f aca="false">IF(B776="","",MAX(ABS($A776/$B$6-E776),ABS(($A776-1)/$B$6-E776)))</f>
        <v>0.0308822602612215</v>
      </c>
      <c r="J776" s="21" t="n">
        <f aca="false">IF(B776="","",MAX(ABS($A776/$B$6-F776),ABS(($A776-1)/$B$6-F776)))</f>
        <v>0.00751942046636556</v>
      </c>
      <c r="K776" s="21" t="n">
        <f aca="false">IF(B776="","",MAX(ABS($A776/$B$6-G776),ABS(($A776-1)/$B$6-G776)))</f>
        <v>0.0321219803923297</v>
      </c>
    </row>
    <row r="777" customFormat="false" ht="15" hidden="false" customHeight="false" outlineLevel="0" collapsed="false">
      <c r="A777" s="11" t="n">
        <v>741</v>
      </c>
      <c r="B777" s="9" t="n">
        <f aca="false">IF(A777&gt;$B$6,"",SMALL(BTC_Data!$C$3:$C$1002,A777))</f>
        <v>0.000612347903349075</v>
      </c>
      <c r="C777" s="21" t="n">
        <f aca="false">IF(B777="","",A777/$B$6)</f>
        <v>0.741</v>
      </c>
      <c r="D777" s="21" t="n">
        <f aca="false">IF(B777="","",NORMDIST(B777,$B$15,$B$16,TRUE()))</f>
        <v>0.687983724930349</v>
      </c>
      <c r="E777" s="21" t="n">
        <f aca="false">IF(B777="","",IF(B777&gt;=$B$15,1-TDIST((B777-$B$15)/$B$18,$B$17,1),TDIST(($B$15-B777)/$B$18,$B$17,1)))</f>
        <v>0.709934631538938</v>
      </c>
      <c r="F777" s="21" t="n">
        <f aca="false">IF(B777="","",IF(B777&lt;$B$19,0.5*EXP((B777-$B$19)/$B$20),1-0.5*EXP(-(B777-$B$19)/$B$20)))</f>
        <v>0.747284027608366</v>
      </c>
      <c r="G777" s="21" t="n">
        <f aca="false">IF(B777="","",1/(1+EXP(-(B777-$B$15)/$B$21)))</f>
        <v>0.708688198461026</v>
      </c>
      <c r="H777" s="21" t="n">
        <f aca="false">IF(B777="","",MAX(ABS($A777/$B$6-D777),ABS(($A777-1)/$B$6-D777)))</f>
        <v>0.0530162750696511</v>
      </c>
      <c r="I777" s="21" t="n">
        <f aca="false">IF(B777="","",MAX(ABS($A777/$B$6-E777),ABS(($A777-1)/$B$6-E777)))</f>
        <v>0.0310653684610618</v>
      </c>
      <c r="J777" s="21" t="n">
        <f aca="false">IF(B777="","",MAX(ABS($A777/$B$6-F777),ABS(($A777-1)/$B$6-F777)))</f>
        <v>0.00728402760836633</v>
      </c>
      <c r="K777" s="21" t="n">
        <f aca="false">IF(B777="","",MAX(ABS($A777/$B$6-G777),ABS(($A777-1)/$B$6-G777)))</f>
        <v>0.0323118015389741</v>
      </c>
    </row>
    <row r="778" customFormat="false" ht="15" hidden="false" customHeight="false" outlineLevel="0" collapsed="false">
      <c r="A778" s="11" t="n">
        <v>742</v>
      </c>
      <c r="B778" s="9" t="n">
        <f aca="false">IF(A778&gt;$B$6,"",SMALL(BTC_Data!$C$3:$C$1002,A778))</f>
        <v>0.000618831600200265</v>
      </c>
      <c r="C778" s="21" t="n">
        <f aca="false">IF(B778="","",A778/$B$6)</f>
        <v>0.742</v>
      </c>
      <c r="D778" s="21" t="n">
        <f aca="false">IF(B778="","",NORMDIST(B778,$B$15,$B$16,TRUE()))</f>
        <v>0.68978304638294</v>
      </c>
      <c r="E778" s="21" t="n">
        <f aca="false">IF(B778="","",IF(B778&gt;=$B$15,1-TDIST((B778-$B$15)/$B$18,$B$17,1),TDIST(($B$15-B778)/$B$18,$B$17,1)))</f>
        <v>0.711853611779696</v>
      </c>
      <c r="F778" s="21" t="n">
        <f aca="false">IF(B778="","",IF(B778&lt;$B$19,0.5*EXP((B778-$B$19)/$B$20),1-0.5*EXP(-(B778-$B$19)/$B$20)))</f>
        <v>0.749075971676606</v>
      </c>
      <c r="G778" s="21" t="n">
        <f aca="false">IF(B778="","",1/(1+EXP(-(B778-$B$15)/$B$21)))</f>
        <v>0.710591348894641</v>
      </c>
      <c r="H778" s="21" t="n">
        <f aca="false">IF(B778="","",MAX(ABS($A778/$B$6-D778),ABS(($A778-1)/$B$6-D778)))</f>
        <v>0.0522169536170598</v>
      </c>
      <c r="I778" s="21" t="n">
        <f aca="false">IF(B778="","",MAX(ABS($A778/$B$6-E778),ABS(($A778-1)/$B$6-E778)))</f>
        <v>0.0301463882203039</v>
      </c>
      <c r="J778" s="21" t="n">
        <f aca="false">IF(B778="","",MAX(ABS($A778/$B$6-F778),ABS(($A778-1)/$B$6-F778)))</f>
        <v>0.00807597167660601</v>
      </c>
      <c r="K778" s="21" t="n">
        <f aca="false">IF(B778="","",MAX(ABS($A778/$B$6-G778),ABS(($A778-1)/$B$6-G778)))</f>
        <v>0.031408651105359</v>
      </c>
    </row>
    <row r="779" customFormat="false" ht="15" hidden="false" customHeight="false" outlineLevel="0" collapsed="false">
      <c r="A779" s="11" t="n">
        <v>743</v>
      </c>
      <c r="B779" s="9" t="n">
        <f aca="false">IF(A779&gt;$B$6,"",SMALL(BTC_Data!$C$3:$C$1002,A779))</f>
        <v>0.000623777521753466</v>
      </c>
      <c r="C779" s="21" t="n">
        <f aca="false">IF(B779="","",A779/$B$6)</f>
        <v>0.743</v>
      </c>
      <c r="D779" s="21" t="n">
        <f aca="false">IF(B779="","",NORMDIST(B779,$B$15,$B$16,TRUE()))</f>
        <v>0.691152567295911</v>
      </c>
      <c r="E779" s="21" t="n">
        <f aca="false">IF(B779="","",IF(B779&gt;=$B$15,1-TDIST((B779-$B$15)/$B$18,$B$17,1),TDIST(($B$15-B779)/$B$18,$B$17,1)))</f>
        <v>0.713312505533563</v>
      </c>
      <c r="F779" s="21" t="n">
        <f aca="false">IF(B779="","",IF(B779&lt;$B$19,0.5*EXP((B779-$B$19)/$B$20),1-0.5*EXP(-(B779-$B$19)/$B$20)))</f>
        <v>0.750434362183692</v>
      </c>
      <c r="G779" s="21" t="n">
        <f aca="false">IF(B779="","",1/(1+EXP(-(B779-$B$15)/$B$21)))</f>
        <v>0.712038152105512</v>
      </c>
      <c r="H779" s="21" t="n">
        <f aca="false">IF(B779="","",MAX(ABS($A779/$B$6-D779),ABS(($A779-1)/$B$6-D779)))</f>
        <v>0.0518474327040889</v>
      </c>
      <c r="I779" s="21" t="n">
        <f aca="false">IF(B779="","",MAX(ABS($A779/$B$6-E779),ABS(($A779-1)/$B$6-E779)))</f>
        <v>0.0296874944664375</v>
      </c>
      <c r="J779" s="21" t="n">
        <f aca="false">IF(B779="","",MAX(ABS($A779/$B$6-F779),ABS(($A779-1)/$B$6-F779)))</f>
        <v>0.00843436218369209</v>
      </c>
      <c r="K779" s="21" t="n">
        <f aca="false">IF(B779="","",MAX(ABS($A779/$B$6-G779),ABS(($A779-1)/$B$6-G779)))</f>
        <v>0.0309618478944878</v>
      </c>
    </row>
    <row r="780" customFormat="false" ht="15" hidden="false" customHeight="false" outlineLevel="0" collapsed="false">
      <c r="A780" s="11" t="n">
        <v>744</v>
      </c>
      <c r="B780" s="9" t="n">
        <f aca="false">IF(A780&gt;$B$6,"",SMALL(BTC_Data!$C$3:$C$1002,A780))</f>
        <v>0.000626864758444201</v>
      </c>
      <c r="C780" s="21" t="n">
        <f aca="false">IF(B780="","",A780/$B$6)</f>
        <v>0.744</v>
      </c>
      <c r="D780" s="21" t="n">
        <f aca="false">IF(B780="","",NORMDIST(B780,$B$15,$B$16,TRUE()))</f>
        <v>0.692006076466048</v>
      </c>
      <c r="E780" s="21" t="n">
        <f aca="false">IF(B780="","",IF(B780&gt;=$B$15,1-TDIST((B780-$B$15)/$B$18,$B$17,1),TDIST(($B$15-B780)/$B$18,$B$17,1)))</f>
        <v>0.71422096390066</v>
      </c>
      <c r="F780" s="21" t="n">
        <f aca="false">IF(B780="","",IF(B780&lt;$B$19,0.5*EXP((B780-$B$19)/$B$20),1-0.5*EXP(-(B780-$B$19)/$B$20)))</f>
        <v>0.751278537252214</v>
      </c>
      <c r="G780" s="21" t="n">
        <f aca="false">IF(B780="","",1/(1+EXP(-(B780-$B$15)/$B$21)))</f>
        <v>0.712939057450339</v>
      </c>
      <c r="H780" s="21" t="n">
        <f aca="false">IF(B780="","",MAX(ABS($A780/$B$6-D780),ABS(($A780-1)/$B$6-D780)))</f>
        <v>0.0519939235339517</v>
      </c>
      <c r="I780" s="21" t="n">
        <f aca="false">IF(B780="","",MAX(ABS($A780/$B$6-E780),ABS(($A780-1)/$B$6-E780)))</f>
        <v>0.0297790360993404</v>
      </c>
      <c r="J780" s="21" t="n">
        <f aca="false">IF(B780="","",MAX(ABS($A780/$B$6-F780),ABS(($A780-1)/$B$6-F780)))</f>
        <v>0.00827853725221428</v>
      </c>
      <c r="K780" s="21" t="n">
        <f aca="false">IF(B780="","",MAX(ABS($A780/$B$6-G780),ABS(($A780-1)/$B$6-G780)))</f>
        <v>0.0310609425496609</v>
      </c>
    </row>
    <row r="781" customFormat="false" ht="15" hidden="false" customHeight="false" outlineLevel="0" collapsed="false">
      <c r="A781" s="11" t="n">
        <v>745</v>
      </c>
      <c r="B781" s="9" t="n">
        <f aca="false">IF(A781&gt;$B$6,"",SMALL(BTC_Data!$C$3:$C$1002,A781))</f>
        <v>0.000630930790726181</v>
      </c>
      <c r="C781" s="21" t="n">
        <f aca="false">IF(B781="","",A781/$B$6)</f>
        <v>0.745</v>
      </c>
      <c r="D781" s="21" t="n">
        <f aca="false">IF(B781="","",NORMDIST(B781,$B$15,$B$16,TRUE()))</f>
        <v>0.693128603810612</v>
      </c>
      <c r="E781" s="21" t="n">
        <f aca="false">IF(B781="","",IF(B781&gt;=$B$15,1-TDIST((B781-$B$15)/$B$18,$B$17,1),TDIST(($B$15-B781)/$B$18,$B$17,1)))</f>
        <v>0.715414879013906</v>
      </c>
      <c r="F781" s="21" t="n">
        <f aca="false">IF(B781="","",IF(B781&lt;$B$19,0.5*EXP((B781-$B$19)/$B$20),1-0.5*EXP(-(B781-$B$19)/$B$20)))</f>
        <v>0.752385999101995</v>
      </c>
      <c r="G781" s="21" t="n">
        <f aca="false">IF(B781="","",1/(1+EXP(-(B781-$B$15)/$B$21)))</f>
        <v>0.714123018234983</v>
      </c>
      <c r="H781" s="21" t="n">
        <f aca="false">IF(B781="","",MAX(ABS($A781/$B$6-D781),ABS(($A781-1)/$B$6-D781)))</f>
        <v>0.051871396189388</v>
      </c>
      <c r="I781" s="21" t="n">
        <f aca="false">IF(B781="","",MAX(ABS($A781/$B$6-E781),ABS(($A781-1)/$B$6-E781)))</f>
        <v>0.0295851209860937</v>
      </c>
      <c r="J781" s="21" t="n">
        <f aca="false">IF(B781="","",MAX(ABS($A781/$B$6-F781),ABS(($A781-1)/$B$6-F781)))</f>
        <v>0.00838599910199467</v>
      </c>
      <c r="K781" s="21" t="n">
        <f aca="false">IF(B781="","",MAX(ABS($A781/$B$6-G781),ABS(($A781-1)/$B$6-G781)))</f>
        <v>0.0308769817650171</v>
      </c>
    </row>
    <row r="782" customFormat="false" ht="15" hidden="false" customHeight="false" outlineLevel="0" collapsed="false">
      <c r="A782" s="11" t="n">
        <v>746</v>
      </c>
      <c r="B782" s="9" t="n">
        <f aca="false">IF(A782&gt;$B$6,"",SMALL(BTC_Data!$C$3:$C$1002,A782))</f>
        <v>0.000636536561425594</v>
      </c>
      <c r="C782" s="21" t="n">
        <f aca="false">IF(B782="","",A782/$B$6)</f>
        <v>0.746</v>
      </c>
      <c r="D782" s="21" t="n">
        <f aca="false">IF(B782="","",NORMDIST(B782,$B$15,$B$16,TRUE()))</f>
        <v>0.694673247289698</v>
      </c>
      <c r="E782" s="21" t="n">
        <f aca="false">IF(B782="","",IF(B782&gt;=$B$15,1-TDIST((B782-$B$15)/$B$18,$B$17,1),TDIST(($B$15-B782)/$B$18,$B$17,1)))</f>
        <v>0.717056109715161</v>
      </c>
      <c r="F782" s="21" t="n">
        <f aca="false">IF(B782="","",IF(B782&lt;$B$19,0.5*EXP((B782-$B$19)/$B$20),1-0.5*EXP(-(B782-$B$19)/$B$20)))</f>
        <v>0.753904757119827</v>
      </c>
      <c r="G782" s="21" t="n">
        <f aca="false">IF(B782="","",1/(1+EXP(-(B782-$B$15)/$B$21)))</f>
        <v>0.715750513721977</v>
      </c>
      <c r="H782" s="21" t="n">
        <f aca="false">IF(B782="","",MAX(ABS($A782/$B$6-D782),ABS(($A782-1)/$B$6-D782)))</f>
        <v>0.0513267527103021</v>
      </c>
      <c r="I782" s="21" t="n">
        <f aca="false">IF(B782="","",MAX(ABS($A782/$B$6-E782),ABS(($A782-1)/$B$6-E782)))</f>
        <v>0.028943890284839</v>
      </c>
      <c r="J782" s="21" t="n">
        <f aca="false">IF(B782="","",MAX(ABS($A782/$B$6-F782),ABS(($A782-1)/$B$6-F782)))</f>
        <v>0.00890475711982697</v>
      </c>
      <c r="K782" s="21" t="n">
        <f aca="false">IF(B782="","",MAX(ABS($A782/$B$6-G782),ABS(($A782-1)/$B$6-G782)))</f>
        <v>0.0302494862780234</v>
      </c>
    </row>
    <row r="783" customFormat="false" ht="15" hidden="false" customHeight="false" outlineLevel="0" collapsed="false">
      <c r="A783" s="11" t="n">
        <v>747</v>
      </c>
      <c r="B783" s="9" t="n">
        <f aca="false">IF(A783&gt;$B$6,"",SMALL(BTC_Data!$C$3:$C$1002,A783))</f>
        <v>0.000643225801058689</v>
      </c>
      <c r="C783" s="21" t="n">
        <f aca="false">IF(B783="","",A783/$B$6)</f>
        <v>0.747</v>
      </c>
      <c r="D783" s="21" t="n">
        <f aca="false">IF(B783="","",NORMDIST(B783,$B$15,$B$16,TRUE()))</f>
        <v>0.696511907706556</v>
      </c>
      <c r="E783" s="21" t="n">
        <f aca="false">IF(B783="","",IF(B783&gt;=$B$15,1-TDIST((B783-$B$15)/$B$18,$B$17,1),TDIST(($B$15-B783)/$B$18,$B$17,1)))</f>
        <v>0.719007240466241</v>
      </c>
      <c r="F783" s="21" t="n">
        <f aca="false">IF(B783="","",IF(B783&lt;$B$19,0.5*EXP((B783-$B$19)/$B$20),1-0.5*EXP(-(B783-$B$19)/$B$20)))</f>
        <v>0.755704871510086</v>
      </c>
      <c r="G783" s="21" t="n">
        <f aca="false">IF(B783="","",1/(1+EXP(-(B783-$B$15)/$B$21)))</f>
        <v>0.717685239405364</v>
      </c>
      <c r="H783" s="21" t="n">
        <f aca="false">IF(B783="","",MAX(ABS($A783/$B$6-D783),ABS(($A783-1)/$B$6-D783)))</f>
        <v>0.0504880922934439</v>
      </c>
      <c r="I783" s="21" t="n">
        <f aca="false">IF(B783="","",MAX(ABS($A783/$B$6-E783),ABS(($A783-1)/$B$6-E783)))</f>
        <v>0.0279927595337591</v>
      </c>
      <c r="J783" s="21" t="n">
        <f aca="false">IF(B783="","",MAX(ABS($A783/$B$6-F783),ABS(($A783-1)/$B$6-F783)))</f>
        <v>0.00970487151008603</v>
      </c>
      <c r="K783" s="21" t="n">
        <f aca="false">IF(B783="","",MAX(ABS($A783/$B$6-G783),ABS(($A783-1)/$B$6-G783)))</f>
        <v>0.0293147605946359</v>
      </c>
    </row>
    <row r="784" customFormat="false" ht="15" hidden="false" customHeight="false" outlineLevel="0" collapsed="false">
      <c r="A784" s="11" t="n">
        <v>748</v>
      </c>
      <c r="B784" s="9" t="n">
        <f aca="false">IF(A784&gt;$B$6,"",SMALL(BTC_Data!$C$3:$C$1002,A784))</f>
        <v>0.000653433056692965</v>
      </c>
      <c r="C784" s="21" t="n">
        <f aca="false">IF(B784="","",A784/$B$6)</f>
        <v>0.748</v>
      </c>
      <c r="D784" s="21" t="n">
        <f aca="false">IF(B784="","",NORMDIST(B784,$B$15,$B$16,TRUE()))</f>
        <v>0.699307983868052</v>
      </c>
      <c r="E784" s="21" t="n">
        <f aca="false">IF(B784="","",IF(B784&gt;=$B$15,1-TDIST((B784-$B$15)/$B$18,$B$17,1),TDIST(($B$15-B784)/$B$18,$B$17,1)))</f>
        <v>0.721969089655892</v>
      </c>
      <c r="F784" s="21" t="n">
        <f aca="false">IF(B784="","",IF(B784&lt;$B$19,0.5*EXP((B784-$B$19)/$B$20),1-0.5*EXP(-(B784-$B$19)/$B$20)))</f>
        <v>0.758426361851036</v>
      </c>
      <c r="G784" s="21" t="n">
        <f aca="false">IF(B784="","",1/(1+EXP(-(B784-$B$15)/$B$21)))</f>
        <v>0.720622030027223</v>
      </c>
      <c r="H784" s="21" t="n">
        <f aca="false">IF(B784="","",MAX(ABS($A784/$B$6-D784),ABS(($A784-1)/$B$6-D784)))</f>
        <v>0.0486920161319483</v>
      </c>
      <c r="I784" s="21" t="n">
        <f aca="false">IF(B784="","",MAX(ABS($A784/$B$6-E784),ABS(($A784-1)/$B$6-E784)))</f>
        <v>0.0260309103441079</v>
      </c>
      <c r="J784" s="21" t="n">
        <f aca="false">IF(B784="","",MAX(ABS($A784/$B$6-F784),ABS(($A784-1)/$B$6-F784)))</f>
        <v>0.0114263618510362</v>
      </c>
      <c r="K784" s="21" t="n">
        <f aca="false">IF(B784="","",MAX(ABS($A784/$B$6-G784),ABS(($A784-1)/$B$6-G784)))</f>
        <v>0.027377969972777</v>
      </c>
    </row>
    <row r="785" customFormat="false" ht="15" hidden="false" customHeight="false" outlineLevel="0" collapsed="false">
      <c r="A785" s="11" t="n">
        <v>749</v>
      </c>
      <c r="B785" s="9" t="n">
        <f aca="false">IF(A785&gt;$B$6,"",SMALL(BTC_Data!$C$3:$C$1002,A785))</f>
        <v>0.000654675153522133</v>
      </c>
      <c r="C785" s="21" t="n">
        <f aca="false">IF(B785="","",A785/$B$6)</f>
        <v>0.749</v>
      </c>
      <c r="D785" s="21" t="n">
        <f aca="false">IF(B785="","",NORMDIST(B785,$B$15,$B$16,TRUE()))</f>
        <v>0.699647436868431</v>
      </c>
      <c r="E785" s="21" t="n">
        <f aca="false">IF(B785="","",IF(B785&gt;=$B$15,1-TDIST((B785-$B$15)/$B$18,$B$17,1),TDIST(($B$15-B785)/$B$18,$B$17,1)))</f>
        <v>0.722328232550701</v>
      </c>
      <c r="F785" s="21" t="n">
        <f aca="false">IF(B785="","",IF(B785&lt;$B$19,0.5*EXP((B785-$B$19)/$B$20),1-0.5*EXP(-(B785-$B$19)/$B$20)))</f>
        <v>0.758755457671405</v>
      </c>
      <c r="G785" s="21" t="n">
        <f aca="false">IF(B785="","",1/(1+EXP(-(B785-$B$15)/$B$21)))</f>
        <v>0.720978121889572</v>
      </c>
      <c r="H785" s="21" t="n">
        <f aca="false">IF(B785="","",MAX(ABS($A785/$B$6-D785),ABS(($A785-1)/$B$6-D785)))</f>
        <v>0.0493525631315688</v>
      </c>
      <c r="I785" s="21" t="n">
        <f aca="false">IF(B785="","",MAX(ABS($A785/$B$6-E785),ABS(($A785-1)/$B$6-E785)))</f>
        <v>0.026671767449299</v>
      </c>
      <c r="J785" s="21" t="n">
        <f aca="false">IF(B785="","",MAX(ABS($A785/$B$6-F785),ABS(($A785-1)/$B$6-F785)))</f>
        <v>0.0107554576714051</v>
      </c>
      <c r="K785" s="21" t="n">
        <f aca="false">IF(B785="","",MAX(ABS($A785/$B$6-G785),ABS(($A785-1)/$B$6-G785)))</f>
        <v>0.0280218781104277</v>
      </c>
    </row>
    <row r="786" customFormat="false" ht="15" hidden="false" customHeight="false" outlineLevel="0" collapsed="false">
      <c r="A786" s="11" t="n">
        <v>750</v>
      </c>
      <c r="B786" s="9" t="n">
        <f aca="false">IF(A786&gt;$B$6,"",SMALL(BTC_Data!$C$3:$C$1002,A786))</f>
        <v>0.000655038111317507</v>
      </c>
      <c r="C786" s="21" t="n">
        <f aca="false">IF(B786="","",A786/$B$6)</f>
        <v>0.75</v>
      </c>
      <c r="D786" s="21" t="n">
        <f aca="false">IF(B786="","",NORMDIST(B786,$B$15,$B$16,TRUE()))</f>
        <v>0.699746597004944</v>
      </c>
      <c r="E786" s="21" t="n">
        <f aca="false">IF(B786="","",IF(B786&gt;=$B$15,1-TDIST((B786-$B$15)/$B$18,$B$17,1),TDIST(($B$15-B786)/$B$18,$B$17,1)))</f>
        <v>0.7224331265647</v>
      </c>
      <c r="F786" s="21" t="n">
        <f aca="false">IF(B786="","",IF(B786&lt;$B$19,0.5*EXP((B786-$B$19)/$B$20),1-0.5*EXP(-(B786-$B$19)/$B$20)))</f>
        <v>0.758851539329282</v>
      </c>
      <c r="G786" s="21" t="n">
        <f aca="false">IF(B786="","",1/(1+EXP(-(B786-$B$15)/$B$21)))</f>
        <v>0.721082124290574</v>
      </c>
      <c r="H786" s="21" t="n">
        <f aca="false">IF(B786="","",MAX(ABS($A786/$B$6-D786),ABS(($A786-1)/$B$6-D786)))</f>
        <v>0.0502534029950564</v>
      </c>
      <c r="I786" s="21" t="n">
        <f aca="false">IF(B786="","",MAX(ABS($A786/$B$6-E786),ABS(($A786-1)/$B$6-E786)))</f>
        <v>0.0275668734353001</v>
      </c>
      <c r="J786" s="21" t="n">
        <f aca="false">IF(B786="","",MAX(ABS($A786/$B$6-F786),ABS(($A786-1)/$B$6-F786)))</f>
        <v>0.00985153932928207</v>
      </c>
      <c r="K786" s="21" t="n">
        <f aca="false">IF(B786="","",MAX(ABS($A786/$B$6-G786),ABS(($A786-1)/$B$6-G786)))</f>
        <v>0.0289178757094262</v>
      </c>
    </row>
    <row r="787" customFormat="false" ht="15" hidden="false" customHeight="false" outlineLevel="0" collapsed="false">
      <c r="A787" s="11" t="n">
        <v>751</v>
      </c>
      <c r="B787" s="9" t="n">
        <f aca="false">IF(A787&gt;$B$6,"",SMALL(BTC_Data!$C$3:$C$1002,A787))</f>
        <v>0.000660634458572229</v>
      </c>
      <c r="C787" s="21" t="n">
        <f aca="false">IF(B787="","",A787/$B$6)</f>
        <v>0.751</v>
      </c>
      <c r="D787" s="21" t="n">
        <f aca="false">IF(B787="","",NORMDIST(B787,$B$15,$B$16,TRUE()))</f>
        <v>0.701273643005052</v>
      </c>
      <c r="E787" s="21" t="n">
        <f aca="false">IF(B787="","",IF(B787&gt;=$B$15,1-TDIST((B787-$B$15)/$B$18,$B$17,1),TDIST(($B$15-B787)/$B$18,$B$17,1)))</f>
        <v>0.72404744897568</v>
      </c>
      <c r="F787" s="21" t="n">
        <f aca="false">IF(B787="","",IF(B787&lt;$B$19,0.5*EXP((B787-$B$19)/$B$20),1-0.5*EXP(-(B787-$B$19)/$B$20)))</f>
        <v>0.760328161719049</v>
      </c>
      <c r="G787" s="21" t="n">
        <f aca="false">IF(B787="","",1/(1+EXP(-(B787-$B$15)/$B$21)))</f>
        <v>0.722682696153305</v>
      </c>
      <c r="H787" s="21" t="n">
        <f aca="false">IF(B787="","",MAX(ABS($A787/$B$6-D787),ABS(($A787-1)/$B$6-D787)))</f>
        <v>0.0497263569949482</v>
      </c>
      <c r="I787" s="21" t="n">
        <f aca="false">IF(B787="","",MAX(ABS($A787/$B$6-E787),ABS(($A787-1)/$B$6-E787)))</f>
        <v>0.0269525510243203</v>
      </c>
      <c r="J787" s="21" t="n">
        <f aca="false">IF(B787="","",MAX(ABS($A787/$B$6-F787),ABS(($A787-1)/$B$6-F787)))</f>
        <v>0.0103281617190488</v>
      </c>
      <c r="K787" s="21" t="n">
        <f aca="false">IF(B787="","",MAX(ABS($A787/$B$6-G787),ABS(($A787-1)/$B$6-G787)))</f>
        <v>0.028317303846695</v>
      </c>
    </row>
    <row r="788" customFormat="false" ht="15" hidden="false" customHeight="false" outlineLevel="0" collapsed="false">
      <c r="A788" s="11" t="n">
        <v>752</v>
      </c>
      <c r="B788" s="9" t="n">
        <f aca="false">IF(A788&gt;$B$6,"",SMALL(BTC_Data!$C$3:$C$1002,A788))</f>
        <v>0.000664858132686907</v>
      </c>
      <c r="C788" s="21" t="n">
        <f aca="false">IF(B788="","",A788/$B$6)</f>
        <v>0.752</v>
      </c>
      <c r="D788" s="21" t="n">
        <f aca="false">IF(B788="","",NORMDIST(B788,$B$15,$B$16,TRUE()))</f>
        <v>0.702423791828199</v>
      </c>
      <c r="E788" s="21" t="n">
        <f aca="false">IF(B788="","",IF(B788&gt;=$B$15,1-TDIST((B788-$B$15)/$B$18,$B$17,1),TDIST(($B$15-B788)/$B$18,$B$17,1)))</f>
        <v>0.725262057915379</v>
      </c>
      <c r="F788" s="21" t="n">
        <f aca="false">IF(B788="","",IF(B788&lt;$B$19,0.5*EXP((B788-$B$19)/$B$20),1-0.5*EXP(-(B788-$B$19)/$B$20)))</f>
        <v>0.761436607759932</v>
      </c>
      <c r="G788" s="21" t="n">
        <f aca="false">IF(B788="","",1/(1+EXP(-(B788-$B$15)/$B$21)))</f>
        <v>0.723886924217043</v>
      </c>
      <c r="H788" s="21" t="n">
        <f aca="false">IF(B788="","",MAX(ABS($A788/$B$6-D788),ABS(($A788-1)/$B$6-D788)))</f>
        <v>0.0495762081718011</v>
      </c>
      <c r="I788" s="21" t="n">
        <f aca="false">IF(B788="","",MAX(ABS($A788/$B$6-E788),ABS(($A788-1)/$B$6-E788)))</f>
        <v>0.0267379420846208</v>
      </c>
      <c r="J788" s="21" t="n">
        <f aca="false">IF(B788="","",MAX(ABS($A788/$B$6-F788),ABS(($A788-1)/$B$6-F788)))</f>
        <v>0.0104366077599324</v>
      </c>
      <c r="K788" s="21" t="n">
        <f aca="false">IF(B788="","",MAX(ABS($A788/$B$6-G788),ABS(($A788-1)/$B$6-G788)))</f>
        <v>0.0281130757829573</v>
      </c>
    </row>
    <row r="789" customFormat="false" ht="15" hidden="false" customHeight="false" outlineLevel="0" collapsed="false">
      <c r="A789" s="11" t="n">
        <v>753</v>
      </c>
      <c r="B789" s="9" t="n">
        <f aca="false">IF(A789&gt;$B$6,"",SMALL(BTC_Data!$C$3:$C$1002,A789))</f>
        <v>0.000665960697525003</v>
      </c>
      <c r="C789" s="21" t="n">
        <f aca="false">IF(B789="","",A789/$B$6)</f>
        <v>0.753</v>
      </c>
      <c r="D789" s="21" t="n">
        <f aca="false">IF(B789="","",NORMDIST(B789,$B$15,$B$16,TRUE()))</f>
        <v>0.702723698255174</v>
      </c>
      <c r="E789" s="21" t="n">
        <f aca="false">IF(B789="","",IF(B789&gt;=$B$15,1-TDIST((B789-$B$15)/$B$18,$B$17,1),TDIST(($B$15-B789)/$B$18,$B$17,1)))</f>
        <v>0.725578591699319</v>
      </c>
      <c r="F789" s="21" t="n">
        <f aca="false">IF(B789="","",IF(B789&lt;$B$19,0.5*EXP((B789-$B$19)/$B$20),1-0.5*EXP(-(B789-$B$19)/$B$20)))</f>
        <v>0.761725116224947</v>
      </c>
      <c r="G789" s="21" t="n">
        <f aca="false">IF(B789="","",1/(1+EXP(-(B789-$B$15)/$B$21)))</f>
        <v>0.724200747805182</v>
      </c>
      <c r="H789" s="21" t="n">
        <f aca="false">IF(B789="","",MAX(ABS($A789/$B$6-D789),ABS(($A789-1)/$B$6-D789)))</f>
        <v>0.0502763017448259</v>
      </c>
      <c r="I789" s="21" t="n">
        <f aca="false">IF(B789="","",MAX(ABS($A789/$B$6-E789),ABS(($A789-1)/$B$6-E789)))</f>
        <v>0.0274214083006813</v>
      </c>
      <c r="J789" s="21" t="n">
        <f aca="false">IF(B789="","",MAX(ABS($A789/$B$6-F789),ABS(($A789-1)/$B$6-F789)))</f>
        <v>0.00972511622494698</v>
      </c>
      <c r="K789" s="21" t="n">
        <f aca="false">IF(B789="","",MAX(ABS($A789/$B$6-G789),ABS(($A789-1)/$B$6-G789)))</f>
        <v>0.0287992521948184</v>
      </c>
    </row>
    <row r="790" customFormat="false" ht="15" hidden="false" customHeight="false" outlineLevel="0" collapsed="false">
      <c r="A790" s="11" t="n">
        <v>754</v>
      </c>
      <c r="B790" s="9" t="n">
        <f aca="false">IF(A790&gt;$B$6,"",SMALL(BTC_Data!$C$3:$C$1002,A790))</f>
        <v>0.00067012230805652</v>
      </c>
      <c r="C790" s="21" t="n">
        <f aca="false">IF(B790="","",A790/$B$6)</f>
        <v>0.754</v>
      </c>
      <c r="D790" s="21" t="n">
        <f aca="false">IF(B790="","",NORMDIST(B790,$B$15,$B$16,TRUE()))</f>
        <v>0.703854442939279</v>
      </c>
      <c r="E790" s="21" t="n">
        <f aca="false">IF(B790="","",IF(B790&gt;=$B$15,1-TDIST((B790-$B$15)/$B$18,$B$17,1),TDIST(($B$15-B790)/$B$18,$B$17,1)))</f>
        <v>0.726771351388174</v>
      </c>
      <c r="F790" s="21" t="n">
        <f aca="false">IF(B790="","",IF(B790&lt;$B$19,0.5*EXP((B790-$B$19)/$B$20),1-0.5*EXP(-(B790-$B$19)/$B$20)))</f>
        <v>0.762810945703118</v>
      </c>
      <c r="G790" s="21" t="n">
        <f aca="false">IF(B790="","",1/(1+EXP(-(B790-$B$15)/$B$21)))</f>
        <v>0.72538327701606</v>
      </c>
      <c r="H790" s="21" t="n">
        <f aca="false">IF(B790="","",MAX(ABS($A790/$B$6-D790),ABS(($A790-1)/$B$6-D790)))</f>
        <v>0.0501455570607211</v>
      </c>
      <c r="I790" s="21" t="n">
        <f aca="false">IF(B790="","",MAX(ABS($A790/$B$6-E790),ABS(($A790-1)/$B$6-E790)))</f>
        <v>0.0272286486118264</v>
      </c>
      <c r="J790" s="21" t="n">
        <f aca="false">IF(B790="","",MAX(ABS($A790/$B$6-F790),ABS(($A790-1)/$B$6-F790)))</f>
        <v>0.0098109457031178</v>
      </c>
      <c r="K790" s="21" t="n">
        <f aca="false">IF(B790="","",MAX(ABS($A790/$B$6-G790),ABS(($A790-1)/$B$6-G790)))</f>
        <v>0.0286167229839398</v>
      </c>
    </row>
    <row r="791" customFormat="false" ht="15" hidden="false" customHeight="false" outlineLevel="0" collapsed="false">
      <c r="A791" s="11" t="n">
        <v>755</v>
      </c>
      <c r="B791" s="9" t="n">
        <f aca="false">IF(A791&gt;$B$6,"",SMALL(BTC_Data!$C$3:$C$1002,A791))</f>
        <v>0.000671525228328695</v>
      </c>
      <c r="C791" s="21" t="n">
        <f aca="false">IF(B791="","",A791/$B$6)</f>
        <v>0.755</v>
      </c>
      <c r="D791" s="21" t="n">
        <f aca="false">IF(B791="","",NORMDIST(B791,$B$15,$B$16,TRUE()))</f>
        <v>0.704235182966154</v>
      </c>
      <c r="E791" s="21" t="n">
        <f aca="false">IF(B791="","",IF(B791&gt;=$B$15,1-TDIST((B791-$B$15)/$B$18,$B$17,1),TDIST(($B$15-B791)/$B$18,$B$17,1)))</f>
        <v>0.727172731909525</v>
      </c>
      <c r="F791" s="21" t="n">
        <f aca="false">IF(B791="","",IF(B791&lt;$B$19,0.5*EXP((B791-$B$19)/$B$20),1-0.5*EXP(-(B791-$B$19)/$B$20)))</f>
        <v>0.763175873284802</v>
      </c>
      <c r="G791" s="21" t="n">
        <f aca="false">IF(B791="","",1/(1+EXP(-(B791-$B$15)/$B$21)))</f>
        <v>0.725781208507948</v>
      </c>
      <c r="H791" s="21" t="n">
        <f aca="false">IF(B791="","",MAX(ABS($A791/$B$6-D791),ABS(($A791-1)/$B$6-D791)))</f>
        <v>0.0507648170338461</v>
      </c>
      <c r="I791" s="21" t="n">
        <f aca="false">IF(B791="","",MAX(ABS($A791/$B$6-E791),ABS(($A791-1)/$B$6-E791)))</f>
        <v>0.0278272680904752</v>
      </c>
      <c r="J791" s="21" t="n">
        <f aca="false">IF(B791="","",MAX(ABS($A791/$B$6-F791),ABS(($A791-1)/$B$6-F791)))</f>
        <v>0.00917587328480174</v>
      </c>
      <c r="K791" s="21" t="n">
        <f aca="false">IF(B791="","",MAX(ABS($A791/$B$6-G791),ABS(($A791-1)/$B$6-G791)))</f>
        <v>0.0292187914920522</v>
      </c>
    </row>
    <row r="792" customFormat="false" ht="15" hidden="false" customHeight="false" outlineLevel="0" collapsed="false">
      <c r="A792" s="11" t="n">
        <v>756</v>
      </c>
      <c r="B792" s="9" t="n">
        <f aca="false">IF(A792&gt;$B$6,"",SMALL(BTC_Data!$C$3:$C$1002,A792))</f>
        <v>0.000675406105165921</v>
      </c>
      <c r="C792" s="21" t="n">
        <f aca="false">IF(B792="","",A792/$B$6)</f>
        <v>0.756</v>
      </c>
      <c r="D792" s="21" t="n">
        <f aca="false">IF(B792="","",NORMDIST(B792,$B$15,$B$16,TRUE()))</f>
        <v>0.705287244878392</v>
      </c>
      <c r="E792" s="21" t="n">
        <f aca="false">IF(B792="","",IF(B792&gt;=$B$15,1-TDIST((B792-$B$15)/$B$18,$B$17,1),TDIST(($B$15-B792)/$B$18,$B$17,1)))</f>
        <v>0.728281194140614</v>
      </c>
      <c r="F792" s="21" t="n">
        <f aca="false">IF(B792="","",IF(B792&lt;$B$19,0.5*EXP((B792-$B$19)/$B$20),1-0.5*EXP(-(B792-$B$19)/$B$20)))</f>
        <v>0.764182444689676</v>
      </c>
      <c r="G792" s="21" t="n">
        <f aca="false">IF(B792="","",1/(1+EXP(-(B792-$B$15)/$B$21)))</f>
        <v>0.726880129445483</v>
      </c>
      <c r="H792" s="21" t="n">
        <f aca="false">IF(B792="","",MAX(ABS($A792/$B$6-D792),ABS(($A792-1)/$B$6-D792)))</f>
        <v>0.0507127551216084</v>
      </c>
      <c r="I792" s="21" t="n">
        <f aca="false">IF(B792="","",MAX(ABS($A792/$B$6-E792),ABS(($A792-1)/$B$6-E792)))</f>
        <v>0.0277188058593862</v>
      </c>
      <c r="J792" s="21" t="n">
        <f aca="false">IF(B792="","",MAX(ABS($A792/$B$6-F792),ABS(($A792-1)/$B$6-F792)))</f>
        <v>0.00918244468967611</v>
      </c>
      <c r="K792" s="21" t="n">
        <f aca="false">IF(B792="","",MAX(ABS($A792/$B$6-G792),ABS(($A792-1)/$B$6-G792)))</f>
        <v>0.0291198705545171</v>
      </c>
    </row>
    <row r="793" customFormat="false" ht="15" hidden="false" customHeight="false" outlineLevel="0" collapsed="false">
      <c r="A793" s="11" t="n">
        <v>757</v>
      </c>
      <c r="B793" s="9" t="n">
        <f aca="false">IF(A793&gt;$B$6,"",SMALL(BTC_Data!$C$3:$C$1002,A793))</f>
        <v>0.000678766063684</v>
      </c>
      <c r="C793" s="21" t="n">
        <f aca="false">IF(B793="","",A793/$B$6)</f>
        <v>0.757</v>
      </c>
      <c r="D793" s="21" t="n">
        <f aca="false">IF(B793="","",NORMDIST(B793,$B$15,$B$16,TRUE()))</f>
        <v>0.706196695398247</v>
      </c>
      <c r="E793" s="21" t="n">
        <f aca="false">IF(B793="","",IF(B793&gt;=$B$15,1-TDIST((B793-$B$15)/$B$18,$B$17,1),TDIST(($B$15-B793)/$B$18,$B$17,1)))</f>
        <v>0.729238647333004</v>
      </c>
      <c r="F793" s="21" t="n">
        <f aca="false">IF(B793="","",IF(B793&lt;$B$19,0.5*EXP((B793-$B$19)/$B$20),1-0.5*EXP(-(B793-$B$19)/$B$20)))</f>
        <v>0.765050451029686</v>
      </c>
      <c r="G793" s="21" t="n">
        <f aca="false">IF(B793="","",1/(1+EXP(-(B793-$B$15)/$B$21)))</f>
        <v>0.727829322038116</v>
      </c>
      <c r="H793" s="21" t="n">
        <f aca="false">IF(B793="","",MAX(ABS($A793/$B$6-D793),ABS(($A793-1)/$B$6-D793)))</f>
        <v>0.0508033046017534</v>
      </c>
      <c r="I793" s="21" t="n">
        <f aca="false">IF(B793="","",MAX(ABS($A793/$B$6-E793),ABS(($A793-1)/$B$6-E793)))</f>
        <v>0.0277613526669961</v>
      </c>
      <c r="J793" s="21" t="n">
        <f aca="false">IF(B793="","",MAX(ABS($A793/$B$6-F793),ABS(($A793-1)/$B$6-F793)))</f>
        <v>0.0090504510296856</v>
      </c>
      <c r="K793" s="21" t="n">
        <f aca="false">IF(B793="","",MAX(ABS($A793/$B$6-G793),ABS(($A793-1)/$B$6-G793)))</f>
        <v>0.0291706779618846</v>
      </c>
    </row>
    <row r="794" customFormat="false" ht="15" hidden="false" customHeight="false" outlineLevel="0" collapsed="false">
      <c r="A794" s="11" t="n">
        <v>758</v>
      </c>
      <c r="B794" s="9" t="n">
        <f aca="false">IF(A794&gt;$B$6,"",SMALL(BTC_Data!$C$3:$C$1002,A794))</f>
        <v>0.00067951294008739</v>
      </c>
      <c r="C794" s="21" t="n">
        <f aca="false">IF(B794="","",A794/$B$6)</f>
        <v>0.758</v>
      </c>
      <c r="D794" s="21" t="n">
        <f aca="false">IF(B794="","",NORMDIST(B794,$B$15,$B$16,TRUE()))</f>
        <v>0.706398678253924</v>
      </c>
      <c r="E794" s="21" t="n">
        <f aca="false">IF(B794="","",IF(B794&gt;=$B$15,1-TDIST((B794-$B$15)/$B$18,$B$17,1),TDIST(($B$15-B794)/$B$18,$B$17,1)))</f>
        <v>0.729451196283013</v>
      </c>
      <c r="F794" s="21" t="n">
        <f aca="false">IF(B794="","",IF(B794&lt;$B$19,0.5*EXP((B794-$B$19)/$B$20),1-0.5*EXP(-(B794-$B$19)/$B$20)))</f>
        <v>0.765242963439024</v>
      </c>
      <c r="G794" s="21" t="n">
        <f aca="false">IF(B794="","",1/(1+EXP(-(B794-$B$15)/$B$21)))</f>
        <v>0.728040034800833</v>
      </c>
      <c r="H794" s="21" t="n">
        <f aca="false">IF(B794="","",MAX(ABS($A794/$B$6-D794),ABS(($A794-1)/$B$6-D794)))</f>
        <v>0.0516013217460763</v>
      </c>
      <c r="I794" s="21" t="n">
        <f aca="false">IF(B794="","",MAX(ABS($A794/$B$6-E794),ABS(($A794-1)/$B$6-E794)))</f>
        <v>0.0285488037169868</v>
      </c>
      <c r="J794" s="21" t="n">
        <f aca="false">IF(B794="","",MAX(ABS($A794/$B$6-F794),ABS(($A794-1)/$B$6-F794)))</f>
        <v>0.00824296343902409</v>
      </c>
      <c r="K794" s="21" t="n">
        <f aca="false">IF(B794="","",MAX(ABS($A794/$B$6-G794),ABS(($A794-1)/$B$6-G794)))</f>
        <v>0.029959965199167</v>
      </c>
    </row>
    <row r="795" customFormat="false" ht="15" hidden="false" customHeight="false" outlineLevel="0" collapsed="false">
      <c r="A795" s="11" t="n">
        <v>759</v>
      </c>
      <c r="B795" s="9" t="n">
        <f aca="false">IF(A795&gt;$B$6,"",SMALL(BTC_Data!$C$3:$C$1002,A795))</f>
        <v>0.000693528015813349</v>
      </c>
      <c r="C795" s="21" t="n">
        <f aca="false">IF(B795="","",A795/$B$6)</f>
        <v>0.759</v>
      </c>
      <c r="D795" s="21" t="n">
        <f aca="false">IF(B795="","",NORMDIST(B795,$B$15,$B$16,TRUE()))</f>
        <v>0.710176890438752</v>
      </c>
      <c r="E795" s="21" t="n">
        <f aca="false">IF(B795="","",IF(B795&gt;=$B$15,1-TDIST((B795-$B$15)/$B$18,$B$17,1),TDIST(($B$15-B795)/$B$18,$B$17,1)))</f>
        <v>0.733420646182343</v>
      </c>
      <c r="F795" s="21" t="n">
        <f aca="false">IF(B795="","",IF(B795&lt;$B$19,0.5*EXP((B795-$B$19)/$B$20),1-0.5*EXP(-(B795-$B$19)/$B$20)))</f>
        <v>0.768826332849252</v>
      </c>
      <c r="G795" s="21" t="n">
        <f aca="false">IF(B795="","",1/(1+EXP(-(B795-$B$15)/$B$21)))</f>
        <v>0.731975037724729</v>
      </c>
      <c r="H795" s="21" t="n">
        <f aca="false">IF(B795="","",MAX(ABS($A795/$B$6-D795),ABS(($A795-1)/$B$6-D795)))</f>
        <v>0.0488231095612476</v>
      </c>
      <c r="I795" s="21" t="n">
        <f aca="false">IF(B795="","",MAX(ABS($A795/$B$6-E795),ABS(($A795-1)/$B$6-E795)))</f>
        <v>0.0255793538176569</v>
      </c>
      <c r="J795" s="21" t="n">
        <f aca="false">IF(B795="","",MAX(ABS($A795/$B$6-F795),ABS(($A795-1)/$B$6-F795)))</f>
        <v>0.0108263328492517</v>
      </c>
      <c r="K795" s="21" t="n">
        <f aca="false">IF(B795="","",MAX(ABS($A795/$B$6-G795),ABS(($A795-1)/$B$6-G795)))</f>
        <v>0.027024962275271</v>
      </c>
    </row>
    <row r="796" customFormat="false" ht="15" hidden="false" customHeight="false" outlineLevel="0" collapsed="false">
      <c r="A796" s="11" t="n">
        <v>760</v>
      </c>
      <c r="B796" s="9" t="n">
        <f aca="false">IF(A796&gt;$B$6,"",SMALL(BTC_Data!$C$3:$C$1002,A796))</f>
        <v>0.000693604773845502</v>
      </c>
      <c r="C796" s="21" t="n">
        <f aca="false">IF(B796="","",A796/$B$6)</f>
        <v>0.76</v>
      </c>
      <c r="D796" s="21" t="n">
        <f aca="false">IF(B796="","",NORMDIST(B796,$B$15,$B$16,TRUE()))</f>
        <v>0.710197520078459</v>
      </c>
      <c r="E796" s="21" t="n">
        <f aca="false">IF(B796="","",IF(B796&gt;=$B$15,1-TDIST((B796-$B$15)/$B$18,$B$17,1),TDIST(($B$15-B796)/$B$18,$B$17,1)))</f>
        <v>0.733442286425959</v>
      </c>
      <c r="F796" s="21" t="n">
        <f aca="false">IF(B796="","",IF(B796&lt;$B$19,0.5*EXP((B796-$B$19)/$B$20),1-0.5*EXP(-(B796-$B$19)/$B$20)))</f>
        <v>0.768845806943288</v>
      </c>
      <c r="G796" s="21" t="n">
        <f aca="false">IF(B796="","",1/(1+EXP(-(B796-$B$15)/$B$21)))</f>
        <v>0.731996489382083</v>
      </c>
      <c r="H796" s="21" t="n">
        <f aca="false">IF(B796="","",MAX(ABS($A796/$B$6-D796),ABS(($A796-1)/$B$6-D796)))</f>
        <v>0.0498024799215415</v>
      </c>
      <c r="I796" s="21" t="n">
        <f aca="false">IF(B796="","",MAX(ABS($A796/$B$6-E796),ABS(($A796-1)/$B$6-E796)))</f>
        <v>0.0265577135740407</v>
      </c>
      <c r="J796" s="21" t="n">
        <f aca="false">IF(B796="","",MAX(ABS($A796/$B$6-F796),ABS(($A796-1)/$B$6-F796)))</f>
        <v>0.00984580694328752</v>
      </c>
      <c r="K796" s="21" t="n">
        <f aca="false">IF(B796="","",MAX(ABS($A796/$B$6-G796),ABS(($A796-1)/$B$6-G796)))</f>
        <v>0.0280035106179175</v>
      </c>
    </row>
    <row r="797" customFormat="false" ht="15" hidden="false" customHeight="false" outlineLevel="0" collapsed="false">
      <c r="A797" s="11" t="n">
        <v>761</v>
      </c>
      <c r="B797" s="9" t="n">
        <f aca="false">IF(A797&gt;$B$6,"",SMALL(BTC_Data!$C$3:$C$1002,A797))</f>
        <v>0.000706785902008678</v>
      </c>
      <c r="C797" s="21" t="n">
        <f aca="false">IF(B797="","",A797/$B$6)</f>
        <v>0.761</v>
      </c>
      <c r="D797" s="21" t="n">
        <f aca="false">IF(B797="","",NORMDIST(B797,$B$15,$B$16,TRUE()))</f>
        <v>0.713729845371395</v>
      </c>
      <c r="E797" s="21" t="n">
        <f aca="false">IF(B797="","",IF(B797&gt;=$B$15,1-TDIST((B797-$B$15)/$B$18,$B$17,1),TDIST(($B$15-B797)/$B$18,$B$17,1)))</f>
        <v>0.737142218505575</v>
      </c>
      <c r="F797" s="21" t="n">
        <f aca="false">IF(B797="","",IF(B797&lt;$B$19,0.5*EXP((B797-$B$19)/$B$20),1-0.5*EXP(-(B797-$B$19)/$B$20)))</f>
        <v>0.772165746130507</v>
      </c>
      <c r="G797" s="21" t="n">
        <f aca="false">IF(B797="","",1/(1+EXP(-(B797-$B$15)/$B$21)))</f>
        <v>0.73566405678339</v>
      </c>
      <c r="H797" s="21" t="n">
        <f aca="false">IF(B797="","",MAX(ABS($A797/$B$6-D797),ABS(($A797-1)/$B$6-D797)))</f>
        <v>0.047270154628605</v>
      </c>
      <c r="I797" s="21" t="n">
        <f aca="false">IF(B797="","",MAX(ABS($A797/$B$6-E797),ABS(($A797-1)/$B$6-E797)))</f>
        <v>0.0238577814944252</v>
      </c>
      <c r="J797" s="21" t="n">
        <f aca="false">IF(B797="","",MAX(ABS($A797/$B$6-F797),ABS(($A797-1)/$B$6-F797)))</f>
        <v>0.0121657461305072</v>
      </c>
      <c r="K797" s="21" t="n">
        <f aca="false">IF(B797="","",MAX(ABS($A797/$B$6-G797),ABS(($A797-1)/$B$6-G797)))</f>
        <v>0.0253359432166105</v>
      </c>
    </row>
    <row r="798" customFormat="false" ht="15" hidden="false" customHeight="false" outlineLevel="0" collapsed="false">
      <c r="A798" s="11" t="n">
        <v>762</v>
      </c>
      <c r="B798" s="9" t="n">
        <f aca="false">IF(A798&gt;$B$6,"",SMALL(BTC_Data!$C$3:$C$1002,A798))</f>
        <v>0.000707159441921901</v>
      </c>
      <c r="C798" s="21" t="n">
        <f aca="false">IF(B798="","",A798/$B$6)</f>
        <v>0.762</v>
      </c>
      <c r="D798" s="21" t="n">
        <f aca="false">IF(B798="","",NORMDIST(B798,$B$15,$B$16,TRUE()))</f>
        <v>0.713829649324838</v>
      </c>
      <c r="E798" s="21" t="n">
        <f aca="false">IF(B798="","",IF(B798&gt;=$B$15,1-TDIST((B798-$B$15)/$B$18,$B$17,1),TDIST(($B$15-B798)/$B$18,$B$17,1)))</f>
        <v>0.73724660031727</v>
      </c>
      <c r="F798" s="21" t="n">
        <f aca="false">IF(B798="","",IF(B798&lt;$B$19,0.5*EXP((B798-$B$19)/$B$20),1-0.5*EXP(-(B798-$B$19)/$B$20)))</f>
        <v>0.772259131829404</v>
      </c>
      <c r="G798" s="21" t="n">
        <f aca="false">IF(B798="","",1/(1+EXP(-(B798-$B$15)/$B$21)))</f>
        <v>0.73576752210798</v>
      </c>
      <c r="H798" s="21" t="n">
        <f aca="false">IF(B798="","",MAX(ABS($A798/$B$6-D798),ABS(($A798-1)/$B$6-D798)))</f>
        <v>0.0481703506751621</v>
      </c>
      <c r="I798" s="21" t="n">
        <f aca="false">IF(B798="","",MAX(ABS($A798/$B$6-E798),ABS(($A798-1)/$B$6-E798)))</f>
        <v>0.0247533996827298</v>
      </c>
      <c r="J798" s="21" t="n">
        <f aca="false">IF(B798="","",MAX(ABS($A798/$B$6-F798),ABS(($A798-1)/$B$6-F798)))</f>
        <v>0.0112591318294043</v>
      </c>
      <c r="K798" s="21" t="n">
        <f aca="false">IF(B798="","",MAX(ABS($A798/$B$6-G798),ABS(($A798-1)/$B$6-G798)))</f>
        <v>0.0262324778920198</v>
      </c>
    </row>
    <row r="799" customFormat="false" ht="15" hidden="false" customHeight="false" outlineLevel="0" collapsed="false">
      <c r="A799" s="11" t="n">
        <v>763</v>
      </c>
      <c r="B799" s="9" t="n">
        <f aca="false">IF(A799&gt;$B$6,"",SMALL(BTC_Data!$C$3:$C$1002,A799))</f>
        <v>0.0007071672956247</v>
      </c>
      <c r="C799" s="21" t="n">
        <f aca="false">IF(B799="","",A799/$B$6)</f>
        <v>0.763</v>
      </c>
      <c r="D799" s="21" t="n">
        <f aca="false">IF(B799="","",NORMDIST(B799,$B$15,$B$16,TRUE()))</f>
        <v>0.71383174753253</v>
      </c>
      <c r="E799" s="21" t="n">
        <f aca="false">IF(B799="","",IF(B799&gt;=$B$15,1-TDIST((B799-$B$15)/$B$18,$B$17,1),TDIST(($B$15-B799)/$B$18,$B$17,1)))</f>
        <v>0.737248794673078</v>
      </c>
      <c r="F799" s="21" t="n">
        <f aca="false">IF(B799="","",IF(B799&lt;$B$19,0.5*EXP((B799-$B$19)/$B$20),1-0.5*EXP(-(B799-$B$19)/$B$20)))</f>
        <v>0.772261094859348</v>
      </c>
      <c r="G799" s="21" t="n">
        <f aca="false">IF(B799="","",1/(1+EXP(-(B799-$B$15)/$B$21)))</f>
        <v>0.735769697195063</v>
      </c>
      <c r="H799" s="21" t="n">
        <f aca="false">IF(B799="","",MAX(ABS($A799/$B$6-D799),ABS(($A799-1)/$B$6-D799)))</f>
        <v>0.0491682524674705</v>
      </c>
      <c r="I799" s="21" t="n">
        <f aca="false">IF(B799="","",MAX(ABS($A799/$B$6-E799),ABS(($A799-1)/$B$6-E799)))</f>
        <v>0.0257512053269223</v>
      </c>
      <c r="J799" s="21" t="n">
        <f aca="false">IF(B799="","",MAX(ABS($A799/$B$6-F799),ABS(($A799-1)/$B$6-F799)))</f>
        <v>0.0102610948593475</v>
      </c>
      <c r="K799" s="21" t="n">
        <f aca="false">IF(B799="","",MAX(ABS($A799/$B$6-G799),ABS(($A799-1)/$B$6-G799)))</f>
        <v>0.0272303028049369</v>
      </c>
    </row>
    <row r="800" customFormat="false" ht="15" hidden="false" customHeight="false" outlineLevel="0" collapsed="false">
      <c r="A800" s="11" t="n">
        <v>764</v>
      </c>
      <c r="B800" s="9" t="n">
        <f aca="false">IF(A800&gt;$B$6,"",SMALL(BTC_Data!$C$3:$C$1002,A800))</f>
        <v>0.000708131754501462</v>
      </c>
      <c r="C800" s="21" t="n">
        <f aca="false">IF(B800="","",A800/$B$6)</f>
        <v>0.764</v>
      </c>
      <c r="D800" s="21" t="n">
        <f aca="false">IF(B800="","",NORMDIST(B800,$B$15,$B$16,TRUE()))</f>
        <v>0.71408935832998</v>
      </c>
      <c r="E800" s="21" t="n">
        <f aca="false">IF(B800="","",IF(B800&gt;=$B$15,1-TDIST((B800-$B$15)/$B$18,$B$17,1),TDIST(($B$15-B800)/$B$18,$B$17,1)))</f>
        <v>0.737518180925776</v>
      </c>
      <c r="F800" s="21" t="n">
        <f aca="false">IF(B800="","",IF(B800&lt;$B$19,0.5*EXP((B800-$B$19)/$B$20),1-0.5*EXP(-(B800-$B$19)/$B$20)))</f>
        <v>0.772502032398942</v>
      </c>
      <c r="G800" s="21" t="n">
        <f aca="false">IF(B800="","",1/(1+EXP(-(B800-$B$15)/$B$21)))</f>
        <v>0.73603671734175</v>
      </c>
      <c r="H800" s="21" t="n">
        <f aca="false">IF(B800="","",MAX(ABS($A800/$B$6-D800),ABS(($A800-1)/$B$6-D800)))</f>
        <v>0.0499106416700199</v>
      </c>
      <c r="I800" s="21" t="n">
        <f aca="false">IF(B800="","",MAX(ABS($A800/$B$6-E800),ABS(($A800-1)/$B$6-E800)))</f>
        <v>0.026481819074224</v>
      </c>
      <c r="J800" s="21" t="n">
        <f aca="false">IF(B800="","",MAX(ABS($A800/$B$6-F800),ABS(($A800-1)/$B$6-F800)))</f>
        <v>0.00950203239894176</v>
      </c>
      <c r="K800" s="21" t="n">
        <f aca="false">IF(B800="","",MAX(ABS($A800/$B$6-G800),ABS(($A800-1)/$B$6-G800)))</f>
        <v>0.0279632826582499</v>
      </c>
    </row>
    <row r="801" customFormat="false" ht="15" hidden="false" customHeight="false" outlineLevel="0" collapsed="false">
      <c r="A801" s="11" t="n">
        <v>765</v>
      </c>
      <c r="B801" s="9" t="n">
        <f aca="false">IF(A801&gt;$B$6,"",SMALL(BTC_Data!$C$3:$C$1002,A801))</f>
        <v>0.000710451684955205</v>
      </c>
      <c r="C801" s="21" t="n">
        <f aca="false">IF(B801="","",A801/$B$6)</f>
        <v>0.765</v>
      </c>
      <c r="D801" s="21" t="n">
        <f aca="false">IF(B801="","",NORMDIST(B801,$B$15,$B$16,TRUE()))</f>
        <v>0.714708569017595</v>
      </c>
      <c r="E801" s="21" t="n">
        <f aca="false">IF(B801="","",IF(B801&gt;=$B$15,1-TDIST((B801-$B$15)/$B$18,$B$17,1),TDIST(($B$15-B801)/$B$18,$B$17,1)))</f>
        <v>0.738165457964036</v>
      </c>
      <c r="F801" s="21" t="n">
        <f aca="false">IF(B801="","",IF(B801&lt;$B$19,0.5*EXP((B801-$B$19)/$B$20),1-0.5*EXP(-(B801-$B$19)/$B$20)))</f>
        <v>0.77308054532994</v>
      </c>
      <c r="G801" s="21" t="n">
        <f aca="false">IF(B801="","",1/(1+EXP(-(B801-$B$15)/$B$21)))</f>
        <v>0.736678304180619</v>
      </c>
      <c r="H801" s="21" t="n">
        <f aca="false">IF(B801="","",MAX(ABS($A801/$B$6-D801),ABS(($A801-1)/$B$6-D801)))</f>
        <v>0.0502914309824054</v>
      </c>
      <c r="I801" s="21" t="n">
        <f aca="false">IF(B801="","",MAX(ABS($A801/$B$6-E801),ABS(($A801-1)/$B$6-E801)))</f>
        <v>0.0268345420359636</v>
      </c>
      <c r="J801" s="21" t="n">
        <f aca="false">IF(B801="","",MAX(ABS($A801/$B$6-F801),ABS(($A801-1)/$B$6-F801)))</f>
        <v>0.00908054532993985</v>
      </c>
      <c r="K801" s="21" t="n">
        <f aca="false">IF(B801="","",MAX(ABS($A801/$B$6-G801),ABS(($A801-1)/$B$6-G801)))</f>
        <v>0.0283216958193806</v>
      </c>
    </row>
    <row r="802" customFormat="false" ht="15" hidden="false" customHeight="false" outlineLevel="0" collapsed="false">
      <c r="A802" s="11" t="n">
        <v>766</v>
      </c>
      <c r="B802" s="9" t="n">
        <f aca="false">IF(A802&gt;$B$6,"",SMALL(BTC_Data!$C$3:$C$1002,A802))</f>
        <v>0.000713555179198133</v>
      </c>
      <c r="C802" s="21" t="n">
        <f aca="false">IF(B802="","",A802/$B$6)</f>
        <v>0.766</v>
      </c>
      <c r="D802" s="21" t="n">
        <f aca="false">IF(B802="","",NORMDIST(B802,$B$15,$B$16,TRUE()))</f>
        <v>0.715535919693128</v>
      </c>
      <c r="E802" s="21" t="n">
        <f aca="false">IF(B802="","",IF(B802&gt;=$B$15,1-TDIST((B802-$B$15)/$B$18,$B$17,1),TDIST(($B$15-B802)/$B$18,$B$17,1)))</f>
        <v>0.739029783435956</v>
      </c>
      <c r="F802" s="21" t="n">
        <f aca="false">IF(B802="","",IF(B802&lt;$B$19,0.5*EXP((B802-$B$19)/$B$20),1-0.5*EXP(-(B802-$B$19)/$B$20)))</f>
        <v>0.773852153130773</v>
      </c>
      <c r="G802" s="21" t="n">
        <f aca="false">IF(B802="","",1/(1+EXP(-(B802-$B$15)/$B$21)))</f>
        <v>0.737535020591083</v>
      </c>
      <c r="H802" s="21" t="n">
        <f aca="false">IF(B802="","",MAX(ABS($A802/$B$6-D802),ABS(($A802-1)/$B$6-D802)))</f>
        <v>0.0504640803068724</v>
      </c>
      <c r="I802" s="21" t="n">
        <f aca="false">IF(B802="","",MAX(ABS($A802/$B$6-E802),ABS(($A802-1)/$B$6-E802)))</f>
        <v>0.0269702165640436</v>
      </c>
      <c r="J802" s="21" t="n">
        <f aca="false">IF(B802="","",MAX(ABS($A802/$B$6-F802),ABS(($A802-1)/$B$6-F802)))</f>
        <v>0.00885215313077248</v>
      </c>
      <c r="K802" s="21" t="n">
        <f aca="false">IF(B802="","",MAX(ABS($A802/$B$6-G802),ABS(($A802-1)/$B$6-G802)))</f>
        <v>0.0284649794089167</v>
      </c>
    </row>
    <row r="803" customFormat="false" ht="15" hidden="false" customHeight="false" outlineLevel="0" collapsed="false">
      <c r="A803" s="11" t="n">
        <v>767</v>
      </c>
      <c r="B803" s="9" t="n">
        <f aca="false">IF(A803&gt;$B$6,"",SMALL(BTC_Data!$C$3:$C$1002,A803))</f>
        <v>0.000714490000000012</v>
      </c>
      <c r="C803" s="21" t="n">
        <f aca="false">IF(B803="","",A803/$B$6)</f>
        <v>0.767</v>
      </c>
      <c r="D803" s="21" t="n">
        <f aca="false">IF(B803="","",NORMDIST(B803,$B$15,$B$16,TRUE()))</f>
        <v>0.715784905788034</v>
      </c>
      <c r="E803" s="21" t="n">
        <f aca="false">IF(B803="","",IF(B803&gt;=$B$15,1-TDIST((B803-$B$15)/$B$18,$B$17,1),TDIST(($B$15-B803)/$B$18,$B$17,1)))</f>
        <v>0.739289778874781</v>
      </c>
      <c r="F803" s="21" t="n">
        <f aca="false">IF(B803="","",IF(B803&lt;$B$19,0.5*EXP((B803-$B$19)/$B$20),1-0.5*EXP(-(B803-$B$19)/$B$20)))</f>
        <v>0.774084058826541</v>
      </c>
      <c r="G803" s="21" t="n">
        <f aca="false">IF(B803="","",1/(1+EXP(-(B803-$B$15)/$B$21)))</f>
        <v>0.737792724780935</v>
      </c>
      <c r="H803" s="21" t="n">
        <f aca="false">IF(B803="","",MAX(ABS($A803/$B$6-D803),ABS(($A803-1)/$B$6-D803)))</f>
        <v>0.0512150942119664</v>
      </c>
      <c r="I803" s="21" t="n">
        <f aca="false">IF(B803="","",MAX(ABS($A803/$B$6-E803),ABS(($A803-1)/$B$6-E803)))</f>
        <v>0.0277102211252188</v>
      </c>
      <c r="J803" s="21" t="n">
        <f aca="false">IF(B803="","",MAX(ABS($A803/$B$6-F803),ABS(($A803-1)/$B$6-F803)))</f>
        <v>0.00808405882654084</v>
      </c>
      <c r="K803" s="21" t="n">
        <f aca="false">IF(B803="","",MAX(ABS($A803/$B$6-G803),ABS(($A803-1)/$B$6-G803)))</f>
        <v>0.029207275219065</v>
      </c>
    </row>
    <row r="804" customFormat="false" ht="15" hidden="false" customHeight="false" outlineLevel="0" collapsed="false">
      <c r="A804" s="11" t="n">
        <v>768</v>
      </c>
      <c r="B804" s="9" t="n">
        <f aca="false">IF(A804&gt;$B$6,"",SMALL(BTC_Data!$C$3:$C$1002,A804))</f>
        <v>0.000715946093582831</v>
      </c>
      <c r="C804" s="21" t="n">
        <f aca="false">IF(B804="","",A804/$B$6)</f>
        <v>0.768</v>
      </c>
      <c r="D804" s="21" t="n">
        <f aca="false">IF(B804="","",NORMDIST(B804,$B$15,$B$16,TRUE()))</f>
        <v>0.716172523300513</v>
      </c>
      <c r="E804" s="21" t="n">
        <f aca="false">IF(B804="","",IF(B804&gt;=$B$15,1-TDIST((B804-$B$15)/$B$18,$B$17,1),TDIST(($B$15-B804)/$B$18,$B$17,1)))</f>
        <v>0.739694426691955</v>
      </c>
      <c r="F804" s="21" t="n">
        <f aca="false">IF(B804="","",IF(B804&lt;$B$19,0.5*EXP((B804-$B$19)/$B$20),1-0.5*EXP(-(B804-$B$19)/$B$20)))</f>
        <v>0.774444805678884</v>
      </c>
      <c r="G804" s="21" t="n">
        <f aca="false">IF(B804="","",1/(1+EXP(-(B804-$B$15)/$B$21)))</f>
        <v>0.738193804403709</v>
      </c>
      <c r="H804" s="21" t="n">
        <f aca="false">IF(B804="","",MAX(ABS($A804/$B$6-D804),ABS(($A804-1)/$B$6-D804)))</f>
        <v>0.0518274766994867</v>
      </c>
      <c r="I804" s="21" t="n">
        <f aca="false">IF(B804="","",MAX(ABS($A804/$B$6-E804),ABS(($A804-1)/$B$6-E804)))</f>
        <v>0.0283055733080448</v>
      </c>
      <c r="J804" s="21" t="n">
        <f aca="false">IF(B804="","",MAX(ABS($A804/$B$6-F804),ABS(($A804-1)/$B$6-F804)))</f>
        <v>0.00744480567888395</v>
      </c>
      <c r="K804" s="21" t="n">
        <f aca="false">IF(B804="","",MAX(ABS($A804/$B$6-G804),ABS(($A804-1)/$B$6-G804)))</f>
        <v>0.0298061955962906</v>
      </c>
    </row>
    <row r="805" customFormat="false" ht="15" hidden="false" customHeight="false" outlineLevel="0" collapsed="false">
      <c r="A805" s="11" t="n">
        <v>769</v>
      </c>
      <c r="B805" s="9" t="n">
        <f aca="false">IF(A805&gt;$B$6,"",SMALL(BTC_Data!$C$3:$C$1002,A805))</f>
        <v>0.000725755745969448</v>
      </c>
      <c r="C805" s="21" t="n">
        <f aca="false">IF(B805="","",A805/$B$6)</f>
        <v>0.769</v>
      </c>
      <c r="D805" s="21" t="n">
        <f aca="false">IF(B805="","",NORMDIST(B805,$B$15,$B$16,TRUE()))</f>
        <v>0.718777271885988</v>
      </c>
      <c r="E805" s="21" t="n">
        <f aca="false">IF(B805="","",IF(B805&gt;=$B$15,1-TDIST((B805-$B$15)/$B$18,$B$17,1),TDIST(($B$15-B805)/$B$18,$B$17,1)))</f>
        <v>0.742410163181197</v>
      </c>
      <c r="F805" s="21" t="n">
        <f aca="false">IF(B805="","",IF(B805&lt;$B$19,0.5*EXP((B805-$B$19)/$B$20),1-0.5*EXP(-(B805-$B$19)/$B$20)))</f>
        <v>0.77686017772</v>
      </c>
      <c r="G805" s="21" t="n">
        <f aca="false">IF(B805="","",1/(1+EXP(-(B805-$B$15)/$B$21)))</f>
        <v>0.740885526517092</v>
      </c>
      <c r="H805" s="21" t="n">
        <f aca="false">IF(B805="","",MAX(ABS($A805/$B$6-D805),ABS(($A805-1)/$B$6-D805)))</f>
        <v>0.0502227281140125</v>
      </c>
      <c r="I805" s="21" t="n">
        <f aca="false">IF(B805="","",MAX(ABS($A805/$B$6-E805),ABS(($A805-1)/$B$6-E805)))</f>
        <v>0.0265898368188034</v>
      </c>
      <c r="J805" s="21" t="n">
        <f aca="false">IF(B805="","",MAX(ABS($A805/$B$6-F805),ABS(($A805-1)/$B$6-F805)))</f>
        <v>0.00886017771999947</v>
      </c>
      <c r="K805" s="21" t="n">
        <f aca="false">IF(B805="","",MAX(ABS($A805/$B$6-G805),ABS(($A805-1)/$B$6-G805)))</f>
        <v>0.028114473482908</v>
      </c>
    </row>
    <row r="806" customFormat="false" ht="15" hidden="false" customHeight="false" outlineLevel="0" collapsed="false">
      <c r="A806" s="11" t="n">
        <v>770</v>
      </c>
      <c r="B806" s="9" t="n">
        <f aca="false">IF(A806&gt;$B$6,"",SMALL(BTC_Data!$C$3:$C$1002,A806))</f>
        <v>0.000728071062203517</v>
      </c>
      <c r="C806" s="21" t="n">
        <f aca="false">IF(B806="","",A806/$B$6)</f>
        <v>0.77</v>
      </c>
      <c r="D806" s="21" t="n">
        <f aca="false">IF(B806="","",NORMDIST(B806,$B$15,$B$16,TRUE()))</f>
        <v>0.719390367906194</v>
      </c>
      <c r="E806" s="21" t="n">
        <f aca="false">IF(B806="","",IF(B806&gt;=$B$15,1-TDIST((B806-$B$15)/$B$18,$B$17,1),TDIST(($B$15-B806)/$B$18,$B$17,1)))</f>
        <v>0.743048504594098</v>
      </c>
      <c r="F806" s="21" t="n">
        <f aca="false">IF(B806="","",IF(B806&lt;$B$19,0.5*EXP((B806-$B$19)/$B$20),1-0.5*EXP(-(B806-$B$19)/$B$20)))</f>
        <v>0.777426481007334</v>
      </c>
      <c r="G806" s="21" t="n">
        <f aca="false">IF(B806="","",1/(1+EXP(-(B806-$B$15)/$B$21)))</f>
        <v>0.741518206821469</v>
      </c>
      <c r="H806" s="21" t="n">
        <f aca="false">IF(B806="","",MAX(ABS($A806/$B$6-D806),ABS(($A806-1)/$B$6-D806)))</f>
        <v>0.0506096320938056</v>
      </c>
      <c r="I806" s="21" t="n">
        <f aca="false">IF(B806="","",MAX(ABS($A806/$B$6-E806),ABS(($A806-1)/$B$6-E806)))</f>
        <v>0.0269514954059018</v>
      </c>
      <c r="J806" s="21" t="n">
        <f aca="false">IF(B806="","",MAX(ABS($A806/$B$6-F806),ABS(($A806-1)/$B$6-F806)))</f>
        <v>0.0084264810073339</v>
      </c>
      <c r="K806" s="21" t="n">
        <f aca="false">IF(B806="","",MAX(ABS($A806/$B$6-G806),ABS(($A806-1)/$B$6-G806)))</f>
        <v>0.0284817931785308</v>
      </c>
    </row>
    <row r="807" customFormat="false" ht="15" hidden="false" customHeight="false" outlineLevel="0" collapsed="false">
      <c r="A807" s="11" t="n">
        <v>771</v>
      </c>
      <c r="B807" s="9" t="n">
        <f aca="false">IF(A807&gt;$B$6,"",SMALL(BTC_Data!$C$3:$C$1002,A807))</f>
        <v>0.000728148738267986</v>
      </c>
      <c r="C807" s="21" t="n">
        <f aca="false">IF(B807="","",A807/$B$6)</f>
        <v>0.771</v>
      </c>
      <c r="D807" s="21" t="n">
        <f aca="false">IF(B807="","",NORMDIST(B807,$B$15,$B$16,TRUE()))</f>
        <v>0.719410925320321</v>
      </c>
      <c r="E807" s="21" t="n">
        <f aca="false">IF(B807="","",IF(B807&gt;=$B$15,1-TDIST((B807-$B$15)/$B$18,$B$17,1),TDIST(($B$15-B807)/$B$18,$B$17,1)))</f>
        <v>0.743069902672652</v>
      </c>
      <c r="F807" s="21" t="n">
        <f aca="false">IF(B807="","",IF(B807&lt;$B$19,0.5*EXP((B807-$B$19)/$B$20),1-0.5*EXP(-(B807-$B$19)/$B$20)))</f>
        <v>0.777445454861368</v>
      </c>
      <c r="G807" s="21" t="n">
        <f aca="false">IF(B807="","",1/(1+EXP(-(B807-$B$15)/$B$21)))</f>
        <v>0.741539415026088</v>
      </c>
      <c r="H807" s="21" t="n">
        <f aca="false">IF(B807="","",MAX(ABS($A807/$B$6-D807),ABS(($A807-1)/$B$6-D807)))</f>
        <v>0.0515890746796793</v>
      </c>
      <c r="I807" s="21" t="n">
        <f aca="false">IF(B807="","",MAX(ABS($A807/$B$6-E807),ABS(($A807-1)/$B$6-E807)))</f>
        <v>0.0279300973273485</v>
      </c>
      <c r="J807" s="21" t="n">
        <f aca="false">IF(B807="","",MAX(ABS($A807/$B$6-F807),ABS(($A807-1)/$B$6-F807)))</f>
        <v>0.00744545486136827</v>
      </c>
      <c r="K807" s="21" t="n">
        <f aca="false">IF(B807="","",MAX(ABS($A807/$B$6-G807),ABS(($A807-1)/$B$6-G807)))</f>
        <v>0.0294605849739119</v>
      </c>
    </row>
    <row r="808" customFormat="false" ht="15" hidden="false" customHeight="false" outlineLevel="0" collapsed="false">
      <c r="A808" s="11" t="n">
        <v>772</v>
      </c>
      <c r="B808" s="9" t="n">
        <f aca="false">IF(A808&gt;$B$6,"",SMALL(BTC_Data!$C$3:$C$1002,A808))</f>
        <v>0.000728331899630286</v>
      </c>
      <c r="C808" s="21" t="n">
        <f aca="false">IF(B808="","",A808/$B$6)</f>
        <v>0.772</v>
      </c>
      <c r="D808" s="21" t="n">
        <f aca="false">IF(B808="","",NORMDIST(B808,$B$15,$B$16,TRUE()))</f>
        <v>0.719459397135704</v>
      </c>
      <c r="E808" s="21" t="n">
        <f aca="false">IF(B808="","",IF(B808&gt;=$B$15,1-TDIST((B808-$B$15)/$B$18,$B$17,1),TDIST(($B$15-B808)/$B$18,$B$17,1)))</f>
        <v>0.743120355171882</v>
      </c>
      <c r="F808" s="21" t="n">
        <f aca="false">IF(B808="","",IF(B808&lt;$B$19,0.5*EXP((B808-$B$19)/$B$20),1-0.5*EXP(-(B808-$B$19)/$B$20)))</f>
        <v>0.77749018909932</v>
      </c>
      <c r="G808" s="21" t="n">
        <f aca="false">IF(B808="","",1/(1+EXP(-(B808-$B$15)/$B$21)))</f>
        <v>0.741589419812561</v>
      </c>
      <c r="H808" s="21" t="n">
        <f aca="false">IF(B808="","",MAX(ABS($A808/$B$6-D808),ABS(($A808-1)/$B$6-D808)))</f>
        <v>0.0525406028642961</v>
      </c>
      <c r="I808" s="21" t="n">
        <f aca="false">IF(B808="","",MAX(ABS($A808/$B$6-E808),ABS(($A808-1)/$B$6-E808)))</f>
        <v>0.0288796448281181</v>
      </c>
      <c r="J808" s="21" t="n">
        <f aca="false">IF(B808="","",MAX(ABS($A808/$B$6-F808),ABS(($A808-1)/$B$6-F808)))</f>
        <v>0.00649018909931964</v>
      </c>
      <c r="K808" s="21" t="n">
        <f aca="false">IF(B808="","",MAX(ABS($A808/$B$6-G808),ABS(($A808-1)/$B$6-G808)))</f>
        <v>0.0304105801874394</v>
      </c>
    </row>
    <row r="809" customFormat="false" ht="15" hidden="false" customHeight="false" outlineLevel="0" collapsed="false">
      <c r="A809" s="11" t="n">
        <v>773</v>
      </c>
      <c r="B809" s="9" t="n">
        <f aca="false">IF(A809&gt;$B$6,"",SMALL(BTC_Data!$C$3:$C$1002,A809))</f>
        <v>0.000732301090325294</v>
      </c>
      <c r="C809" s="21" t="n">
        <f aca="false">IF(B809="","",A809/$B$6)</f>
        <v>0.773</v>
      </c>
      <c r="D809" s="21" t="n">
        <f aca="false">IF(B809="","",NORMDIST(B809,$B$15,$B$16,TRUE()))</f>
        <v>0.720508806970966</v>
      </c>
      <c r="E809" s="21" t="n">
        <f aca="false">IF(B809="","",IF(B809&gt;=$B$15,1-TDIST((B809-$B$15)/$B$18,$B$17,1),TDIST(($B$15-B809)/$B$18,$B$17,1)))</f>
        <v>0.744212130061708</v>
      </c>
      <c r="F809" s="21" t="n">
        <f aca="false">IF(B809="","",IF(B809&lt;$B$19,0.5*EXP((B809-$B$19)/$B$20),1-0.5*EXP(-(B809-$B$19)/$B$20)))</f>
        <v>0.778457394874047</v>
      </c>
      <c r="G809" s="21" t="n">
        <f aca="false">IF(B809="","",1/(1+EXP(-(B809-$B$15)/$B$21)))</f>
        <v>0.74267149713988</v>
      </c>
      <c r="H809" s="21" t="n">
        <f aca="false">IF(B809="","",MAX(ABS($A809/$B$6-D809),ABS(($A809-1)/$B$6-D809)))</f>
        <v>0.0524911930290343</v>
      </c>
      <c r="I809" s="21" t="n">
        <f aca="false">IF(B809="","",MAX(ABS($A809/$B$6-E809),ABS(($A809-1)/$B$6-E809)))</f>
        <v>0.0287878699382919</v>
      </c>
      <c r="J809" s="21" t="n">
        <f aca="false">IF(B809="","",MAX(ABS($A809/$B$6-F809),ABS(($A809-1)/$B$6-F809)))</f>
        <v>0.00645739487404673</v>
      </c>
      <c r="K809" s="21" t="n">
        <f aca="false">IF(B809="","",MAX(ABS($A809/$B$6-G809),ABS(($A809-1)/$B$6-G809)))</f>
        <v>0.0303285028601202</v>
      </c>
    </row>
    <row r="810" customFormat="false" ht="15" hidden="false" customHeight="false" outlineLevel="0" collapsed="false">
      <c r="A810" s="11" t="n">
        <v>774</v>
      </c>
      <c r="B810" s="9" t="n">
        <f aca="false">IF(A810&gt;$B$6,"",SMALL(BTC_Data!$C$3:$C$1002,A810))</f>
        <v>0.000733779109606036</v>
      </c>
      <c r="C810" s="21" t="n">
        <f aca="false">IF(B810="","",A810/$B$6)</f>
        <v>0.774</v>
      </c>
      <c r="D810" s="21" t="n">
        <f aca="false">IF(B810="","",NORMDIST(B810,$B$15,$B$16,TRUE()))</f>
        <v>0.720899091157526</v>
      </c>
      <c r="E810" s="21" t="n">
        <f aca="false">IF(B810="","",IF(B810&gt;=$B$15,1-TDIST((B810-$B$15)/$B$18,$B$17,1),TDIST(($B$15-B810)/$B$18,$B$17,1)))</f>
        <v>0.744617917740855</v>
      </c>
      <c r="F810" s="21" t="n">
        <f aca="false">IF(B810="","",IF(B810&lt;$B$19,0.5*EXP((B810-$B$19)/$B$20),1-0.5*EXP(-(B810-$B$19)/$B$20)))</f>
        <v>0.778816480912193</v>
      </c>
      <c r="G810" s="21" t="n">
        <f aca="false">IF(B810="","",1/(1+EXP(-(B810-$B$15)/$B$21)))</f>
        <v>0.743073676024748</v>
      </c>
      <c r="H810" s="21" t="n">
        <f aca="false">IF(B810="","",MAX(ABS($A810/$B$6-D810),ABS(($A810-1)/$B$6-D810)))</f>
        <v>0.0531009088424742</v>
      </c>
      <c r="I810" s="21" t="n">
        <f aca="false">IF(B810="","",MAX(ABS($A810/$B$6-E810),ABS(($A810-1)/$B$6-E810)))</f>
        <v>0.0293820822591454</v>
      </c>
      <c r="J810" s="21" t="n">
        <f aca="false">IF(B810="","",MAX(ABS($A810/$B$6-F810),ABS(($A810-1)/$B$6-F810)))</f>
        <v>0.00581648091219256</v>
      </c>
      <c r="K810" s="21" t="n">
        <f aca="false">IF(B810="","",MAX(ABS($A810/$B$6-G810),ABS(($A810-1)/$B$6-G810)))</f>
        <v>0.0309263239752522</v>
      </c>
    </row>
    <row r="811" customFormat="false" ht="15" hidden="false" customHeight="false" outlineLevel="0" collapsed="false">
      <c r="A811" s="11" t="n">
        <v>775</v>
      </c>
      <c r="B811" s="9" t="n">
        <f aca="false">IF(A811&gt;$B$6,"",SMALL(BTC_Data!$C$3:$C$1002,A811))</f>
        <v>0.000734794115646809</v>
      </c>
      <c r="C811" s="21" t="n">
        <f aca="false">IF(B811="","",A811/$B$6)</f>
        <v>0.775</v>
      </c>
      <c r="D811" s="21" t="n">
        <f aca="false">IF(B811="","",NORMDIST(B811,$B$15,$B$16,TRUE()))</f>
        <v>0.721166959002144</v>
      </c>
      <c r="E811" s="21" t="n">
        <f aca="false">IF(B811="","",IF(B811&gt;=$B$15,1-TDIST((B811-$B$15)/$B$18,$B$17,1),TDIST(($B$15-B811)/$B$18,$B$17,1)))</f>
        <v>0.744896346880423</v>
      </c>
      <c r="F811" s="21" t="n">
        <f aca="false">IF(B811="","",IF(B811&lt;$B$19,0.5*EXP((B811-$B$19)/$B$20),1-0.5*EXP(-(B811-$B$19)/$B$20)))</f>
        <v>0.779062740344554</v>
      </c>
      <c r="G811" s="21" t="n">
        <f aca="false">IF(B811="","",1/(1+EXP(-(B811-$B$15)/$B$21)))</f>
        <v>0.743349627639201</v>
      </c>
      <c r="H811" s="21" t="n">
        <f aca="false">IF(B811="","",MAX(ABS($A811/$B$6-D811),ABS(($A811-1)/$B$6-D811)))</f>
        <v>0.0538330409978561</v>
      </c>
      <c r="I811" s="21" t="n">
        <f aca="false">IF(B811="","",MAX(ABS($A811/$B$6-E811),ABS(($A811-1)/$B$6-E811)))</f>
        <v>0.0301036531195769</v>
      </c>
      <c r="J811" s="21" t="n">
        <f aca="false">IF(B811="","",MAX(ABS($A811/$B$6-F811),ABS(($A811-1)/$B$6-F811)))</f>
        <v>0.00506274034455345</v>
      </c>
      <c r="K811" s="21" t="n">
        <f aca="false">IF(B811="","",MAX(ABS($A811/$B$6-G811),ABS(($A811-1)/$B$6-G811)))</f>
        <v>0.0316503723607987</v>
      </c>
    </row>
    <row r="812" customFormat="false" ht="15" hidden="false" customHeight="false" outlineLevel="0" collapsed="false">
      <c r="A812" s="11" t="n">
        <v>776</v>
      </c>
      <c r="B812" s="9" t="n">
        <f aca="false">IF(A812&gt;$B$6,"",SMALL(BTC_Data!$C$3:$C$1002,A812))</f>
        <v>0.000736751809463421</v>
      </c>
      <c r="C812" s="21" t="n">
        <f aca="false">IF(B812="","",A812/$B$6)</f>
        <v>0.776</v>
      </c>
      <c r="D812" s="21" t="n">
        <f aca="false">IF(B812="","",NORMDIST(B812,$B$15,$B$16,TRUE()))</f>
        <v>0.721683255716739</v>
      </c>
      <c r="E812" s="21" t="n">
        <f aca="false">IF(B812="","",IF(B812&gt;=$B$15,1-TDIST((B812-$B$15)/$B$18,$B$17,1),TDIST(($B$15-B812)/$B$18,$B$17,1)))</f>
        <v>0.745432817181233</v>
      </c>
      <c r="F812" s="21" t="n">
        <f aca="false">IF(B812="","",IF(B812&lt;$B$19,0.5*EXP((B812-$B$19)/$B$20),1-0.5*EXP(-(B812-$B$19)/$B$20)))</f>
        <v>0.779536939320491</v>
      </c>
      <c r="G812" s="21" t="n">
        <f aca="false">IF(B812="","",1/(1+EXP(-(B812-$B$15)/$B$21)))</f>
        <v>0.74388132119647</v>
      </c>
      <c r="H812" s="21" t="n">
        <f aca="false">IF(B812="","",MAX(ABS($A812/$B$6-D812),ABS(($A812-1)/$B$6-D812)))</f>
        <v>0.0543167442832608</v>
      </c>
      <c r="I812" s="21" t="n">
        <f aca="false">IF(B812="","",MAX(ABS($A812/$B$6-E812),ABS(($A812-1)/$B$6-E812)))</f>
        <v>0.030567182818767</v>
      </c>
      <c r="J812" s="21" t="n">
        <f aca="false">IF(B812="","",MAX(ABS($A812/$B$6-F812),ABS(($A812-1)/$B$6-F812)))</f>
        <v>0.00453693932049115</v>
      </c>
      <c r="K812" s="21" t="n">
        <f aca="false">IF(B812="","",MAX(ABS($A812/$B$6-G812),ABS(($A812-1)/$B$6-G812)))</f>
        <v>0.0321186788035298</v>
      </c>
    </row>
    <row r="813" customFormat="false" ht="15" hidden="false" customHeight="false" outlineLevel="0" collapsed="false">
      <c r="A813" s="11" t="n">
        <v>777</v>
      </c>
      <c r="B813" s="9" t="n">
        <f aca="false">IF(A813&gt;$B$6,"",SMALL(BTC_Data!$C$3:$C$1002,A813))</f>
        <v>0.000740112947434035</v>
      </c>
      <c r="C813" s="21" t="n">
        <f aca="false">IF(B813="","",A813/$B$6)</f>
        <v>0.777</v>
      </c>
      <c r="D813" s="21" t="n">
        <f aca="false">IF(B813="","",NORMDIST(B813,$B$15,$B$16,TRUE()))</f>
        <v>0.722568590213844</v>
      </c>
      <c r="E813" s="21" t="n">
        <f aca="false">IF(B813="","",IF(B813&gt;=$B$15,1-TDIST((B813-$B$15)/$B$18,$B$17,1),TDIST(($B$15-B813)/$B$18,$B$17,1)))</f>
        <v>0.746352184062129</v>
      </c>
      <c r="F813" s="21" t="n">
        <f aca="false">IF(B813="","",IF(B813&lt;$B$19,0.5*EXP((B813-$B$19)/$B$20),1-0.5*EXP(-(B813-$B$19)/$B$20)))</f>
        <v>0.780348712578682</v>
      </c>
      <c r="G813" s="21" t="n">
        <f aca="false">IF(B813="","",1/(1+EXP(-(B813-$B$15)/$B$21)))</f>
        <v>0.744792492634201</v>
      </c>
      <c r="H813" s="21" t="n">
        <f aca="false">IF(B813="","",MAX(ABS($A813/$B$6-D813),ABS(($A813-1)/$B$6-D813)))</f>
        <v>0.0544314097861564</v>
      </c>
      <c r="I813" s="21" t="n">
        <f aca="false">IF(B813="","",MAX(ABS($A813/$B$6-E813),ABS(($A813-1)/$B$6-E813)))</f>
        <v>0.0306478159378706</v>
      </c>
      <c r="J813" s="21" t="n">
        <f aca="false">IF(B813="","",MAX(ABS($A813/$B$6-F813),ABS(($A813-1)/$B$6-F813)))</f>
        <v>0.00434871257868152</v>
      </c>
      <c r="K813" s="21" t="n">
        <f aca="false">IF(B813="","",MAX(ABS($A813/$B$6-G813),ABS(($A813-1)/$B$6-G813)))</f>
        <v>0.0322075073657993</v>
      </c>
    </row>
    <row r="814" customFormat="false" ht="15" hidden="false" customHeight="false" outlineLevel="0" collapsed="false">
      <c r="A814" s="11" t="n">
        <v>778</v>
      </c>
      <c r="B814" s="9" t="n">
        <f aca="false">IF(A814&gt;$B$6,"",SMALL(BTC_Data!$C$3:$C$1002,A814))</f>
        <v>0.000741265362435017</v>
      </c>
      <c r="C814" s="21" t="n">
        <f aca="false">IF(B814="","",A814/$B$6)</f>
        <v>0.778</v>
      </c>
      <c r="D814" s="21" t="n">
        <f aca="false">IF(B814="","",NORMDIST(B814,$B$15,$B$16,TRUE()))</f>
        <v>0.722871822762563</v>
      </c>
      <c r="E814" s="21" t="n">
        <f aca="false">IF(B814="","",IF(B814&gt;=$B$15,1-TDIST((B814-$B$15)/$B$18,$B$17,1),TDIST(($B$15-B814)/$B$18,$B$17,1)))</f>
        <v>0.746666909652224</v>
      </c>
      <c r="F814" s="21" t="n">
        <f aca="false">IF(B814="","",IF(B814&lt;$B$19,0.5*EXP((B814-$B$19)/$B$20),1-0.5*EXP(-(B814-$B$19)/$B$20)))</f>
        <v>0.780626352171118</v>
      </c>
      <c r="G814" s="21" t="n">
        <f aca="false">IF(B814="","",1/(1+EXP(-(B814-$B$15)/$B$21)))</f>
        <v>0.745104410010211</v>
      </c>
      <c r="H814" s="21" t="n">
        <f aca="false">IF(B814="","",MAX(ABS($A814/$B$6-D814),ABS(($A814-1)/$B$6-D814)))</f>
        <v>0.0551281772374376</v>
      </c>
      <c r="I814" s="21" t="n">
        <f aca="false">IF(B814="","",MAX(ABS($A814/$B$6-E814),ABS(($A814-1)/$B$6-E814)))</f>
        <v>0.031333090347776</v>
      </c>
      <c r="J814" s="21" t="n">
        <f aca="false">IF(B814="","",MAX(ABS($A814/$B$6-F814),ABS(($A814-1)/$B$6-F814)))</f>
        <v>0.00362635217111751</v>
      </c>
      <c r="K814" s="21" t="n">
        <f aca="false">IF(B814="","",MAX(ABS($A814/$B$6-G814),ABS(($A814-1)/$B$6-G814)))</f>
        <v>0.0328955899897887</v>
      </c>
    </row>
    <row r="815" customFormat="false" ht="15" hidden="false" customHeight="false" outlineLevel="0" collapsed="false">
      <c r="A815" s="11" t="n">
        <v>779</v>
      </c>
      <c r="B815" s="9" t="n">
        <f aca="false">IF(A815&gt;$B$6,"",SMALL(BTC_Data!$C$3:$C$1002,A815))</f>
        <v>0.000741865114738394</v>
      </c>
      <c r="C815" s="21" t="n">
        <f aca="false">IF(B815="","",A815/$B$6)</f>
        <v>0.779</v>
      </c>
      <c r="D815" s="21" t="n">
        <f aca="false">IF(B815="","",NORMDIST(B815,$B$15,$B$16,TRUE()))</f>
        <v>0.723029570142246</v>
      </c>
      <c r="E815" s="21" t="n">
        <f aca="false">IF(B815="","",IF(B815&gt;=$B$15,1-TDIST((B815-$B$15)/$B$18,$B$17,1),TDIST(($B$15-B815)/$B$18,$B$17,1)))</f>
        <v>0.74683060293342</v>
      </c>
      <c r="F815" s="21" t="n">
        <f aca="false">IF(B815="","",IF(B815&lt;$B$19,0.5*EXP((B815-$B$19)/$B$20),1-0.5*EXP(-(B815-$B$19)/$B$20)))</f>
        <v>0.780770705503969</v>
      </c>
      <c r="G815" s="21" t="n">
        <f aca="false">IF(B815="","",1/(1+EXP(-(B815-$B$15)/$B$21)))</f>
        <v>0.745266642165685</v>
      </c>
      <c r="H815" s="21" t="n">
        <f aca="false">IF(B815="","",MAX(ABS($A815/$B$6-D815),ABS(($A815-1)/$B$6-D815)))</f>
        <v>0.0559704298577538</v>
      </c>
      <c r="I815" s="21" t="n">
        <f aca="false">IF(B815="","",MAX(ABS($A815/$B$6-E815),ABS(($A815-1)/$B$6-E815)))</f>
        <v>0.0321693970665798</v>
      </c>
      <c r="J815" s="21" t="n">
        <f aca="false">IF(B815="","",MAX(ABS($A815/$B$6-F815),ABS(($A815-1)/$B$6-F815)))</f>
        <v>0.00277070550396941</v>
      </c>
      <c r="K815" s="21" t="n">
        <f aca="false">IF(B815="","",MAX(ABS($A815/$B$6-G815),ABS(($A815-1)/$B$6-G815)))</f>
        <v>0.0337333578343155</v>
      </c>
    </row>
    <row r="816" customFormat="false" ht="15" hidden="false" customHeight="false" outlineLevel="0" collapsed="false">
      <c r="A816" s="11" t="n">
        <v>780</v>
      </c>
      <c r="B816" s="9" t="n">
        <f aca="false">IF(A816&gt;$B$6,"",SMALL(BTC_Data!$C$3:$C$1002,A816))</f>
        <v>0.000744190697830938</v>
      </c>
      <c r="C816" s="21" t="n">
        <f aca="false">IF(B816="","",A816/$B$6)</f>
        <v>0.78</v>
      </c>
      <c r="D816" s="21" t="n">
        <f aca="false">IF(B816="","",NORMDIST(B816,$B$15,$B$16,TRUE()))</f>
        <v>0.723640831020475</v>
      </c>
      <c r="E816" s="21" t="n">
        <f aca="false">IF(B816="","",IF(B816&gt;=$B$15,1-TDIST((B816-$B$15)/$B$18,$B$17,1),TDIST(($B$15-B816)/$B$18,$B$17,1)))</f>
        <v>0.747464690184212</v>
      </c>
      <c r="F816" s="21" t="n">
        <f aca="false">IF(B816="","",IF(B816&lt;$B$19,0.5*EXP((B816-$B$19)/$B$20),1-0.5*EXP(-(B816-$B$19)/$B$20)))</f>
        <v>0.781329548335891</v>
      </c>
      <c r="G816" s="21" t="n">
        <f aca="false">IF(B816="","",1/(1+EXP(-(B816-$B$15)/$B$21)))</f>
        <v>0.745895066145647</v>
      </c>
      <c r="H816" s="21" t="n">
        <f aca="false">IF(B816="","",MAX(ABS($A816/$B$6-D816),ABS(($A816-1)/$B$6-D816)))</f>
        <v>0.0563591689795248</v>
      </c>
      <c r="I816" s="21" t="n">
        <f aca="false">IF(B816="","",MAX(ABS($A816/$B$6-E816),ABS(($A816-1)/$B$6-E816)))</f>
        <v>0.0325353098157883</v>
      </c>
      <c r="J816" s="21" t="n">
        <f aca="false">IF(B816="","",MAX(ABS($A816/$B$6-F816),ABS(($A816-1)/$B$6-F816)))</f>
        <v>0.00232954833589105</v>
      </c>
      <c r="K816" s="21" t="n">
        <f aca="false">IF(B816="","",MAX(ABS($A816/$B$6-G816),ABS(($A816-1)/$B$6-G816)))</f>
        <v>0.0341049338543528</v>
      </c>
    </row>
    <row r="817" customFormat="false" ht="15" hidden="false" customHeight="false" outlineLevel="0" collapsed="false">
      <c r="A817" s="11" t="n">
        <v>781</v>
      </c>
      <c r="B817" s="9" t="n">
        <f aca="false">IF(A817&gt;$B$6,"",SMALL(BTC_Data!$C$3:$C$1002,A817))</f>
        <v>0.00074712097070706</v>
      </c>
      <c r="C817" s="21" t="n">
        <f aca="false">IF(B817="","",A817/$B$6)</f>
        <v>0.781</v>
      </c>
      <c r="D817" s="21" t="n">
        <f aca="false">IF(B817="","",NORMDIST(B817,$B$15,$B$16,TRUE()))</f>
        <v>0.724410086344956</v>
      </c>
      <c r="E817" s="21" t="n">
        <f aca="false">IF(B817="","",IF(B817&gt;=$B$15,1-TDIST((B817-$B$15)/$B$18,$B$17,1),TDIST(($B$15-B817)/$B$18,$B$17,1)))</f>
        <v>0.748262188319627</v>
      </c>
      <c r="F817" s="21" t="n">
        <f aca="false">IF(B817="","",IF(B817&lt;$B$19,0.5*EXP((B817-$B$19)/$B$20),1-0.5*EXP(-(B817-$B$19)/$B$20)))</f>
        <v>0.782031671597218</v>
      </c>
      <c r="G817" s="21" t="n">
        <f aca="false">IF(B817="","",1/(1+EXP(-(B817-$B$15)/$B$21)))</f>
        <v>0.746685433946461</v>
      </c>
      <c r="H817" s="21" t="n">
        <f aca="false">IF(B817="","",MAX(ABS($A817/$B$6-D817),ABS(($A817-1)/$B$6-D817)))</f>
        <v>0.0565899136550444</v>
      </c>
      <c r="I817" s="21" t="n">
        <f aca="false">IF(B817="","",MAX(ABS($A817/$B$6-E817),ABS(($A817-1)/$B$6-E817)))</f>
        <v>0.0327378116803729</v>
      </c>
      <c r="J817" s="21" t="n">
        <f aca="false">IF(B817="","",MAX(ABS($A817/$B$6-F817),ABS(($A817-1)/$B$6-F817)))</f>
        <v>0.00203167159721751</v>
      </c>
      <c r="K817" s="21" t="n">
        <f aca="false">IF(B817="","",MAX(ABS($A817/$B$6-G817),ABS(($A817-1)/$B$6-G817)))</f>
        <v>0.034314566053539</v>
      </c>
    </row>
    <row r="818" customFormat="false" ht="15" hidden="false" customHeight="false" outlineLevel="0" collapsed="false">
      <c r="A818" s="11" t="n">
        <v>782</v>
      </c>
      <c r="B818" s="9" t="n">
        <f aca="false">IF(A818&gt;$B$6,"",SMALL(BTC_Data!$C$3:$C$1002,A818))</f>
        <v>0.000749686602299571</v>
      </c>
      <c r="C818" s="21" t="n">
        <f aca="false">IF(B818="","",A818/$B$6)</f>
        <v>0.782</v>
      </c>
      <c r="D818" s="21" t="n">
        <f aca="false">IF(B818="","",NORMDIST(B818,$B$15,$B$16,TRUE()))</f>
        <v>0.725082750360043</v>
      </c>
      <c r="E818" s="21" t="n">
        <f aca="false">IF(B818="","",IF(B818&gt;=$B$15,1-TDIST((B818-$B$15)/$B$18,$B$17,1),TDIST(($B$15-B818)/$B$18,$B$17,1)))</f>
        <v>0.748959106007349</v>
      </c>
      <c r="F818" s="21" t="n">
        <f aca="false">IF(B818="","",IF(B818&lt;$B$19,0.5*EXP((B818-$B$19)/$B$20),1-0.5*EXP(-(B818-$B$19)/$B$20)))</f>
        <v>0.782644571767171</v>
      </c>
      <c r="G818" s="21" t="n">
        <f aca="false">IF(B818="","",1/(1+EXP(-(B818-$B$15)/$B$21)))</f>
        <v>0.747376113805514</v>
      </c>
      <c r="H818" s="21" t="n">
        <f aca="false">IF(B818="","",MAX(ABS($A818/$B$6-D818),ABS(($A818-1)/$B$6-D818)))</f>
        <v>0.056917249639957</v>
      </c>
      <c r="I818" s="21" t="n">
        <f aca="false">IF(B818="","",MAX(ABS($A818/$B$6-E818),ABS(($A818-1)/$B$6-E818)))</f>
        <v>0.0330408939926512</v>
      </c>
      <c r="J818" s="21" t="n">
        <f aca="false">IF(B818="","",MAX(ABS($A818/$B$6-F818),ABS(($A818-1)/$B$6-F818)))</f>
        <v>0.00164457176717125</v>
      </c>
      <c r="K818" s="21" t="n">
        <f aca="false">IF(B818="","",MAX(ABS($A818/$B$6-G818),ABS(($A818-1)/$B$6-G818)))</f>
        <v>0.0346238861944856</v>
      </c>
    </row>
    <row r="819" customFormat="false" ht="15" hidden="false" customHeight="false" outlineLevel="0" collapsed="false">
      <c r="A819" s="11" t="n">
        <v>783</v>
      </c>
      <c r="B819" s="9" t="n">
        <f aca="false">IF(A819&gt;$B$6,"",SMALL(BTC_Data!$C$3:$C$1002,A819))</f>
        <v>0.000750147198952611</v>
      </c>
      <c r="C819" s="21" t="n">
        <f aca="false">IF(B819="","",A819/$B$6)</f>
        <v>0.783</v>
      </c>
      <c r="D819" s="21" t="n">
        <f aca="false">IF(B819="","",NORMDIST(B819,$B$15,$B$16,TRUE()))</f>
        <v>0.725203425079735</v>
      </c>
      <c r="E819" s="21" t="n">
        <f aca="false">IF(B819="","",IF(B819&gt;=$B$15,1-TDIST((B819-$B$15)/$B$18,$B$17,1),TDIST(($B$15-B819)/$B$18,$B$17,1)))</f>
        <v>0.74908408799344</v>
      </c>
      <c r="F819" s="21" t="n">
        <f aca="false">IF(B819="","",IF(B819&lt;$B$19,0.5*EXP((B819-$B$19)/$B$20),1-0.5*EXP(-(B819-$B$19)/$B$20)))</f>
        <v>0.782754420452424</v>
      </c>
      <c r="G819" s="21" t="n">
        <f aca="false">IF(B819="","",1/(1+EXP(-(B819-$B$15)/$B$21)))</f>
        <v>0.74749997647129</v>
      </c>
      <c r="H819" s="21" t="n">
        <f aca="false">IF(B819="","",MAX(ABS($A819/$B$6-D819),ABS(($A819-1)/$B$6-D819)))</f>
        <v>0.057796574920265</v>
      </c>
      <c r="I819" s="21" t="n">
        <f aca="false">IF(B819="","",MAX(ABS($A819/$B$6-E819),ABS(($A819-1)/$B$6-E819)))</f>
        <v>0.0339159120065597</v>
      </c>
      <c r="J819" s="21" t="n">
        <f aca="false">IF(B819="","",MAX(ABS($A819/$B$6-F819),ABS(($A819-1)/$B$6-F819)))</f>
        <v>0.000754420452423465</v>
      </c>
      <c r="K819" s="21" t="n">
        <f aca="false">IF(B819="","",MAX(ABS($A819/$B$6-G819),ABS(($A819-1)/$B$6-G819)))</f>
        <v>0.0355000235287105</v>
      </c>
    </row>
    <row r="820" customFormat="false" ht="15" hidden="false" customHeight="false" outlineLevel="0" collapsed="false">
      <c r="A820" s="11" t="n">
        <v>784</v>
      </c>
      <c r="B820" s="9" t="n">
        <f aca="false">IF(A820&gt;$B$6,"",SMALL(BTC_Data!$C$3:$C$1002,A820))</f>
        <v>0.000751076274123408</v>
      </c>
      <c r="C820" s="21" t="n">
        <f aca="false">IF(B820="","",A820/$B$6)</f>
        <v>0.784</v>
      </c>
      <c r="D820" s="21" t="n">
        <f aca="false">IF(B820="","",NORMDIST(B820,$B$15,$B$16,TRUE()))</f>
        <v>0.725446760053302</v>
      </c>
      <c r="E820" s="21" t="n">
        <f aca="false">IF(B820="","",IF(B820&gt;=$B$15,1-TDIST((B820-$B$15)/$B$18,$B$17,1),TDIST(($B$15-B820)/$B$18,$B$17,1)))</f>
        <v>0.749336067791768</v>
      </c>
      <c r="F820" s="21" t="n">
        <f aca="false">IF(B820="","",IF(B820&lt;$B$19,0.5*EXP((B820-$B$19)/$B$20),1-0.5*EXP(-(B820-$B$19)/$B$20)))</f>
        <v>0.782975828683163</v>
      </c>
      <c r="G820" s="21" t="n">
        <f aca="false">IF(B820="","",1/(1+EXP(-(B820-$B$15)/$B$21)))</f>
        <v>0.747749698974687</v>
      </c>
      <c r="H820" s="21" t="n">
        <f aca="false">IF(B820="","",MAX(ABS($A820/$B$6-D820),ABS(($A820-1)/$B$6-D820)))</f>
        <v>0.058553239946698</v>
      </c>
      <c r="I820" s="21" t="n">
        <f aca="false">IF(B820="","",MAX(ABS($A820/$B$6-E820),ABS(($A820-1)/$B$6-E820)))</f>
        <v>0.0346639322082323</v>
      </c>
      <c r="J820" s="21" t="n">
        <f aca="false">IF(B820="","",MAX(ABS($A820/$B$6-F820),ABS(($A820-1)/$B$6-F820)))</f>
        <v>0.00102417131683752</v>
      </c>
      <c r="K820" s="21" t="n">
        <f aca="false">IF(B820="","",MAX(ABS($A820/$B$6-G820),ABS(($A820-1)/$B$6-G820)))</f>
        <v>0.0362503010253134</v>
      </c>
    </row>
    <row r="821" customFormat="false" ht="15" hidden="false" customHeight="false" outlineLevel="0" collapsed="false">
      <c r="A821" s="11" t="n">
        <v>785</v>
      </c>
      <c r="B821" s="9" t="n">
        <f aca="false">IF(A821&gt;$B$6,"",SMALL(BTC_Data!$C$3:$C$1002,A821))</f>
        <v>0.000754658137778863</v>
      </c>
      <c r="C821" s="21" t="n">
        <f aca="false">IF(B821="","",A821/$B$6)</f>
        <v>0.785</v>
      </c>
      <c r="D821" s="21" t="n">
        <f aca="false">IF(B821="","",NORMDIST(B821,$B$15,$B$16,TRUE()))</f>
        <v>0.726383893292764</v>
      </c>
      <c r="E821" s="21" t="n">
        <f aca="false">IF(B821="","",IF(B821&gt;=$B$15,1-TDIST((B821-$B$15)/$B$18,$B$17,1),TDIST(($B$15-B821)/$B$18,$B$17,1)))</f>
        <v>0.750305986389922</v>
      </c>
      <c r="F821" s="21" t="n">
        <f aca="false">IF(B821="","",IF(B821&lt;$B$19,0.5*EXP((B821-$B$19)/$B$20),1-0.5*EXP(-(B821-$B$19)/$B$20)))</f>
        <v>0.783827313981856</v>
      </c>
      <c r="G821" s="21" t="n">
        <f aca="false">IF(B821="","",1/(1+EXP(-(B821-$B$15)/$B$21)))</f>
        <v>0.748710921420829</v>
      </c>
      <c r="H821" s="21" t="n">
        <f aca="false">IF(B821="","",MAX(ABS($A821/$B$6-D821),ABS(($A821-1)/$B$6-D821)))</f>
        <v>0.0586161067072365</v>
      </c>
      <c r="I821" s="21" t="n">
        <f aca="false">IF(B821="","",MAX(ABS($A821/$B$6-E821),ABS(($A821-1)/$B$6-E821)))</f>
        <v>0.0346940136100782</v>
      </c>
      <c r="J821" s="21" t="n">
        <f aca="false">IF(B821="","",MAX(ABS($A821/$B$6-F821),ABS(($A821-1)/$B$6-F821)))</f>
        <v>0.00117268601814391</v>
      </c>
      <c r="K821" s="21" t="n">
        <f aca="false">IF(B821="","",MAX(ABS($A821/$B$6-G821),ABS(($A821-1)/$B$6-G821)))</f>
        <v>0.0362890785791706</v>
      </c>
    </row>
    <row r="822" customFormat="false" ht="15" hidden="false" customHeight="false" outlineLevel="0" collapsed="false">
      <c r="A822" s="11" t="n">
        <v>786</v>
      </c>
      <c r="B822" s="9" t="n">
        <f aca="false">IF(A822&gt;$B$6,"",SMALL(BTC_Data!$C$3:$C$1002,A822))</f>
        <v>0.000754976278536157</v>
      </c>
      <c r="C822" s="21" t="n">
        <f aca="false">IF(B822="","",A822/$B$6)</f>
        <v>0.786</v>
      </c>
      <c r="D822" s="21" t="n">
        <f aca="false">IF(B822="","",NORMDIST(B822,$B$15,$B$16,TRUE()))</f>
        <v>0.726467052773568</v>
      </c>
      <c r="E822" s="21" t="n">
        <f aca="false">IF(B822="","",IF(B822&gt;=$B$15,1-TDIST((B822-$B$15)/$B$18,$B$17,1),TDIST(($B$15-B822)/$B$18,$B$17,1)))</f>
        <v>0.750392016184339</v>
      </c>
      <c r="F822" s="21" t="n">
        <f aca="false">IF(B822="","",IF(B822&lt;$B$19,0.5*EXP((B822-$B$19)/$B$20),1-0.5*EXP(-(B822-$B$19)/$B$20)))</f>
        <v>0.783902781083746</v>
      </c>
      <c r="G822" s="21" t="n">
        <f aca="false">IF(B822="","",1/(1+EXP(-(B822-$B$15)/$B$21)))</f>
        <v>0.748796179325816</v>
      </c>
      <c r="H822" s="21" t="n">
        <f aca="false">IF(B822="","",MAX(ABS($A822/$B$6-D822),ABS(($A822-1)/$B$6-D822)))</f>
        <v>0.0595329472264323</v>
      </c>
      <c r="I822" s="21" t="n">
        <f aca="false">IF(B822="","",MAX(ABS($A822/$B$6-E822),ABS(($A822-1)/$B$6-E822)))</f>
        <v>0.0356079838156607</v>
      </c>
      <c r="J822" s="21" t="n">
        <f aca="false">IF(B822="","",MAX(ABS($A822/$B$6-F822),ABS(($A822-1)/$B$6-F822)))</f>
        <v>0.00209721891625447</v>
      </c>
      <c r="K822" s="21" t="n">
        <f aca="false">IF(B822="","",MAX(ABS($A822/$B$6-G822),ABS(($A822-1)/$B$6-G822)))</f>
        <v>0.0372038206741839</v>
      </c>
    </row>
    <row r="823" customFormat="false" ht="15" hidden="false" customHeight="false" outlineLevel="0" collapsed="false">
      <c r="A823" s="11" t="n">
        <v>787</v>
      </c>
      <c r="B823" s="9" t="n">
        <f aca="false">IF(A823&gt;$B$6,"",SMALL(BTC_Data!$C$3:$C$1002,A823))</f>
        <v>0.000755737436983317</v>
      </c>
      <c r="C823" s="21" t="n">
        <f aca="false">IF(B823="","",A823/$B$6)</f>
        <v>0.787</v>
      </c>
      <c r="D823" s="21" t="n">
        <f aca="false">IF(B823="","",NORMDIST(B823,$B$15,$B$16,TRUE()))</f>
        <v>0.726665962797905</v>
      </c>
      <c r="E823" s="21" t="n">
        <f aca="false">IF(B823="","",IF(B823&gt;=$B$15,1-TDIST((B823-$B$15)/$B$18,$B$17,1),TDIST(($B$15-B823)/$B$18,$B$17,1)))</f>
        <v>0.750597765912396</v>
      </c>
      <c r="F823" s="21" t="n">
        <f aca="false">IF(B823="","",IF(B823&lt;$B$19,0.5*EXP((B823-$B$19)/$B$20),1-0.5*EXP(-(B823-$B$19)/$B$20)))</f>
        <v>0.784083230807233</v>
      </c>
      <c r="G823" s="21" t="n">
        <f aca="false">IF(B823="","",1/(1+EXP(-(B823-$B$15)/$B$21)))</f>
        <v>0.749000082631284</v>
      </c>
      <c r="H823" s="21" t="n">
        <f aca="false">IF(B823="","",MAX(ABS($A823/$B$6-D823),ABS(($A823-1)/$B$6-D823)))</f>
        <v>0.0603340372020953</v>
      </c>
      <c r="I823" s="21" t="n">
        <f aca="false">IF(B823="","",MAX(ABS($A823/$B$6-E823),ABS(($A823-1)/$B$6-E823)))</f>
        <v>0.0364022340876037</v>
      </c>
      <c r="J823" s="21" t="n">
        <f aca="false">IF(B823="","",MAX(ABS($A823/$B$6-F823),ABS(($A823-1)/$B$6-F823)))</f>
        <v>0.00291676919276751</v>
      </c>
      <c r="K823" s="21" t="n">
        <f aca="false">IF(B823="","",MAX(ABS($A823/$B$6-G823),ABS(($A823-1)/$B$6-G823)))</f>
        <v>0.0379999173687158</v>
      </c>
    </row>
    <row r="824" customFormat="false" ht="15" hidden="false" customHeight="false" outlineLevel="0" collapsed="false">
      <c r="A824" s="11" t="n">
        <v>788</v>
      </c>
      <c r="B824" s="9" t="n">
        <f aca="false">IF(A824&gt;$B$6,"",SMALL(BTC_Data!$C$3:$C$1002,A824))</f>
        <v>0.000758586098325464</v>
      </c>
      <c r="C824" s="21" t="n">
        <f aca="false">IF(B824="","",A824/$B$6)</f>
        <v>0.788</v>
      </c>
      <c r="D824" s="21" t="n">
        <f aca="false">IF(B824="","",NORMDIST(B824,$B$15,$B$16,TRUE()))</f>
        <v>0.727409753990819</v>
      </c>
      <c r="E824" s="21" t="n">
        <f aca="false">IF(B824="","",IF(B824&gt;=$B$15,1-TDIST((B824-$B$15)/$B$18,$B$17,1),TDIST(($B$15-B824)/$B$18,$B$17,1)))</f>
        <v>0.751366809829952</v>
      </c>
      <c r="F824" s="21" t="n">
        <f aca="false">IF(B824="","",IF(B824&lt;$B$19,0.5*EXP((B824-$B$19)/$B$20),1-0.5*EXP(-(B824-$B$19)/$B$20)))</f>
        <v>0.784757233806677</v>
      </c>
      <c r="G824" s="21" t="n">
        <f aca="false">IF(B824="","",1/(1+EXP(-(B824-$B$15)/$B$21)))</f>
        <v>0.749762220565812</v>
      </c>
      <c r="H824" s="21" t="n">
        <f aca="false">IF(B824="","",MAX(ABS($A824/$B$6-D824),ABS(($A824-1)/$B$6-D824)))</f>
        <v>0.0605902460091813</v>
      </c>
      <c r="I824" s="21" t="n">
        <f aca="false">IF(B824="","",MAX(ABS($A824/$B$6-E824),ABS(($A824-1)/$B$6-E824)))</f>
        <v>0.0366331901700485</v>
      </c>
      <c r="J824" s="21" t="n">
        <f aca="false">IF(B824="","",MAX(ABS($A824/$B$6-F824),ABS(($A824-1)/$B$6-F824)))</f>
        <v>0.00324276619332331</v>
      </c>
      <c r="K824" s="21" t="n">
        <f aca="false">IF(B824="","",MAX(ABS($A824/$B$6-G824),ABS(($A824-1)/$B$6-G824)))</f>
        <v>0.0382377794341879</v>
      </c>
    </row>
    <row r="825" customFormat="false" ht="15" hidden="false" customHeight="false" outlineLevel="0" collapsed="false">
      <c r="A825" s="11" t="n">
        <v>789</v>
      </c>
      <c r="B825" s="9" t="n">
        <f aca="false">IF(A825&gt;$B$6,"",SMALL(BTC_Data!$C$3:$C$1002,A825))</f>
        <v>0.00076404100255445</v>
      </c>
      <c r="C825" s="21" t="n">
        <f aca="false">IF(B825="","",A825/$B$6)</f>
        <v>0.789</v>
      </c>
      <c r="D825" s="21" t="n">
        <f aca="false">IF(B825="","",NORMDIST(B825,$B$15,$B$16,TRUE()))</f>
        <v>0.728831230546817</v>
      </c>
      <c r="E825" s="21" t="n">
        <f aca="false">IF(B825="","",IF(B825&gt;=$B$15,1-TDIST((B825-$B$15)/$B$18,$B$17,1),TDIST(($B$15-B825)/$B$18,$B$17,1)))</f>
        <v>0.752835124345539</v>
      </c>
      <c r="F825" s="21" t="n">
        <f aca="false">IF(B825="","",IF(B825&lt;$B$19,0.5*EXP((B825-$B$19)/$B$20),1-0.5*EXP(-(B825-$B$19)/$B$20)))</f>
        <v>0.786042016478642</v>
      </c>
      <c r="G825" s="21" t="n">
        <f aca="false">IF(B825="","",1/(1+EXP(-(B825-$B$15)/$B$21)))</f>
        <v>0.751217330549466</v>
      </c>
      <c r="H825" s="21" t="n">
        <f aca="false">IF(B825="","",MAX(ABS($A825/$B$6-D825),ABS(($A825-1)/$B$6-D825)))</f>
        <v>0.0601687694531827</v>
      </c>
      <c r="I825" s="21" t="n">
        <f aca="false">IF(B825="","",MAX(ABS($A825/$B$6-E825),ABS(($A825-1)/$B$6-E825)))</f>
        <v>0.0361648756544609</v>
      </c>
      <c r="J825" s="21" t="n">
        <f aca="false">IF(B825="","",MAX(ABS($A825/$B$6-F825),ABS(($A825-1)/$B$6-F825)))</f>
        <v>0.0029579835213579</v>
      </c>
      <c r="K825" s="21" t="n">
        <f aca="false">IF(B825="","",MAX(ABS($A825/$B$6-G825),ABS(($A825-1)/$B$6-G825)))</f>
        <v>0.037782669450534</v>
      </c>
    </row>
    <row r="826" customFormat="false" ht="15" hidden="false" customHeight="false" outlineLevel="0" collapsed="false">
      <c r="A826" s="11" t="n">
        <v>790</v>
      </c>
      <c r="B826" s="9" t="n">
        <f aca="false">IF(A826&gt;$B$6,"",SMALL(BTC_Data!$C$3:$C$1002,A826))</f>
        <v>0.000767669889301104</v>
      </c>
      <c r="C826" s="21" t="n">
        <f aca="false">IF(B826="","",A826/$B$6)</f>
        <v>0.79</v>
      </c>
      <c r="D826" s="21" t="n">
        <f aca="false">IF(B826="","",NORMDIST(B826,$B$15,$B$16,TRUE()))</f>
        <v>0.729774819301436</v>
      </c>
      <c r="E826" s="21" t="n">
        <f aca="false">IF(B826="","",IF(B826&gt;=$B$15,1-TDIST((B826-$B$15)/$B$18,$B$17,1),TDIST(($B$15-B826)/$B$18,$B$17,1)))</f>
        <v>0.753808768617445</v>
      </c>
      <c r="F826" s="21" t="n">
        <f aca="false">IF(B826="","",IF(B826&lt;$B$19,0.5*EXP((B826-$B$19)/$B$20),1-0.5*EXP(-(B826-$B$19)/$B$20)))</f>
        <v>0.786892470244538</v>
      </c>
      <c r="G826" s="21" t="n">
        <f aca="false">IF(B826="","",1/(1+EXP(-(B826-$B$15)/$B$21)))</f>
        <v>0.752182205544525</v>
      </c>
      <c r="H826" s="21" t="n">
        <f aca="false">IF(B826="","",MAX(ABS($A826/$B$6-D826),ABS(($A826-1)/$B$6-D826)))</f>
        <v>0.060225180698564</v>
      </c>
      <c r="I826" s="21" t="n">
        <f aca="false">IF(B826="","",MAX(ABS($A826/$B$6-E826),ABS(($A826-1)/$B$6-E826)))</f>
        <v>0.0361912313825554</v>
      </c>
      <c r="J826" s="21" t="n">
        <f aca="false">IF(B826="","",MAX(ABS($A826/$B$6-F826),ABS(($A826-1)/$B$6-F826)))</f>
        <v>0.00310752975546191</v>
      </c>
      <c r="K826" s="21" t="n">
        <f aca="false">IF(B826="","",MAX(ABS($A826/$B$6-G826),ABS(($A826-1)/$B$6-G826)))</f>
        <v>0.0378177944554751</v>
      </c>
    </row>
    <row r="827" customFormat="false" ht="15" hidden="false" customHeight="false" outlineLevel="0" collapsed="false">
      <c r="A827" s="11" t="n">
        <v>791</v>
      </c>
      <c r="B827" s="9" t="n">
        <f aca="false">IF(A827&gt;$B$6,"",SMALL(BTC_Data!$C$3:$C$1002,A827))</f>
        <v>0.000769812901599165</v>
      </c>
      <c r="C827" s="21" t="n">
        <f aca="false">IF(B827="","",A827/$B$6)</f>
        <v>0.791</v>
      </c>
      <c r="D827" s="21" t="n">
        <f aca="false">IF(B827="","",NORMDIST(B827,$B$15,$B$16,TRUE()))</f>
        <v>0.730331276526121</v>
      </c>
      <c r="E827" s="21" t="n">
        <f aca="false">IF(B827="","",IF(B827&gt;=$B$15,1-TDIST((B827-$B$15)/$B$18,$B$17,1),TDIST(($B$15-B827)/$B$18,$B$17,1)))</f>
        <v>0.754382561399382</v>
      </c>
      <c r="F827" s="21" t="n">
        <f aca="false">IF(B827="","",IF(B827&lt;$B$19,0.5*EXP((B827-$B$19)/$B$20),1-0.5*EXP(-(B827-$B$19)/$B$20)))</f>
        <v>0.787393110985586</v>
      </c>
      <c r="G827" s="21" t="n">
        <f aca="false">IF(B827="","",1/(1+EXP(-(B827-$B$15)/$B$21)))</f>
        <v>0.752750825595321</v>
      </c>
      <c r="H827" s="21" t="n">
        <f aca="false">IF(B827="","",MAX(ABS($A827/$B$6-D827),ABS(($A827-1)/$B$6-D827)))</f>
        <v>0.0606687234738794</v>
      </c>
      <c r="I827" s="21" t="n">
        <f aca="false">IF(B827="","",MAX(ABS($A827/$B$6-E827),ABS(($A827-1)/$B$6-E827)))</f>
        <v>0.0366174386006178</v>
      </c>
      <c r="J827" s="21" t="n">
        <f aca="false">IF(B827="","",MAX(ABS($A827/$B$6-F827),ABS(($A827-1)/$B$6-F827)))</f>
        <v>0.00360688901441375</v>
      </c>
      <c r="K827" s="21" t="n">
        <f aca="false">IF(B827="","",MAX(ABS($A827/$B$6-G827),ABS(($A827-1)/$B$6-G827)))</f>
        <v>0.0382491744046791</v>
      </c>
    </row>
    <row r="828" customFormat="false" ht="15" hidden="false" customHeight="false" outlineLevel="0" collapsed="false">
      <c r="A828" s="11" t="n">
        <v>792</v>
      </c>
      <c r="B828" s="9" t="n">
        <f aca="false">IF(A828&gt;$B$6,"",SMALL(BTC_Data!$C$3:$C$1002,A828))</f>
        <v>0.000770476733168435</v>
      </c>
      <c r="C828" s="21" t="n">
        <f aca="false">IF(B828="","",A828/$B$6)</f>
        <v>0.792</v>
      </c>
      <c r="D828" s="21" t="n">
        <f aca="false">IF(B828="","",NORMDIST(B828,$B$15,$B$16,TRUE()))</f>
        <v>0.730503531337377</v>
      </c>
      <c r="E828" s="21" t="n">
        <f aca="false">IF(B828="","",IF(B828&gt;=$B$15,1-TDIST((B828-$B$15)/$B$18,$B$17,1),TDIST(($B$15-B828)/$B$18,$B$17,1)))</f>
        <v>0.75456012393254</v>
      </c>
      <c r="F828" s="21" t="n">
        <f aca="false">IF(B828="","",IF(B828&lt;$B$19,0.5*EXP((B828-$B$19)/$B$20),1-0.5*EXP(-(B828-$B$19)/$B$20)))</f>
        <v>0.787547953565478</v>
      </c>
      <c r="G828" s="21" t="n">
        <f aca="false">IF(B828="","",1/(1+EXP(-(B828-$B$15)/$B$21)))</f>
        <v>0.752926786704337</v>
      </c>
      <c r="H828" s="21" t="n">
        <f aca="false">IF(B828="","",MAX(ABS($A828/$B$6-D828),ABS(($A828-1)/$B$6-D828)))</f>
        <v>0.0614964686626234</v>
      </c>
      <c r="I828" s="21" t="n">
        <f aca="false">IF(B828="","",MAX(ABS($A828/$B$6-E828),ABS(($A828-1)/$B$6-E828)))</f>
        <v>0.0374398760674604</v>
      </c>
      <c r="J828" s="21" t="n">
        <f aca="false">IF(B828="","",MAX(ABS($A828/$B$6-F828),ABS(($A828-1)/$B$6-F828)))</f>
        <v>0.00445204643452168</v>
      </c>
      <c r="K828" s="21" t="n">
        <f aca="false">IF(B828="","",MAX(ABS($A828/$B$6-G828),ABS(($A828-1)/$B$6-G828)))</f>
        <v>0.0390732132956627</v>
      </c>
    </row>
    <row r="829" customFormat="false" ht="15" hidden="false" customHeight="false" outlineLevel="0" collapsed="false">
      <c r="A829" s="11" t="n">
        <v>793</v>
      </c>
      <c r="B829" s="9" t="n">
        <f aca="false">IF(A829&gt;$B$6,"",SMALL(BTC_Data!$C$3:$C$1002,A829))</f>
        <v>0.000789251099837074</v>
      </c>
      <c r="C829" s="21" t="n">
        <f aca="false">IF(B829="","",A829/$B$6)</f>
        <v>0.793</v>
      </c>
      <c r="D829" s="21" t="n">
        <f aca="false">IF(B829="","",NORMDIST(B829,$B$15,$B$16,TRUE()))</f>
        <v>0.735352260920214</v>
      </c>
      <c r="E829" s="21" t="n">
        <f aca="false">IF(B829="","",IF(B829&gt;=$B$15,1-TDIST((B829-$B$15)/$B$18,$B$17,1),TDIST(($B$15-B829)/$B$18,$B$17,1)))</f>
        <v>0.7595468117444</v>
      </c>
      <c r="F829" s="21" t="n">
        <f aca="false">IF(B829="","",IF(B829&lt;$B$19,0.5*EXP((B829-$B$19)/$B$20),1-0.5*EXP(-(B829-$B$19)/$B$20)))</f>
        <v>0.791880795815282</v>
      </c>
      <c r="G829" s="21" t="n">
        <f aca="false">IF(B829="","",1/(1+EXP(-(B829-$B$15)/$B$21)))</f>
        <v>0.757868375646639</v>
      </c>
      <c r="H829" s="21" t="n">
        <f aca="false">IF(B829="","",MAX(ABS($A829/$B$6-D829),ABS(($A829-1)/$B$6-D829)))</f>
        <v>0.0576477390797862</v>
      </c>
      <c r="I829" s="21" t="n">
        <f aca="false">IF(B829="","",MAX(ABS($A829/$B$6-E829),ABS(($A829-1)/$B$6-E829)))</f>
        <v>0.0334531882556004</v>
      </c>
      <c r="J829" s="21" t="n">
        <f aca="false">IF(B829="","",MAX(ABS($A829/$B$6-F829),ABS(($A829-1)/$B$6-F829)))</f>
        <v>0.00111920418471778</v>
      </c>
      <c r="K829" s="21" t="n">
        <f aca="false">IF(B829="","",MAX(ABS($A829/$B$6-G829),ABS(($A829-1)/$B$6-G829)))</f>
        <v>0.0351316243533614</v>
      </c>
    </row>
    <row r="830" customFormat="false" ht="15" hidden="false" customHeight="false" outlineLevel="0" collapsed="false">
      <c r="A830" s="11" t="n">
        <v>794</v>
      </c>
      <c r="B830" s="9" t="n">
        <f aca="false">IF(A830&gt;$B$6,"",SMALL(BTC_Data!$C$3:$C$1002,A830))</f>
        <v>0.000796466990225397</v>
      </c>
      <c r="C830" s="21" t="n">
        <f aca="false">IF(B830="","",A830/$B$6)</f>
        <v>0.794</v>
      </c>
      <c r="D830" s="21" t="n">
        <f aca="false">IF(B830="","",NORMDIST(B830,$B$15,$B$16,TRUE()))</f>
        <v>0.73720398507936</v>
      </c>
      <c r="E830" s="21" t="n">
        <f aca="false">IF(B830="","",IF(B830&gt;=$B$15,1-TDIST((B830-$B$15)/$B$18,$B$17,1),TDIST(($B$15-B830)/$B$18,$B$17,1)))</f>
        <v>0.76144533854555</v>
      </c>
      <c r="F830" s="21" t="n">
        <f aca="false">IF(B830="","",IF(B830&lt;$B$19,0.5*EXP((B830-$B$19)/$B$20),1-0.5*EXP(-(B830-$B$19)/$B$20)))</f>
        <v>0.793522507393069</v>
      </c>
      <c r="G830" s="21" t="n">
        <f aca="false">IF(B830="","",1/(1+EXP(-(B830-$B$15)/$B$21)))</f>
        <v>0.759749676548313</v>
      </c>
      <c r="H830" s="21" t="n">
        <f aca="false">IF(B830="","",MAX(ABS($A830/$B$6-D830),ABS(($A830-1)/$B$6-D830)))</f>
        <v>0.0567960149206405</v>
      </c>
      <c r="I830" s="21" t="n">
        <f aca="false">IF(B830="","",MAX(ABS($A830/$B$6-E830),ABS(($A830-1)/$B$6-E830)))</f>
        <v>0.0325546614544501</v>
      </c>
      <c r="J830" s="21" t="n">
        <f aca="false">IF(B830="","",MAX(ABS($A830/$B$6-F830),ABS(($A830-1)/$B$6-F830)))</f>
        <v>0.000522507393068805</v>
      </c>
      <c r="K830" s="21" t="n">
        <f aca="false">IF(B830="","",MAX(ABS($A830/$B$6-G830),ABS(($A830-1)/$B$6-G830)))</f>
        <v>0.0342503234516874</v>
      </c>
    </row>
    <row r="831" customFormat="false" ht="15" hidden="false" customHeight="false" outlineLevel="0" collapsed="false">
      <c r="A831" s="11" t="n">
        <v>795</v>
      </c>
      <c r="B831" s="9" t="n">
        <f aca="false">IF(A831&gt;$B$6,"",SMALL(BTC_Data!$C$3:$C$1002,A831))</f>
        <v>0.000796668543223911</v>
      </c>
      <c r="C831" s="21" t="n">
        <f aca="false">IF(B831="","",A831/$B$6)</f>
        <v>0.795</v>
      </c>
      <c r="D831" s="21" t="n">
        <f aca="false">IF(B831="","",NORMDIST(B831,$B$15,$B$16,TRUE()))</f>
        <v>0.737255611825337</v>
      </c>
      <c r="E831" s="21" t="n">
        <f aca="false">IF(B831="","",IF(B831&gt;=$B$15,1-TDIST((B831-$B$15)/$B$18,$B$17,1),TDIST(($B$15-B831)/$B$18,$B$17,1)))</f>
        <v>0.76149822318496</v>
      </c>
      <c r="F831" s="21" t="n">
        <f aca="false">IF(B831="","",IF(B831&lt;$B$19,0.5*EXP((B831-$B$19)/$B$20),1-0.5*EXP(-(B831-$B$19)/$B$20)))</f>
        <v>0.793568177003662</v>
      </c>
      <c r="G831" s="21" t="n">
        <f aca="false">IF(B831="","",1/(1+EXP(-(B831-$B$15)/$B$21)))</f>
        <v>0.759802080965861</v>
      </c>
      <c r="H831" s="21" t="n">
        <f aca="false">IF(B831="","",MAX(ABS($A831/$B$6-D831),ABS(($A831-1)/$B$6-D831)))</f>
        <v>0.0577443881746629</v>
      </c>
      <c r="I831" s="21" t="n">
        <f aca="false">IF(B831="","",MAX(ABS($A831/$B$6-E831),ABS(($A831-1)/$B$6-E831)))</f>
        <v>0.0335017768150397</v>
      </c>
      <c r="J831" s="21" t="n">
        <f aca="false">IF(B831="","",MAX(ABS($A831/$B$6-F831),ABS(($A831-1)/$B$6-F831)))</f>
        <v>0.0014318229963376</v>
      </c>
      <c r="K831" s="21" t="n">
        <f aca="false">IF(B831="","",MAX(ABS($A831/$B$6-G831),ABS(($A831-1)/$B$6-G831)))</f>
        <v>0.0351979190341391</v>
      </c>
    </row>
    <row r="832" customFormat="false" ht="15" hidden="false" customHeight="false" outlineLevel="0" collapsed="false">
      <c r="A832" s="11" t="n">
        <v>796</v>
      </c>
      <c r="B832" s="9" t="n">
        <f aca="false">IF(A832&gt;$B$6,"",SMALL(BTC_Data!$C$3:$C$1002,A832))</f>
        <v>0.000800058707840279</v>
      </c>
      <c r="C832" s="21" t="n">
        <f aca="false">IF(B832="","",A832/$B$6)</f>
        <v>0.796</v>
      </c>
      <c r="D832" s="21" t="n">
        <f aca="false">IF(B832="","",NORMDIST(B832,$B$15,$B$16,TRUE()))</f>
        <v>0.738123206547659</v>
      </c>
      <c r="E832" s="21" t="n">
        <f aca="false">IF(B832="","",IF(B832&gt;=$B$15,1-TDIST((B832-$B$15)/$B$18,$B$17,1),TDIST(($B$15-B832)/$B$18,$B$17,1)))</f>
        <v>0.762386574402539</v>
      </c>
      <c r="F832" s="21" t="n">
        <f aca="false">IF(B832="","",IF(B832&lt;$B$19,0.5*EXP((B832-$B$19)/$B$20),1-0.5*EXP(-(B832-$B$19)/$B$20)))</f>
        <v>0.794334837505542</v>
      </c>
      <c r="G832" s="21" t="n">
        <f aca="false">IF(B832="","",1/(1+EXP(-(B832-$B$15)/$B$21)))</f>
        <v>0.760682362550213</v>
      </c>
      <c r="H832" s="21" t="n">
        <f aca="false">IF(B832="","",MAX(ABS($A832/$B$6-D832),ABS(($A832-1)/$B$6-D832)))</f>
        <v>0.0578767934523414</v>
      </c>
      <c r="I832" s="21" t="n">
        <f aca="false">IF(B832="","",MAX(ABS($A832/$B$6-E832),ABS(($A832-1)/$B$6-E832)))</f>
        <v>0.0336134255974612</v>
      </c>
      <c r="J832" s="21" t="n">
        <f aca="false">IF(B832="","",MAX(ABS($A832/$B$6-F832),ABS(($A832-1)/$B$6-F832)))</f>
        <v>0.00166516249445814</v>
      </c>
      <c r="K832" s="21" t="n">
        <f aca="false">IF(B832="","",MAX(ABS($A832/$B$6-G832),ABS(($A832-1)/$B$6-G832)))</f>
        <v>0.0353176374497872</v>
      </c>
    </row>
    <row r="833" customFormat="false" ht="15" hidden="false" customHeight="false" outlineLevel="0" collapsed="false">
      <c r="A833" s="11" t="n">
        <v>797</v>
      </c>
      <c r="B833" s="9" t="n">
        <f aca="false">IF(A833&gt;$B$6,"",SMALL(BTC_Data!$C$3:$C$1002,A833))</f>
        <v>0.00080294126902869</v>
      </c>
      <c r="C833" s="21" t="n">
        <f aca="false">IF(B833="","",A833/$B$6)</f>
        <v>0.797</v>
      </c>
      <c r="D833" s="21" t="n">
        <f aca="false">IF(B833="","",NORMDIST(B833,$B$15,$B$16,TRUE()))</f>
        <v>0.738859740400062</v>
      </c>
      <c r="E833" s="21" t="n">
        <f aca="false">IF(B833="","",IF(B833&gt;=$B$15,1-TDIST((B833-$B$15)/$B$18,$B$17,1),TDIST(($B$15-B833)/$B$18,$B$17,1)))</f>
        <v>0.76314016131166</v>
      </c>
      <c r="F833" s="21" t="n">
        <f aca="false">IF(B833="","",IF(B833&lt;$B$19,0.5*EXP((B833-$B$19)/$B$20),1-0.5*EXP(-(B833-$B$19)/$B$20)))</f>
        <v>0.794984467138446</v>
      </c>
      <c r="G833" s="21" t="n">
        <f aca="false">IF(B833="","",1/(1+EXP(-(B833-$B$15)/$B$21)))</f>
        <v>0.761429099871934</v>
      </c>
      <c r="H833" s="21" t="n">
        <f aca="false">IF(B833="","",MAX(ABS($A833/$B$6-D833),ABS(($A833-1)/$B$6-D833)))</f>
        <v>0.0581402595999379</v>
      </c>
      <c r="I833" s="21" t="n">
        <f aca="false">IF(B833="","",MAX(ABS($A833/$B$6-E833),ABS(($A833-1)/$B$6-E833)))</f>
        <v>0.0338598386883398</v>
      </c>
      <c r="J833" s="21" t="n">
        <f aca="false">IF(B833="","",MAX(ABS($A833/$B$6-F833),ABS(($A833-1)/$B$6-F833)))</f>
        <v>0.00201553286155376</v>
      </c>
      <c r="K833" s="21" t="n">
        <f aca="false">IF(B833="","",MAX(ABS($A833/$B$6-G833),ABS(($A833-1)/$B$6-G833)))</f>
        <v>0.0355709001280663</v>
      </c>
    </row>
    <row r="834" customFormat="false" ht="15" hidden="false" customHeight="false" outlineLevel="0" collapsed="false">
      <c r="A834" s="11" t="n">
        <v>798</v>
      </c>
      <c r="B834" s="9" t="n">
        <f aca="false">IF(A834&gt;$B$6,"",SMALL(BTC_Data!$C$3:$C$1002,A834))</f>
        <v>0.000806967950932824</v>
      </c>
      <c r="C834" s="21" t="n">
        <f aca="false">IF(B834="","",A834/$B$6)</f>
        <v>0.798</v>
      </c>
      <c r="D834" s="21" t="n">
        <f aca="false">IF(B834="","",NORMDIST(B834,$B$15,$B$16,TRUE()))</f>
        <v>0.739886827417895</v>
      </c>
      <c r="E834" s="21" t="n">
        <f aca="false">IF(B834="","",IF(B834&gt;=$B$15,1-TDIST((B834-$B$15)/$B$18,$B$17,1),TDIST(($B$15-B834)/$B$18,$B$17,1)))</f>
        <v>0.764190155160622</v>
      </c>
      <c r="F834" s="21" t="n">
        <f aca="false">IF(B834="","",IF(B834&lt;$B$19,0.5*EXP((B834-$B$19)/$B$20),1-0.5*EXP(-(B834-$B$19)/$B$20)))</f>
        <v>0.795888508185092</v>
      </c>
      <c r="G834" s="21" t="n">
        <f aca="false">IF(B834="","",1/(1+EXP(-(B834-$B$15)/$B$21)))</f>
        <v>0.762469544113961</v>
      </c>
      <c r="H834" s="21" t="n">
        <f aca="false">IF(B834="","",MAX(ABS($A834/$B$6-D834),ABS(($A834-1)/$B$6-D834)))</f>
        <v>0.058113172582105</v>
      </c>
      <c r="I834" s="21" t="n">
        <f aca="false">IF(B834="","",MAX(ABS($A834/$B$6-E834),ABS(($A834-1)/$B$6-E834)))</f>
        <v>0.0338098448393782</v>
      </c>
      <c r="J834" s="21" t="n">
        <f aca="false">IF(B834="","",MAX(ABS($A834/$B$6-F834),ABS(($A834-1)/$B$6-F834)))</f>
        <v>0.00211149181490822</v>
      </c>
      <c r="K834" s="21" t="n">
        <f aca="false">IF(B834="","",MAX(ABS($A834/$B$6-G834),ABS(($A834-1)/$B$6-G834)))</f>
        <v>0.0355304558860395</v>
      </c>
    </row>
    <row r="835" customFormat="false" ht="15" hidden="false" customHeight="false" outlineLevel="0" collapsed="false">
      <c r="A835" s="11" t="n">
        <v>799</v>
      </c>
      <c r="B835" s="9" t="n">
        <f aca="false">IF(A835&gt;$B$6,"",SMALL(BTC_Data!$C$3:$C$1002,A835))</f>
        <v>0.000810457567478329</v>
      </c>
      <c r="C835" s="21" t="n">
        <f aca="false">IF(B835="","",A835/$B$6)</f>
        <v>0.799</v>
      </c>
      <c r="D835" s="21" t="n">
        <f aca="false">IF(B835="","",NORMDIST(B835,$B$15,$B$16,TRUE()))</f>
        <v>0.740775237636896</v>
      </c>
      <c r="E835" s="21" t="n">
        <f aca="false">IF(B835="","",IF(B835&gt;=$B$15,1-TDIST((B835-$B$15)/$B$18,$B$17,1),TDIST(($B$15-B835)/$B$18,$B$17,1)))</f>
        <v>0.765097556176392</v>
      </c>
      <c r="F835" s="21" t="n">
        <f aca="false">IF(B835="","",IF(B835&lt;$B$19,0.5*EXP((B835-$B$19)/$B$20),1-0.5*EXP(-(B835-$B$19)/$B$20)))</f>
        <v>0.796668746246101</v>
      </c>
      <c r="G835" s="21" t="n">
        <f aca="false">IF(B835="","",1/(1+EXP(-(B835-$B$15)/$B$21)))</f>
        <v>0.763368687294456</v>
      </c>
      <c r="H835" s="21" t="n">
        <f aca="false">IF(B835="","",MAX(ABS($A835/$B$6-D835),ABS(($A835-1)/$B$6-D835)))</f>
        <v>0.0582247623631044</v>
      </c>
      <c r="I835" s="21" t="n">
        <f aca="false">IF(B835="","",MAX(ABS($A835/$B$6-E835),ABS(($A835-1)/$B$6-E835)))</f>
        <v>0.0339024438236081</v>
      </c>
      <c r="J835" s="21" t="n">
        <f aca="false">IF(B835="","",MAX(ABS($A835/$B$6-F835),ABS(($A835-1)/$B$6-F835)))</f>
        <v>0.00233125375389898</v>
      </c>
      <c r="K835" s="21" t="n">
        <f aca="false">IF(B835="","",MAX(ABS($A835/$B$6-G835),ABS(($A835-1)/$B$6-G835)))</f>
        <v>0.0356313127055437</v>
      </c>
    </row>
    <row r="836" customFormat="false" ht="15" hidden="false" customHeight="false" outlineLevel="0" collapsed="false">
      <c r="A836" s="11" t="n">
        <v>800</v>
      </c>
      <c r="B836" s="9" t="n">
        <f aca="false">IF(A836&gt;$B$6,"",SMALL(BTC_Data!$C$3:$C$1002,A836))</f>
        <v>0.000816145966995308</v>
      </c>
      <c r="C836" s="21" t="n">
        <f aca="false">IF(B836="","",A836/$B$6)</f>
        <v>0.8</v>
      </c>
      <c r="D836" s="21" t="n">
        <f aca="false">IF(B836="","",NORMDIST(B836,$B$15,$B$16,TRUE()))</f>
        <v>0.742220059707841</v>
      </c>
      <c r="E836" s="21" t="n">
        <f aca="false">IF(B836="","",IF(B836&gt;=$B$15,1-TDIST((B836-$B$15)/$B$18,$B$17,1),TDIST(($B$15-B836)/$B$18,$B$17,1)))</f>
        <v>0.766571625827091</v>
      </c>
      <c r="F836" s="21" t="n">
        <f aca="false">IF(B836="","",IF(B836&lt;$B$19,0.5*EXP((B836-$B$19)/$B$20),1-0.5*EXP(-(B836-$B$19)/$B$20)))</f>
        <v>0.797934218461641</v>
      </c>
      <c r="G836" s="21" t="n">
        <f aca="false">IF(B836="","",1/(1+EXP(-(B836-$B$15)/$B$21)))</f>
        <v>0.764829333116958</v>
      </c>
      <c r="H836" s="21" t="n">
        <f aca="false">IF(B836="","",MAX(ABS($A836/$B$6-D836),ABS(($A836-1)/$B$6-D836)))</f>
        <v>0.0577799402921591</v>
      </c>
      <c r="I836" s="21" t="n">
        <f aca="false">IF(B836="","",MAX(ABS($A836/$B$6-E836),ABS(($A836-1)/$B$6-E836)))</f>
        <v>0.0334283741729091</v>
      </c>
      <c r="J836" s="21" t="n">
        <f aca="false">IF(B836="","",MAX(ABS($A836/$B$6-F836),ABS(($A836-1)/$B$6-F836)))</f>
        <v>0.00206578153835912</v>
      </c>
      <c r="K836" s="21" t="n">
        <f aca="false">IF(B836="","",MAX(ABS($A836/$B$6-G836),ABS(($A836-1)/$B$6-G836)))</f>
        <v>0.0351706668830422</v>
      </c>
    </row>
    <row r="837" customFormat="false" ht="15" hidden="false" customHeight="false" outlineLevel="0" collapsed="false">
      <c r="A837" s="11" t="n">
        <v>801</v>
      </c>
      <c r="B837" s="9" t="n">
        <f aca="false">IF(A837&gt;$B$6,"",SMALL(BTC_Data!$C$3:$C$1002,A837))</f>
        <v>0.000821129653004071</v>
      </c>
      <c r="C837" s="21" t="n">
        <f aca="false">IF(B837="","",A837/$B$6)</f>
        <v>0.801</v>
      </c>
      <c r="D837" s="21" t="n">
        <f aca="false">IF(B837="","",NORMDIST(B837,$B$15,$B$16,TRUE()))</f>
        <v>0.743482444705534</v>
      </c>
      <c r="E837" s="21" t="n">
        <f aca="false">IF(B837="","",IF(B837&gt;=$B$15,1-TDIST((B837-$B$15)/$B$18,$B$17,1),TDIST(($B$15-B837)/$B$18,$B$17,1)))</f>
        <v>0.767857898578569</v>
      </c>
      <c r="F837" s="21" t="n">
        <f aca="false">IF(B837="","",IF(B837&lt;$B$19,0.5*EXP((B837-$B$19)/$B$20),1-0.5*EXP(-(B837-$B$19)/$B$20)))</f>
        <v>0.799036441840127</v>
      </c>
      <c r="G837" s="21" t="n">
        <f aca="false">IF(B837="","",1/(1+EXP(-(B837-$B$15)/$B$21)))</f>
        <v>0.766103884315885</v>
      </c>
      <c r="H837" s="21" t="n">
        <f aca="false">IF(B837="","",MAX(ABS($A837/$B$6-D837),ABS(($A837-1)/$B$6-D837)))</f>
        <v>0.0575175552944657</v>
      </c>
      <c r="I837" s="21" t="n">
        <f aca="false">IF(B837="","",MAX(ABS($A837/$B$6-E837),ABS(($A837-1)/$B$6-E837)))</f>
        <v>0.0331421014214312</v>
      </c>
      <c r="J837" s="21" t="n">
        <f aca="false">IF(B837="","",MAX(ABS($A837/$B$6-F837),ABS(($A837-1)/$B$6-F837)))</f>
        <v>0.00196355815987359</v>
      </c>
      <c r="K837" s="21" t="n">
        <f aca="false">IF(B837="","",MAX(ABS($A837/$B$6-G837),ABS(($A837-1)/$B$6-G837)))</f>
        <v>0.0348961156841152</v>
      </c>
    </row>
    <row r="838" customFormat="false" ht="15" hidden="false" customHeight="false" outlineLevel="0" collapsed="false">
      <c r="A838" s="11" t="n">
        <v>802</v>
      </c>
      <c r="B838" s="9" t="n">
        <f aca="false">IF(A838&gt;$B$6,"",SMALL(BTC_Data!$C$3:$C$1002,A838))</f>
        <v>0.000821273936847167</v>
      </c>
      <c r="C838" s="21" t="n">
        <f aca="false">IF(B838="","",A838/$B$6)</f>
        <v>0.802</v>
      </c>
      <c r="D838" s="21" t="n">
        <f aca="false">IF(B838="","",NORMDIST(B838,$B$15,$B$16,TRUE()))</f>
        <v>0.743518944278312</v>
      </c>
      <c r="E838" s="21" t="n">
        <f aca="false">IF(B838="","",IF(B838&gt;=$B$15,1-TDIST((B838-$B$15)/$B$18,$B$17,1),TDIST(($B$15-B838)/$B$18,$B$17,1)))</f>
        <v>0.76789506562673</v>
      </c>
      <c r="F838" s="21" t="n">
        <f aca="false">IF(B838="","",IF(B838&lt;$B$19,0.5*EXP((B838-$B$19)/$B$20),1-0.5*EXP(-(B838-$B$19)/$B$20)))</f>
        <v>0.799068262852218</v>
      </c>
      <c r="G838" s="21" t="n">
        <f aca="false">IF(B838="","",1/(1+EXP(-(B838-$B$15)/$B$21)))</f>
        <v>0.766140712570933</v>
      </c>
      <c r="H838" s="21" t="n">
        <f aca="false">IF(B838="","",MAX(ABS($A838/$B$6-D838),ABS(($A838-1)/$B$6-D838)))</f>
        <v>0.0584810557216885</v>
      </c>
      <c r="I838" s="21" t="n">
        <f aca="false">IF(B838="","",MAX(ABS($A838/$B$6-E838),ABS(($A838-1)/$B$6-E838)))</f>
        <v>0.0341049343732704</v>
      </c>
      <c r="J838" s="21" t="n">
        <f aca="false">IF(B838="","",MAX(ABS($A838/$B$6-F838),ABS(($A838-1)/$B$6-F838)))</f>
        <v>0.00293173714778217</v>
      </c>
      <c r="K838" s="21" t="n">
        <f aca="false">IF(B838="","",MAX(ABS($A838/$B$6-G838),ABS(($A838-1)/$B$6-G838)))</f>
        <v>0.0358592874290674</v>
      </c>
    </row>
    <row r="839" customFormat="false" ht="15" hidden="false" customHeight="false" outlineLevel="0" collapsed="false">
      <c r="A839" s="11" t="n">
        <v>803</v>
      </c>
      <c r="B839" s="9" t="n">
        <f aca="false">IF(A839&gt;$B$6,"",SMALL(BTC_Data!$C$3:$C$1002,A839))</f>
        <v>0.000824078264002548</v>
      </c>
      <c r="C839" s="21" t="n">
        <f aca="false">IF(B839="","",A839/$B$6)</f>
        <v>0.803</v>
      </c>
      <c r="D839" s="21" t="n">
        <f aca="false">IF(B839="","",NORMDIST(B839,$B$15,$B$16,TRUE()))</f>
        <v>0.744227818931936</v>
      </c>
      <c r="E839" s="21" t="n">
        <f aca="false">IF(B839="","",IF(B839&gt;=$B$15,1-TDIST((B839-$B$15)/$B$18,$B$17,1),TDIST(($B$15-B839)/$B$18,$B$17,1)))</f>
        <v>0.768616644496977</v>
      </c>
      <c r="F839" s="21" t="n">
        <f aca="false">IF(B839="","",IF(B839&lt;$B$19,0.5*EXP((B839-$B$19)/$B$20),1-0.5*EXP(-(B839-$B$19)/$B$20)))</f>
        <v>0.799685742163207</v>
      </c>
      <c r="G839" s="21" t="n">
        <f aca="false">IF(B839="","",1/(1+EXP(-(B839-$B$15)/$B$21)))</f>
        <v>0.766855712974293</v>
      </c>
      <c r="H839" s="21" t="n">
        <f aca="false">IF(B839="","",MAX(ABS($A839/$B$6-D839),ABS(($A839-1)/$B$6-D839)))</f>
        <v>0.0587721810680646</v>
      </c>
      <c r="I839" s="21" t="n">
        <f aca="false">IF(B839="","",MAX(ABS($A839/$B$6-E839),ABS(($A839-1)/$B$6-E839)))</f>
        <v>0.0343833555030232</v>
      </c>
      <c r="J839" s="21" t="n">
        <f aca="false">IF(B839="","",MAX(ABS($A839/$B$6-F839),ABS(($A839-1)/$B$6-F839)))</f>
        <v>0.00331425783679318</v>
      </c>
      <c r="K839" s="21" t="n">
        <f aca="false">IF(B839="","",MAX(ABS($A839/$B$6-G839),ABS(($A839-1)/$B$6-G839)))</f>
        <v>0.0361442870257067</v>
      </c>
    </row>
    <row r="840" customFormat="false" ht="15" hidden="false" customHeight="false" outlineLevel="0" collapsed="false">
      <c r="A840" s="11" t="n">
        <v>804</v>
      </c>
      <c r="B840" s="9" t="n">
        <f aca="false">IF(A840&gt;$B$6,"",SMALL(BTC_Data!$C$3:$C$1002,A840))</f>
        <v>0.000828591027567605</v>
      </c>
      <c r="C840" s="21" t="n">
        <f aca="false">IF(B840="","",A840/$B$6)</f>
        <v>0.804</v>
      </c>
      <c r="D840" s="21" t="n">
        <f aca="false">IF(B840="","",NORMDIST(B840,$B$15,$B$16,TRUE()))</f>
        <v>0.745366399291769</v>
      </c>
      <c r="E840" s="21" t="n">
        <f aca="false">IF(B840="","",IF(B840&gt;=$B$15,1-TDIST((B840-$B$15)/$B$18,$B$17,1),TDIST(($B$15-B840)/$B$18,$B$17,1)))</f>
        <v>0.769774596288587</v>
      </c>
      <c r="F840" s="21" t="n">
        <f aca="false">IF(B840="","",IF(B840&lt;$B$19,0.5*EXP((B840-$B$19)/$B$20),1-0.5*EXP(-(B840-$B$19)/$B$20)))</f>
        <v>0.800675417501784</v>
      </c>
      <c r="G840" s="21" t="n">
        <f aca="false">IF(B840="","",1/(1+EXP(-(B840-$B$15)/$B$21)))</f>
        <v>0.768003104509434</v>
      </c>
      <c r="H840" s="21" t="n">
        <f aca="false">IF(B840="","",MAX(ABS($A840/$B$6-D840),ABS(($A840-1)/$B$6-D840)))</f>
        <v>0.0586336007082311</v>
      </c>
      <c r="I840" s="21" t="n">
        <f aca="false">IF(B840="","",MAX(ABS($A840/$B$6-E840),ABS(($A840-1)/$B$6-E840)))</f>
        <v>0.0342254037114131</v>
      </c>
      <c r="J840" s="21" t="n">
        <f aca="false">IF(B840="","",MAX(ABS($A840/$B$6-F840),ABS(($A840-1)/$B$6-F840)))</f>
        <v>0.00332458249821577</v>
      </c>
      <c r="K840" s="21" t="n">
        <f aca="false">IF(B840="","",MAX(ABS($A840/$B$6-G840),ABS(($A840-1)/$B$6-G840)))</f>
        <v>0.0359968954905664</v>
      </c>
    </row>
    <row r="841" customFormat="false" ht="15" hidden="false" customHeight="false" outlineLevel="0" collapsed="false">
      <c r="A841" s="11" t="n">
        <v>805</v>
      </c>
      <c r="B841" s="9" t="n">
        <f aca="false">IF(A841&gt;$B$6,"",SMALL(BTC_Data!$C$3:$C$1002,A841))</f>
        <v>0.000828656444656017</v>
      </c>
      <c r="C841" s="21" t="n">
        <f aca="false">IF(B841="","",A841/$B$6)</f>
        <v>0.805</v>
      </c>
      <c r="D841" s="21" t="n">
        <f aca="false">IF(B841="","",NORMDIST(B841,$B$15,$B$16,TRUE()))</f>
        <v>0.745382884628539</v>
      </c>
      <c r="E841" s="21" t="n">
        <f aca="false">IF(B841="","",IF(B841&gt;=$B$15,1-TDIST((B841-$B$15)/$B$18,$B$17,1),TDIST(($B$15-B841)/$B$18,$B$17,1)))</f>
        <v>0.769791352722604</v>
      </c>
      <c r="F841" s="21" t="n">
        <f aca="false">IF(B841="","",IF(B841&lt;$B$19,0.5*EXP((B841-$B$19)/$B$20),1-0.5*EXP(-(B841-$B$19)/$B$20)))</f>
        <v>0.80068972783824</v>
      </c>
      <c r="G841" s="21" t="n">
        <f aca="false">IF(B841="","",1/(1+EXP(-(B841-$B$15)/$B$21)))</f>
        <v>0.768019708100713</v>
      </c>
      <c r="H841" s="21" t="n">
        <f aca="false">IF(B841="","",MAX(ABS($A841/$B$6-D841),ABS(($A841-1)/$B$6-D841)))</f>
        <v>0.0596171153714614</v>
      </c>
      <c r="I841" s="21" t="n">
        <f aca="false">IF(B841="","",MAX(ABS($A841/$B$6-E841),ABS(($A841-1)/$B$6-E841)))</f>
        <v>0.0352086472773957</v>
      </c>
      <c r="J841" s="21" t="n">
        <f aca="false">IF(B841="","",MAX(ABS($A841/$B$6-F841),ABS(($A841-1)/$B$6-F841)))</f>
        <v>0.00431027216175994</v>
      </c>
      <c r="K841" s="21" t="n">
        <f aca="false">IF(B841="","",MAX(ABS($A841/$B$6-G841),ABS(($A841-1)/$B$6-G841)))</f>
        <v>0.0369802918992874</v>
      </c>
    </row>
    <row r="842" customFormat="false" ht="15" hidden="false" customHeight="false" outlineLevel="0" collapsed="false">
      <c r="A842" s="11" t="n">
        <v>806</v>
      </c>
      <c r="B842" s="9" t="n">
        <f aca="false">IF(A842&gt;$B$6,"",SMALL(BTC_Data!$C$3:$C$1002,A842))</f>
        <v>0.000829004744753448</v>
      </c>
      <c r="C842" s="21" t="n">
        <f aca="false">IF(B842="","",A842/$B$6)</f>
        <v>0.806</v>
      </c>
      <c r="D842" s="21" t="n">
        <f aca="false">IF(B842="","",NORMDIST(B842,$B$15,$B$16,TRUE()))</f>
        <v>0.745470648067782</v>
      </c>
      <c r="E842" s="21" t="n">
        <f aca="false">IF(B842="","",IF(B842&gt;=$B$15,1-TDIST((B842-$B$15)/$B$18,$B$17,1),TDIST(($B$15-B842)/$B$18,$B$17,1)))</f>
        <v>0.769880554896848</v>
      </c>
      <c r="F842" s="21" t="n">
        <f aca="false">IF(B842="","",IF(B842&lt;$B$19,0.5*EXP((B842-$B$19)/$B$20),1-0.5*EXP(-(B842-$B$19)/$B$20)))</f>
        <v>0.800765903043636</v>
      </c>
      <c r="G842" s="21" t="n">
        <f aca="false">IF(B842="","",1/(1+EXP(-(B842-$B$15)/$B$21)))</f>
        <v>0.768108096610815</v>
      </c>
      <c r="H842" s="21" t="n">
        <f aca="false">IF(B842="","",MAX(ABS($A842/$B$6-D842),ABS(($A842-1)/$B$6-D842)))</f>
        <v>0.0605293519322185</v>
      </c>
      <c r="I842" s="21" t="n">
        <f aca="false">IF(B842="","",MAX(ABS($A842/$B$6-E842),ABS(($A842-1)/$B$6-E842)))</f>
        <v>0.0361194451031524</v>
      </c>
      <c r="J842" s="21" t="n">
        <f aca="false">IF(B842="","",MAX(ABS($A842/$B$6-F842),ABS(($A842-1)/$B$6-F842)))</f>
        <v>0.00523409695636445</v>
      </c>
      <c r="K842" s="21" t="n">
        <f aca="false">IF(B842="","",MAX(ABS($A842/$B$6-G842),ABS(($A842-1)/$B$6-G842)))</f>
        <v>0.0378919033891856</v>
      </c>
    </row>
    <row r="843" customFormat="false" ht="15" hidden="false" customHeight="false" outlineLevel="0" collapsed="false">
      <c r="A843" s="11" t="n">
        <v>807</v>
      </c>
      <c r="B843" s="9" t="n">
        <f aca="false">IF(A843&gt;$B$6,"",SMALL(BTC_Data!$C$3:$C$1002,A843))</f>
        <v>0.000831360822722393</v>
      </c>
      <c r="C843" s="21" t="n">
        <f aca="false">IF(B843="","",A843/$B$6)</f>
        <v>0.807</v>
      </c>
      <c r="D843" s="21" t="n">
        <f aca="false">IF(B843="","",NORMDIST(B843,$B$15,$B$16,TRUE()))</f>
        <v>0.746063907885883</v>
      </c>
      <c r="E843" s="21" t="n">
        <f aca="false">IF(B843="","",IF(B843&gt;=$B$15,1-TDIST((B843-$B$15)/$B$18,$B$17,1),TDIST(($B$15-B843)/$B$18,$B$17,1)))</f>
        <v>0.770483340774862</v>
      </c>
      <c r="F843" s="21" t="n">
        <f aca="false">IF(B843="","",IF(B843&lt;$B$19,0.5*EXP((B843-$B$19)/$B$20),1-0.5*EXP(-(B843-$B$19)/$B$20)))</f>
        <v>0.801280426640039</v>
      </c>
      <c r="G843" s="21" t="n">
        <f aca="false">IF(B843="","",1/(1+EXP(-(B843-$B$15)/$B$21)))</f>
        <v>0.768705383622695</v>
      </c>
      <c r="H843" s="21" t="n">
        <f aca="false">IF(B843="","",MAX(ABS($A843/$B$6-D843),ABS(($A843-1)/$B$6-D843)))</f>
        <v>0.0609360921141168</v>
      </c>
      <c r="I843" s="21" t="n">
        <f aca="false">IF(B843="","",MAX(ABS($A843/$B$6-E843),ABS(($A843-1)/$B$6-E843)))</f>
        <v>0.0365166592251377</v>
      </c>
      <c r="J843" s="21" t="n">
        <f aca="false">IF(B843="","",MAX(ABS($A843/$B$6-F843),ABS(($A843-1)/$B$6-F843)))</f>
        <v>0.00571957335996087</v>
      </c>
      <c r="K843" s="21" t="n">
        <f aca="false">IF(B843="","",MAX(ABS($A843/$B$6-G843),ABS(($A843-1)/$B$6-G843)))</f>
        <v>0.0382946163773056</v>
      </c>
    </row>
    <row r="844" customFormat="false" ht="15" hidden="false" customHeight="false" outlineLevel="0" collapsed="false">
      <c r="A844" s="11" t="n">
        <v>808</v>
      </c>
      <c r="B844" s="9" t="n">
        <f aca="false">IF(A844&gt;$B$6,"",SMALL(BTC_Data!$C$3:$C$1002,A844))</f>
        <v>0.000833821501797782</v>
      </c>
      <c r="C844" s="21" t="n">
        <f aca="false">IF(B844="","",A844/$B$6)</f>
        <v>0.808</v>
      </c>
      <c r="D844" s="21" t="n">
        <f aca="false">IF(B844="","",NORMDIST(B844,$B$15,$B$16,TRUE()))</f>
        <v>0.746682730657196</v>
      </c>
      <c r="E844" s="21" t="n">
        <f aca="false">IF(B844="","",IF(B844&gt;=$B$15,1-TDIST((B844-$B$15)/$B$18,$B$17,1),TDIST(($B$15-B844)/$B$18,$B$17,1)))</f>
        <v>0.771111729257572</v>
      </c>
      <c r="F844" s="21" t="n">
        <f aca="false">IF(B844="","",IF(B844&lt;$B$19,0.5*EXP((B844-$B$19)/$B$20),1-0.5*EXP(-(B844-$B$19)/$B$20)))</f>
        <v>0.801816374667591</v>
      </c>
      <c r="G844" s="21" t="n">
        <f aca="false">IF(B844="","",1/(1+EXP(-(B844-$B$15)/$B$21)))</f>
        <v>0.769328038834661</v>
      </c>
      <c r="H844" s="21" t="n">
        <f aca="false">IF(B844="","",MAX(ABS($A844/$B$6-D844),ABS(($A844-1)/$B$6-D844)))</f>
        <v>0.0613172693428039</v>
      </c>
      <c r="I844" s="21" t="n">
        <f aca="false">IF(B844="","",MAX(ABS($A844/$B$6-E844),ABS(($A844-1)/$B$6-E844)))</f>
        <v>0.0368882707424283</v>
      </c>
      <c r="J844" s="21" t="n">
        <f aca="false">IF(B844="","",MAX(ABS($A844/$B$6-F844),ABS(($A844-1)/$B$6-F844)))</f>
        <v>0.00618362533240935</v>
      </c>
      <c r="K844" s="21" t="n">
        <f aca="false">IF(B844="","",MAX(ABS($A844/$B$6-G844),ABS(($A844-1)/$B$6-G844)))</f>
        <v>0.0386719611653387</v>
      </c>
    </row>
    <row r="845" customFormat="false" ht="15" hidden="false" customHeight="false" outlineLevel="0" collapsed="false">
      <c r="A845" s="11" t="n">
        <v>809</v>
      </c>
      <c r="B845" s="9" t="n">
        <f aca="false">IF(A845&gt;$B$6,"",SMALL(BTC_Data!$C$3:$C$1002,A845))</f>
        <v>0.000833979661097661</v>
      </c>
      <c r="C845" s="21" t="n">
        <f aca="false">IF(B845="","",A845/$B$6)</f>
        <v>0.809</v>
      </c>
      <c r="D845" s="21" t="n">
        <f aca="false">IF(B845="","",NORMDIST(B845,$B$15,$B$16,TRUE()))</f>
        <v>0.746722478144636</v>
      </c>
      <c r="E845" s="21" t="n">
        <f aca="false">IF(B845="","",IF(B845&gt;=$B$15,1-TDIST((B845-$B$15)/$B$18,$B$17,1),TDIST(($B$15-B845)/$B$18,$B$17,1)))</f>
        <v>0.771152078198728</v>
      </c>
      <c r="F845" s="21" t="n">
        <f aca="false">IF(B845="","",IF(B845&lt;$B$19,0.5*EXP((B845-$B$19)/$B$20),1-0.5*EXP(-(B845-$B$19)/$B$20)))</f>
        <v>0.801850773061956</v>
      </c>
      <c r="G845" s="21" t="n">
        <f aca="false">IF(B845="","",1/(1+EXP(-(B845-$B$15)/$B$21)))</f>
        <v>0.769368019615296</v>
      </c>
      <c r="H845" s="21" t="n">
        <f aca="false">IF(B845="","",MAX(ABS($A845/$B$6-D845),ABS(($A845-1)/$B$6-D845)))</f>
        <v>0.0622775218553645</v>
      </c>
      <c r="I845" s="21" t="n">
        <f aca="false">IF(B845="","",MAX(ABS($A845/$B$6-E845),ABS(($A845-1)/$B$6-E845)))</f>
        <v>0.0378479218012723</v>
      </c>
      <c r="J845" s="21" t="n">
        <f aca="false">IF(B845="","",MAX(ABS($A845/$B$6-F845),ABS(($A845-1)/$B$6-F845)))</f>
        <v>0.00714922693804387</v>
      </c>
      <c r="K845" s="21" t="n">
        <f aca="false">IF(B845="","",MAX(ABS($A845/$B$6-G845),ABS(($A845-1)/$B$6-G845)))</f>
        <v>0.0396319803847039</v>
      </c>
    </row>
    <row r="846" customFormat="false" ht="15" hidden="false" customHeight="false" outlineLevel="0" collapsed="false">
      <c r="A846" s="11" t="n">
        <v>810</v>
      </c>
      <c r="B846" s="9" t="n">
        <f aca="false">IF(A846&gt;$B$6,"",SMALL(BTC_Data!$C$3:$C$1002,A846))</f>
        <v>0.000843418335524815</v>
      </c>
      <c r="C846" s="21" t="n">
        <f aca="false">IF(B846="","",A846/$B$6)</f>
        <v>0.81</v>
      </c>
      <c r="D846" s="21" t="n">
        <f aca="false">IF(B846="","",NORMDIST(B846,$B$15,$B$16,TRUE()))</f>
        <v>0.749088590176478</v>
      </c>
      <c r="E846" s="21" t="n">
        <f aca="false">IF(B846="","",IF(B846&gt;=$B$15,1-TDIST((B846-$B$15)/$B$18,$B$17,1),TDIST(($B$15-B846)/$B$18,$B$17,1)))</f>
        <v>0.773551165908731</v>
      </c>
      <c r="F846" s="21" t="n">
        <f aca="false">IF(B846="","",IF(B846&lt;$B$19,0.5*EXP((B846-$B$19)/$B$20),1-0.5*EXP(-(B846-$B$19)/$B$20)))</f>
        <v>0.803892836499409</v>
      </c>
      <c r="G846" s="21" t="n">
        <f aca="false">IF(B846="","",1/(1+EXP(-(B846-$B$15)/$B$21)))</f>
        <v>0.771745213186492</v>
      </c>
      <c r="H846" s="21" t="n">
        <f aca="false">IF(B846="","",MAX(ABS($A846/$B$6-D846),ABS(($A846-1)/$B$6-D846)))</f>
        <v>0.0609114098235222</v>
      </c>
      <c r="I846" s="21" t="n">
        <f aca="false">IF(B846="","",MAX(ABS($A846/$B$6-E846),ABS(($A846-1)/$B$6-E846)))</f>
        <v>0.0364488340912692</v>
      </c>
      <c r="J846" s="21" t="n">
        <f aca="false">IF(B846="","",MAX(ABS($A846/$B$6-F846),ABS(($A846-1)/$B$6-F846)))</f>
        <v>0.00610716350059126</v>
      </c>
      <c r="K846" s="21" t="n">
        <f aca="false">IF(B846="","",MAX(ABS($A846/$B$6-G846),ABS(($A846-1)/$B$6-G846)))</f>
        <v>0.0382547868135078</v>
      </c>
    </row>
    <row r="847" customFormat="false" ht="15" hidden="false" customHeight="false" outlineLevel="0" collapsed="false">
      <c r="A847" s="11" t="n">
        <v>811</v>
      </c>
      <c r="B847" s="9" t="n">
        <f aca="false">IF(A847&gt;$B$6,"",SMALL(BTC_Data!$C$3:$C$1002,A847))</f>
        <v>0.000844512468381575</v>
      </c>
      <c r="C847" s="21" t="n">
        <f aca="false">IF(B847="","",A847/$B$6)</f>
        <v>0.811</v>
      </c>
      <c r="D847" s="21" t="n">
        <f aca="false">IF(B847="","",NORMDIST(B847,$B$15,$B$16,TRUE()))</f>
        <v>0.749362111624306</v>
      </c>
      <c r="E847" s="21" t="n">
        <f aca="false">IF(B847="","",IF(B847&gt;=$B$15,1-TDIST((B847-$B$15)/$B$18,$B$17,1),TDIST(($B$15-B847)/$B$18,$B$17,1)))</f>
        <v>0.773828139557318</v>
      </c>
      <c r="F847" s="21" t="n">
        <f aca="false">IF(B847="","",IF(B847&lt;$B$19,0.5*EXP((B847-$B$19)/$B$20),1-0.5*EXP(-(B847-$B$19)/$B$20)))</f>
        <v>0.804128187553401</v>
      </c>
      <c r="G847" s="21" t="n">
        <f aca="false">IF(B847="","",1/(1+EXP(-(B847-$B$15)/$B$21)))</f>
        <v>0.772019658882157</v>
      </c>
      <c r="H847" s="21" t="n">
        <f aca="false">IF(B847="","",MAX(ABS($A847/$B$6-D847),ABS(($A847-1)/$B$6-D847)))</f>
        <v>0.0616378883756945</v>
      </c>
      <c r="I847" s="21" t="n">
        <f aca="false">IF(B847="","",MAX(ABS($A847/$B$6-E847),ABS(($A847-1)/$B$6-E847)))</f>
        <v>0.037171860442682</v>
      </c>
      <c r="J847" s="21" t="n">
        <f aca="false">IF(B847="","",MAX(ABS($A847/$B$6-F847),ABS(($A847-1)/$B$6-F847)))</f>
        <v>0.00687181244659918</v>
      </c>
      <c r="K847" s="21" t="n">
        <f aca="false">IF(B847="","",MAX(ABS($A847/$B$6-G847),ABS(($A847-1)/$B$6-G847)))</f>
        <v>0.0389803411178433</v>
      </c>
    </row>
    <row r="848" customFormat="false" ht="15" hidden="false" customHeight="false" outlineLevel="0" collapsed="false">
      <c r="A848" s="11" t="n">
        <v>812</v>
      </c>
      <c r="B848" s="9" t="n">
        <f aca="false">IF(A848&gt;$B$6,"",SMALL(BTC_Data!$C$3:$C$1002,A848))</f>
        <v>0.000844649153618482</v>
      </c>
      <c r="C848" s="21" t="n">
        <f aca="false">IF(B848="","",A848/$B$6)</f>
        <v>0.812</v>
      </c>
      <c r="D848" s="21" t="n">
        <f aca="false">IF(B848="","",NORMDIST(B848,$B$15,$B$16,TRUE()))</f>
        <v>0.749396270362622</v>
      </c>
      <c r="E848" s="21" t="n">
        <f aca="false">IF(B848="","",IF(B848&gt;=$B$15,1-TDIST((B848-$B$15)/$B$18,$B$17,1),TDIST(($B$15-B848)/$B$18,$B$17,1)))</f>
        <v>0.773862724170956</v>
      </c>
      <c r="F848" s="21" t="n">
        <f aca="false">IF(B848="","",IF(B848&lt;$B$19,0.5*EXP((B848-$B$19)/$B$20),1-0.5*EXP(-(B848-$B$19)/$B$20)))</f>
        <v>0.80415756907873</v>
      </c>
      <c r="G848" s="21" t="n">
        <f aca="false">IF(B848="","",1/(1+EXP(-(B848-$B$15)/$B$21)))</f>
        <v>0.772053927839112</v>
      </c>
      <c r="H848" s="21" t="n">
        <f aca="false">IF(B848="","",MAX(ABS($A848/$B$6-D848),ABS(($A848-1)/$B$6-D848)))</f>
        <v>0.062603729637378</v>
      </c>
      <c r="I848" s="21" t="n">
        <f aca="false">IF(B848="","",MAX(ABS($A848/$B$6-E848),ABS(($A848-1)/$B$6-E848)))</f>
        <v>0.0381372758290445</v>
      </c>
      <c r="J848" s="21" t="n">
        <f aca="false">IF(B848="","",MAX(ABS($A848/$B$6-F848),ABS(($A848-1)/$B$6-F848)))</f>
        <v>0.00784243092127046</v>
      </c>
      <c r="K848" s="21" t="n">
        <f aca="false">IF(B848="","",MAX(ABS($A848/$B$6-G848),ABS(($A848-1)/$B$6-G848)))</f>
        <v>0.0399460721608879</v>
      </c>
    </row>
    <row r="849" customFormat="false" ht="15" hidden="false" customHeight="false" outlineLevel="0" collapsed="false">
      <c r="A849" s="11" t="n">
        <v>813</v>
      </c>
      <c r="B849" s="9" t="n">
        <f aca="false">IF(A849&gt;$B$6,"",SMALL(BTC_Data!$C$3:$C$1002,A849))</f>
        <v>0.000846367085836075</v>
      </c>
      <c r="C849" s="21" t="n">
        <f aca="false">IF(B849="","",A849/$B$6)</f>
        <v>0.813</v>
      </c>
      <c r="D849" s="21" t="n">
        <f aca="false">IF(B849="","",NORMDIST(B849,$B$15,$B$16,TRUE()))</f>
        <v>0.74982538505127</v>
      </c>
      <c r="E849" s="21" t="n">
        <f aca="false">IF(B849="","",IF(B849&gt;=$B$15,1-TDIST((B849-$B$15)/$B$18,$B$17,1),TDIST(($B$15-B849)/$B$18,$B$17,1)))</f>
        <v>0.774297089420781</v>
      </c>
      <c r="F849" s="21" t="n">
        <f aca="false">IF(B849="","",IF(B849&lt;$B$19,0.5*EXP((B849-$B$19)/$B$20),1-0.5*EXP(-(B849-$B$19)/$B$20)))</f>
        <v>0.804526476011573</v>
      </c>
      <c r="G849" s="21" t="n">
        <f aca="false">IF(B849="","",1/(1+EXP(-(B849-$B$15)/$B$21)))</f>
        <v>0.772484328595621</v>
      </c>
      <c r="H849" s="21" t="n">
        <f aca="false">IF(B849="","",MAX(ABS($A849/$B$6-D849),ABS(($A849-1)/$B$6-D849)))</f>
        <v>0.0631746149487305</v>
      </c>
      <c r="I849" s="21" t="n">
        <f aca="false">IF(B849="","",MAX(ABS($A849/$B$6-E849),ABS(($A849-1)/$B$6-E849)))</f>
        <v>0.0387029105792189</v>
      </c>
      <c r="J849" s="21" t="n">
        <f aca="false">IF(B849="","",MAX(ABS($A849/$B$6-F849),ABS(($A849-1)/$B$6-F849)))</f>
        <v>0.0084735239884266</v>
      </c>
      <c r="K849" s="21" t="n">
        <f aca="false">IF(B849="","",MAX(ABS($A849/$B$6-G849),ABS(($A849-1)/$B$6-G849)))</f>
        <v>0.0405156714043786</v>
      </c>
    </row>
    <row r="850" customFormat="false" ht="15" hidden="false" customHeight="false" outlineLevel="0" collapsed="false">
      <c r="A850" s="11" t="n">
        <v>814</v>
      </c>
      <c r="B850" s="9" t="n">
        <f aca="false">IF(A850&gt;$B$6,"",SMALL(BTC_Data!$C$3:$C$1002,A850))</f>
        <v>0.000858749004847059</v>
      </c>
      <c r="C850" s="21" t="n">
        <f aca="false">IF(B850="","",A850/$B$6)</f>
        <v>0.814</v>
      </c>
      <c r="D850" s="21" t="n">
        <f aca="false">IF(B850="","",NORMDIST(B850,$B$15,$B$16,TRUE()))</f>
        <v>0.75290664805174</v>
      </c>
      <c r="E850" s="21" t="n">
        <f aca="false">IF(B850="","",IF(B850&gt;=$B$15,1-TDIST((B850-$B$15)/$B$18,$B$17,1),TDIST(($B$15-B850)/$B$18,$B$17,1)))</f>
        <v>0.777410622150318</v>
      </c>
      <c r="F850" s="21" t="n">
        <f aca="false">IF(B850="","",IF(B850&lt;$B$19,0.5*EXP((B850-$B$19)/$B$20),1-0.5*EXP(-(B850-$B$19)/$B$20)))</f>
        <v>0.80716488244248</v>
      </c>
      <c r="G850" s="21" t="n">
        <f aca="false">IF(B850="","",1/(1+EXP(-(B850-$B$15)/$B$21)))</f>
        <v>0.775569447752493</v>
      </c>
      <c r="H850" s="21" t="n">
        <f aca="false">IF(B850="","",MAX(ABS($A850/$B$6-D850),ABS(($A850-1)/$B$6-D850)))</f>
        <v>0.0610933519482597</v>
      </c>
      <c r="I850" s="21" t="n">
        <f aca="false">IF(B850="","",MAX(ABS($A850/$B$6-E850),ABS(($A850-1)/$B$6-E850)))</f>
        <v>0.0365893778496823</v>
      </c>
      <c r="J850" s="21" t="n">
        <f aca="false">IF(B850="","",MAX(ABS($A850/$B$6-F850),ABS(($A850-1)/$B$6-F850)))</f>
        <v>0.00683511755752031</v>
      </c>
      <c r="K850" s="21" t="n">
        <f aca="false">IF(B850="","",MAX(ABS($A850/$B$6-G850),ABS(($A850-1)/$B$6-G850)))</f>
        <v>0.0384305522475071</v>
      </c>
    </row>
    <row r="851" customFormat="false" ht="15" hidden="false" customHeight="false" outlineLevel="0" collapsed="false">
      <c r="A851" s="11" t="n">
        <v>815</v>
      </c>
      <c r="B851" s="9" t="n">
        <f aca="false">IF(A851&gt;$B$6,"",SMALL(BTC_Data!$C$3:$C$1002,A851))</f>
        <v>0.000862576010365102</v>
      </c>
      <c r="C851" s="21" t="n">
        <f aca="false">IF(B851="","",A851/$B$6)</f>
        <v>0.815</v>
      </c>
      <c r="D851" s="21" t="n">
        <f aca="false">IF(B851="","",NORMDIST(B851,$B$15,$B$16,TRUE()))</f>
        <v>0.753854881949181</v>
      </c>
      <c r="E851" s="21" t="n">
        <f aca="false">IF(B851="","",IF(B851&gt;=$B$15,1-TDIST((B851-$B$15)/$B$18,$B$17,1),TDIST(($B$15-B851)/$B$18,$B$17,1)))</f>
        <v>0.778366858445748</v>
      </c>
      <c r="F851" s="21" t="n">
        <f aca="false">IF(B851="","",IF(B851&lt;$B$19,0.5*EXP((B851-$B$19)/$B$20),1-0.5*EXP(-(B851-$B$19)/$B$20)))</f>
        <v>0.807973134518789</v>
      </c>
      <c r="G851" s="21" t="n">
        <f aca="false">IF(B851="","",1/(1+EXP(-(B851-$B$15)/$B$21)))</f>
        <v>0.776516960889743</v>
      </c>
      <c r="H851" s="21" t="n">
        <f aca="false">IF(B851="","",MAX(ABS($A851/$B$6-D851),ABS(($A851-1)/$B$6-D851)))</f>
        <v>0.0611451180508187</v>
      </c>
      <c r="I851" s="21" t="n">
        <f aca="false">IF(B851="","",MAX(ABS($A851/$B$6-E851),ABS(($A851-1)/$B$6-E851)))</f>
        <v>0.036633141554252</v>
      </c>
      <c r="J851" s="21" t="n">
        <f aca="false">IF(B851="","",MAX(ABS($A851/$B$6-F851),ABS(($A851-1)/$B$6-F851)))</f>
        <v>0.00702686548121068</v>
      </c>
      <c r="K851" s="21" t="n">
        <f aca="false">IF(B851="","",MAX(ABS($A851/$B$6-G851),ABS(($A851-1)/$B$6-G851)))</f>
        <v>0.0384830391102569</v>
      </c>
    </row>
    <row r="852" customFormat="false" ht="15" hidden="false" customHeight="false" outlineLevel="0" collapsed="false">
      <c r="A852" s="11" t="n">
        <v>816</v>
      </c>
      <c r="B852" s="9" t="n">
        <f aca="false">IF(A852&gt;$B$6,"",SMALL(BTC_Data!$C$3:$C$1002,A852))</f>
        <v>0.000885916776034001</v>
      </c>
      <c r="C852" s="21" t="n">
        <f aca="false">IF(B852="","",A852/$B$6)</f>
        <v>0.816</v>
      </c>
      <c r="D852" s="21" t="n">
        <f aca="false">IF(B852="","",NORMDIST(B852,$B$15,$B$16,TRUE()))</f>
        <v>0.759595638028052</v>
      </c>
      <c r="E852" s="21" t="n">
        <f aca="false">IF(B852="","",IF(B852&gt;=$B$15,1-TDIST((B852-$B$15)/$B$18,$B$17,1),TDIST(($B$15-B852)/$B$18,$B$17,1)))</f>
        <v>0.784136474894569</v>
      </c>
      <c r="F852" s="21" t="n">
        <f aca="false">IF(B852="","",IF(B852&lt;$B$19,0.5*EXP((B852-$B$19)/$B$20),1-0.5*EXP(-(B852-$B$19)/$B$20)))</f>
        <v>0.812829816474717</v>
      </c>
      <c r="G852" s="21" t="n">
        <f aca="false">IF(B852="","",1/(1+EXP(-(B852-$B$15)/$B$21)))</f>
        <v>0.782234020876265</v>
      </c>
      <c r="H852" s="21" t="n">
        <f aca="false">IF(B852="","",MAX(ABS($A852/$B$6-D852),ABS(($A852-1)/$B$6-D852)))</f>
        <v>0.0564043619719475</v>
      </c>
      <c r="I852" s="21" t="n">
        <f aca="false">IF(B852="","",MAX(ABS($A852/$B$6-E852),ABS(($A852-1)/$B$6-E852)))</f>
        <v>0.0318635251054311</v>
      </c>
      <c r="J852" s="21" t="n">
        <f aca="false">IF(B852="","",MAX(ABS($A852/$B$6-F852),ABS(($A852-1)/$B$6-F852)))</f>
        <v>0.0031701835252832</v>
      </c>
      <c r="K852" s="21" t="n">
        <f aca="false">IF(B852="","",MAX(ABS($A852/$B$6-G852),ABS(($A852-1)/$B$6-G852)))</f>
        <v>0.0337659791237354</v>
      </c>
    </row>
    <row r="853" customFormat="false" ht="15" hidden="false" customHeight="false" outlineLevel="0" collapsed="false">
      <c r="A853" s="11" t="n">
        <v>817</v>
      </c>
      <c r="B853" s="9" t="n">
        <f aca="false">IF(A853&gt;$B$6,"",SMALL(BTC_Data!$C$3:$C$1002,A853))</f>
        <v>0.000890077919404098</v>
      </c>
      <c r="C853" s="21" t="n">
        <f aca="false">IF(B853="","",A853/$B$6)</f>
        <v>0.817</v>
      </c>
      <c r="D853" s="21" t="n">
        <f aca="false">IF(B853="","",NORMDIST(B853,$B$15,$B$16,TRUE()))</f>
        <v>0.760611373633905</v>
      </c>
      <c r="E853" s="21" t="n">
        <f aca="false">IF(B853="","",IF(B853&gt;=$B$15,1-TDIST((B853-$B$15)/$B$18,$B$17,1),TDIST(($B$15-B853)/$B$18,$B$17,1)))</f>
        <v>0.785153787208953</v>
      </c>
      <c r="F853" s="21" t="n">
        <f aca="false">IF(B853="","",IF(B853&lt;$B$19,0.5*EXP((B853-$B$19)/$B$20),1-0.5*EXP(-(B853-$B$19)/$B$20)))</f>
        <v>0.813682663981835</v>
      </c>
      <c r="G853" s="21" t="n">
        <f aca="false">IF(B853="","",1/(1+EXP(-(B853-$B$15)/$B$21)))</f>
        <v>0.783242086237227</v>
      </c>
      <c r="H853" s="21" t="n">
        <f aca="false">IF(B853="","",MAX(ABS($A853/$B$6-D853),ABS(($A853-1)/$B$6-D853)))</f>
        <v>0.0563886263660951</v>
      </c>
      <c r="I853" s="21" t="n">
        <f aca="false">IF(B853="","",MAX(ABS($A853/$B$6-E853),ABS(($A853-1)/$B$6-E853)))</f>
        <v>0.0318462127910473</v>
      </c>
      <c r="J853" s="21" t="n">
        <f aca="false">IF(B853="","",MAX(ABS($A853/$B$6-F853),ABS(($A853-1)/$B$6-F853)))</f>
        <v>0.00331733601816486</v>
      </c>
      <c r="K853" s="21" t="n">
        <f aca="false">IF(B853="","",MAX(ABS($A853/$B$6-G853),ABS(($A853-1)/$B$6-G853)))</f>
        <v>0.0337579137627735</v>
      </c>
    </row>
    <row r="854" customFormat="false" ht="15" hidden="false" customHeight="false" outlineLevel="0" collapsed="false">
      <c r="A854" s="11" t="n">
        <v>818</v>
      </c>
      <c r="B854" s="9" t="n">
        <f aca="false">IF(A854&gt;$B$6,"",SMALL(BTC_Data!$C$3:$C$1002,A854))</f>
        <v>0.00089307536209815</v>
      </c>
      <c r="C854" s="21" t="n">
        <f aca="false">IF(B854="","",A854/$B$6)</f>
        <v>0.818</v>
      </c>
      <c r="D854" s="21" t="n">
        <f aca="false">IF(B854="","",NORMDIST(B854,$B$15,$B$16,TRUE()))</f>
        <v>0.761341594950667</v>
      </c>
      <c r="E854" s="21" t="n">
        <f aca="false">IF(B854="","",IF(B854&gt;=$B$15,1-TDIST((B854-$B$15)/$B$18,$B$17,1),TDIST(($B$15-B854)/$B$18,$B$17,1)))</f>
        <v>0.785884481106285</v>
      </c>
      <c r="F854" s="21" t="n">
        <f aca="false">IF(B854="","",IF(B854&lt;$B$19,0.5*EXP((B854-$B$19)/$B$20),1-0.5*EXP(-(B854-$B$19)/$B$20)))</f>
        <v>0.814294596242817</v>
      </c>
      <c r="G854" s="21" t="n">
        <f aca="false">IF(B854="","",1/(1+EXP(-(B854-$B$15)/$B$21)))</f>
        <v>0.783966143296662</v>
      </c>
      <c r="H854" s="21" t="n">
        <f aca="false">IF(B854="","",MAX(ABS($A854/$B$6-D854),ABS(($A854-1)/$B$6-D854)))</f>
        <v>0.0566584050493328</v>
      </c>
      <c r="I854" s="21" t="n">
        <f aca="false">IF(B854="","",MAX(ABS($A854/$B$6-E854),ABS(($A854-1)/$B$6-E854)))</f>
        <v>0.032115518893715</v>
      </c>
      <c r="J854" s="21" t="n">
        <f aca="false">IF(B854="","",MAX(ABS($A854/$B$6-F854),ABS(($A854-1)/$B$6-F854)))</f>
        <v>0.00370540375718331</v>
      </c>
      <c r="K854" s="21" t="n">
        <f aca="false">IF(B854="","",MAX(ABS($A854/$B$6-G854),ABS(($A854-1)/$B$6-G854)))</f>
        <v>0.0340338567033379</v>
      </c>
    </row>
    <row r="855" customFormat="false" ht="15" hidden="false" customHeight="false" outlineLevel="0" collapsed="false">
      <c r="A855" s="11" t="n">
        <v>819</v>
      </c>
      <c r="B855" s="9" t="n">
        <f aca="false">IF(A855&gt;$B$6,"",SMALL(BTC_Data!$C$3:$C$1002,A855))</f>
        <v>0.000902489920825644</v>
      </c>
      <c r="C855" s="21" t="n">
        <f aca="false">IF(B855="","",A855/$B$6)</f>
        <v>0.819</v>
      </c>
      <c r="D855" s="21" t="n">
        <f aca="false">IF(B855="","",NORMDIST(B855,$B$15,$B$16,TRUE()))</f>
        <v>0.76362717387173</v>
      </c>
      <c r="E855" s="21" t="n">
        <f aca="false">IF(B855="","",IF(B855&gt;=$B$15,1-TDIST((B855-$B$15)/$B$18,$B$17,1),TDIST(($B$15-B855)/$B$18,$B$17,1)))</f>
        <v>0.788167950888583</v>
      </c>
      <c r="F855" s="21" t="n">
        <f aca="false">IF(B855="","",IF(B855&lt;$B$19,0.5*EXP((B855-$B$19)/$B$20),1-0.5*EXP(-(B855-$B$19)/$B$20)))</f>
        <v>0.81620355299178</v>
      </c>
      <c r="G855" s="21" t="n">
        <f aca="false">IF(B855="","",1/(1+EXP(-(B855-$B$15)/$B$21)))</f>
        <v>0.786228902313185</v>
      </c>
      <c r="H855" s="21" t="n">
        <f aca="false">IF(B855="","",MAX(ABS($A855/$B$6-D855),ABS(($A855-1)/$B$6-D855)))</f>
        <v>0.0553728261282704</v>
      </c>
      <c r="I855" s="21" t="n">
        <f aca="false">IF(B855="","",MAX(ABS($A855/$B$6-E855),ABS(($A855-1)/$B$6-E855)))</f>
        <v>0.0308320491114169</v>
      </c>
      <c r="J855" s="21" t="n">
        <f aca="false">IF(B855="","",MAX(ABS($A855/$B$6-F855),ABS(($A855-1)/$B$6-F855)))</f>
        <v>0.00279644700822002</v>
      </c>
      <c r="K855" s="21" t="n">
        <f aca="false">IF(B855="","",MAX(ABS($A855/$B$6-G855),ABS(($A855-1)/$B$6-G855)))</f>
        <v>0.0327710976868153</v>
      </c>
    </row>
    <row r="856" customFormat="false" ht="15" hidden="false" customHeight="false" outlineLevel="0" collapsed="false">
      <c r="A856" s="11" t="n">
        <v>820</v>
      </c>
      <c r="B856" s="9" t="n">
        <f aca="false">IF(A856&gt;$B$6,"",SMALL(BTC_Data!$C$3:$C$1002,A856))</f>
        <v>0.000911060955726128</v>
      </c>
      <c r="C856" s="21" t="n">
        <f aca="false">IF(B856="","",A856/$B$6)</f>
        <v>0.82</v>
      </c>
      <c r="D856" s="21" t="n">
        <f aca="false">IF(B856="","",NORMDIST(B856,$B$15,$B$16,TRUE()))</f>
        <v>0.76569744719217</v>
      </c>
      <c r="E856" s="21" t="n">
        <f aca="false">IF(B856="","",IF(B856&gt;=$B$15,1-TDIST((B856-$B$15)/$B$18,$B$17,1),TDIST(($B$15-B856)/$B$18,$B$17,1)))</f>
        <v>0.790231594532271</v>
      </c>
      <c r="F856" s="21" t="n">
        <f aca="false">IF(B856="","",IF(B856&lt;$B$19,0.5*EXP((B856-$B$19)/$B$20),1-0.5*EXP(-(B856-$B$19)/$B$20)))</f>
        <v>0.817924401560975</v>
      </c>
      <c r="G856" s="21" t="n">
        <f aca="false">IF(B856="","",1/(1+EXP(-(B856-$B$15)/$B$21)))</f>
        <v>0.788273873864091</v>
      </c>
      <c r="H856" s="21" t="n">
        <f aca="false">IF(B856="","",MAX(ABS($A856/$B$6-D856),ABS(($A856-1)/$B$6-D856)))</f>
        <v>0.0543025528078299</v>
      </c>
      <c r="I856" s="21" t="n">
        <f aca="false">IF(B856="","",MAX(ABS($A856/$B$6-E856),ABS(($A856-1)/$B$6-E856)))</f>
        <v>0.0297684054677289</v>
      </c>
      <c r="J856" s="21" t="n">
        <f aca="false">IF(B856="","",MAX(ABS($A856/$B$6-F856),ABS(($A856-1)/$B$6-F856)))</f>
        <v>0.00207559843902494</v>
      </c>
      <c r="K856" s="21" t="n">
        <f aca="false">IF(B856="","",MAX(ABS($A856/$B$6-G856),ABS(($A856-1)/$B$6-G856)))</f>
        <v>0.0317261261359094</v>
      </c>
    </row>
    <row r="857" customFormat="false" ht="15" hidden="false" customHeight="false" outlineLevel="0" collapsed="false">
      <c r="A857" s="11" t="n">
        <v>821</v>
      </c>
      <c r="B857" s="9" t="n">
        <f aca="false">IF(A857&gt;$B$6,"",SMALL(BTC_Data!$C$3:$C$1002,A857))</f>
        <v>0.000932500797140801</v>
      </c>
      <c r="C857" s="21" t="n">
        <f aca="false">IF(B857="","",A857/$B$6)</f>
        <v>0.821</v>
      </c>
      <c r="D857" s="21" t="n">
        <f aca="false">IF(B857="","",NORMDIST(B857,$B$15,$B$16,TRUE()))</f>
        <v>0.770831870066955</v>
      </c>
      <c r="E857" s="21" t="n">
        <f aca="false">IF(B857="","",IF(B857&gt;=$B$15,1-TDIST((B857-$B$15)/$B$18,$B$17,1),TDIST(($B$15-B857)/$B$18,$B$17,1)))</f>
        <v>0.795330029179359</v>
      </c>
      <c r="F857" s="21" t="n">
        <f aca="false">IF(B857="","",IF(B857&lt;$B$19,0.5*EXP((B857-$B$19)/$B$20),1-0.5*EXP(-(B857-$B$19)/$B$20)))</f>
        <v>0.822158754633588</v>
      </c>
      <c r="G857" s="21" t="n">
        <f aca="false">IF(B857="","",1/(1+EXP(-(B857-$B$15)/$B$21)))</f>
        <v>0.793326407478869</v>
      </c>
      <c r="H857" s="21" t="n">
        <f aca="false">IF(B857="","",MAX(ABS($A857/$B$6-D857),ABS(($A857-1)/$B$6-D857)))</f>
        <v>0.0501681299330445</v>
      </c>
      <c r="I857" s="21" t="n">
        <f aca="false">IF(B857="","",MAX(ABS($A857/$B$6-E857),ABS(($A857-1)/$B$6-E857)))</f>
        <v>0.0256699708206409</v>
      </c>
      <c r="J857" s="21" t="n">
        <f aca="false">IF(B857="","",MAX(ABS($A857/$B$6-F857),ABS(($A857-1)/$B$6-F857)))</f>
        <v>0.00215875463358761</v>
      </c>
      <c r="K857" s="21" t="n">
        <f aca="false">IF(B857="","",MAX(ABS($A857/$B$6-G857),ABS(($A857-1)/$B$6-G857)))</f>
        <v>0.0276735925211307</v>
      </c>
    </row>
    <row r="858" customFormat="false" ht="15" hidden="false" customHeight="false" outlineLevel="0" collapsed="false">
      <c r="A858" s="11" t="n">
        <v>822</v>
      </c>
      <c r="B858" s="9" t="n">
        <f aca="false">IF(A858&gt;$B$6,"",SMALL(BTC_Data!$C$3:$C$1002,A858))</f>
        <v>0.000933399977333771</v>
      </c>
      <c r="C858" s="21" t="n">
        <f aca="false">IF(B858="","",A858/$B$6)</f>
        <v>0.822</v>
      </c>
      <c r="D858" s="21" t="n">
        <f aca="false">IF(B858="","",NORMDIST(B858,$B$15,$B$16,TRUE()))</f>
        <v>0.771045818545409</v>
      </c>
      <c r="E858" s="21" t="n">
        <f aca="false">IF(B858="","",IF(B858&gt;=$B$15,1-TDIST((B858-$B$15)/$B$18,$B$17,1),TDIST(($B$15-B858)/$B$18,$B$17,1)))</f>
        <v>0.795541868931032</v>
      </c>
      <c r="F858" s="21" t="n">
        <f aca="false">IF(B858="","",IF(B858&lt;$B$19,0.5*EXP((B858-$B$19)/$B$20),1-0.5*EXP(-(B858-$B$19)/$B$20)))</f>
        <v>0.822334174309987</v>
      </c>
      <c r="G858" s="21" t="n">
        <f aca="false">IF(B858="","",1/(1+EXP(-(B858-$B$15)/$B$21)))</f>
        <v>0.793536348326809</v>
      </c>
      <c r="H858" s="21" t="n">
        <f aca="false">IF(B858="","",MAX(ABS($A858/$B$6-D858),ABS(($A858-1)/$B$6-D858)))</f>
        <v>0.0509541814545912</v>
      </c>
      <c r="I858" s="21" t="n">
        <f aca="false">IF(B858="","",MAX(ABS($A858/$B$6-E858),ABS(($A858-1)/$B$6-E858)))</f>
        <v>0.0264581310689679</v>
      </c>
      <c r="J858" s="21" t="n">
        <f aca="false">IF(B858="","",MAX(ABS($A858/$B$6-F858),ABS(($A858-1)/$B$6-F858)))</f>
        <v>0.0013341743099865</v>
      </c>
      <c r="K858" s="21" t="n">
        <f aca="false">IF(B858="","",MAX(ABS($A858/$B$6-G858),ABS(($A858-1)/$B$6-G858)))</f>
        <v>0.0284636516731914</v>
      </c>
    </row>
    <row r="859" customFormat="false" ht="15" hidden="false" customHeight="false" outlineLevel="0" collapsed="false">
      <c r="A859" s="11" t="n">
        <v>823</v>
      </c>
      <c r="B859" s="9" t="n">
        <f aca="false">IF(A859&gt;$B$6,"",SMALL(BTC_Data!$C$3:$C$1002,A859))</f>
        <v>0.000943112787074041</v>
      </c>
      <c r="C859" s="21" t="n">
        <f aca="false">IF(B859="","",A859/$B$6)</f>
        <v>0.823</v>
      </c>
      <c r="D859" s="21" t="n">
        <f aca="false">IF(B859="","",NORMDIST(B859,$B$15,$B$16,TRUE()))</f>
        <v>0.773349701050368</v>
      </c>
      <c r="E859" s="21" t="n">
        <f aca="false">IF(B859="","",IF(B859&gt;=$B$15,1-TDIST((B859-$B$15)/$B$18,$B$17,1),TDIST(($B$15-B859)/$B$18,$B$17,1)))</f>
        <v>0.797819932669221</v>
      </c>
      <c r="F859" s="21" t="n">
        <f aca="false">IF(B859="","",IF(B859&lt;$B$19,0.5*EXP((B859-$B$19)/$B$20),1-0.5*EXP(-(B859-$B$19)/$B$20)))</f>
        <v>0.82421803768455</v>
      </c>
      <c r="G859" s="21" t="n">
        <f aca="false">IF(B859="","",1/(1+EXP(-(B859-$B$15)/$B$21)))</f>
        <v>0.795794039990763</v>
      </c>
      <c r="H859" s="21" t="n">
        <f aca="false">IF(B859="","",MAX(ABS($A859/$B$6-D859),ABS(($A859-1)/$B$6-D859)))</f>
        <v>0.0496502989496322</v>
      </c>
      <c r="I859" s="21" t="n">
        <f aca="false">IF(B859="","",MAX(ABS($A859/$B$6-E859),ABS(($A859-1)/$B$6-E859)))</f>
        <v>0.0251800673307794</v>
      </c>
      <c r="J859" s="21" t="n">
        <f aca="false">IF(B859="","",MAX(ABS($A859/$B$6-F859),ABS(($A859-1)/$B$6-F859)))</f>
        <v>0.00221803768454965</v>
      </c>
      <c r="K859" s="21" t="n">
        <f aca="false">IF(B859="","",MAX(ABS($A859/$B$6-G859),ABS(($A859-1)/$B$6-G859)))</f>
        <v>0.0272059600092371</v>
      </c>
    </row>
    <row r="860" customFormat="false" ht="15" hidden="false" customHeight="false" outlineLevel="0" collapsed="false">
      <c r="A860" s="11" t="n">
        <v>824</v>
      </c>
      <c r="B860" s="9" t="n">
        <f aca="false">IF(A860&gt;$B$6,"",SMALL(BTC_Data!$C$3:$C$1002,A860))</f>
        <v>0.00094689981036078</v>
      </c>
      <c r="C860" s="21" t="n">
        <f aca="false">IF(B860="","",A860/$B$6)</f>
        <v>0.824</v>
      </c>
      <c r="D860" s="21" t="n">
        <f aca="false">IF(B860="","",NORMDIST(B860,$B$15,$B$16,TRUE()))</f>
        <v>0.774244426756551</v>
      </c>
      <c r="E860" s="21" t="n">
        <f aca="false">IF(B860="","",IF(B860&gt;=$B$15,1-TDIST((B860-$B$15)/$B$18,$B$17,1),TDIST(($B$15-B860)/$B$18,$B$17,1)))</f>
        <v>0.798703091506491</v>
      </c>
      <c r="F860" s="21" t="n">
        <f aca="false">IF(B860="","",IF(B860&lt;$B$19,0.5*EXP((B860-$B$19)/$B$20),1-0.5*EXP(-(B860-$B$19)/$B$20)))</f>
        <v>0.824947131508927</v>
      </c>
      <c r="G860" s="21" t="n">
        <f aca="false">IF(B860="","",1/(1+EXP(-(B860-$B$15)/$B$21)))</f>
        <v>0.796669326166542</v>
      </c>
      <c r="H860" s="21" t="n">
        <f aca="false">IF(B860="","",MAX(ABS($A860/$B$6-D860),ABS(($A860-1)/$B$6-D860)))</f>
        <v>0.049755573243449</v>
      </c>
      <c r="I860" s="21" t="n">
        <f aca="false">IF(B860="","",MAX(ABS($A860/$B$6-E860),ABS(($A860-1)/$B$6-E860)))</f>
        <v>0.0252969084935094</v>
      </c>
      <c r="J860" s="21" t="n">
        <f aca="false">IF(B860="","",MAX(ABS($A860/$B$6-F860),ABS(($A860-1)/$B$6-F860)))</f>
        <v>0.00194713150892689</v>
      </c>
      <c r="K860" s="21" t="n">
        <f aca="false">IF(B860="","",MAX(ABS($A860/$B$6-G860),ABS(($A860-1)/$B$6-G860)))</f>
        <v>0.0273306738334584</v>
      </c>
    </row>
    <row r="861" customFormat="false" ht="15" hidden="false" customHeight="false" outlineLevel="0" collapsed="false">
      <c r="A861" s="11" t="n">
        <v>825</v>
      </c>
      <c r="B861" s="9" t="n">
        <f aca="false">IF(A861&gt;$B$6,"",SMALL(BTC_Data!$C$3:$C$1002,A861))</f>
        <v>0.000951514701289291</v>
      </c>
      <c r="C861" s="21" t="n">
        <f aca="false">IF(B861="","",A861/$B$6)</f>
        <v>0.825</v>
      </c>
      <c r="D861" s="21" t="n">
        <f aca="false">IF(B861="","",NORMDIST(B861,$B$15,$B$16,TRUE()))</f>
        <v>0.775332039474934</v>
      </c>
      <c r="E861" s="21" t="n">
        <f aca="false">IF(B861="","",IF(B861&gt;=$B$15,1-TDIST((B861-$B$15)/$B$18,$B$17,1),TDIST(($B$15-B861)/$B$18,$B$17,1)))</f>
        <v>0.799775478777547</v>
      </c>
      <c r="F861" s="21" t="n">
        <f aca="false">IF(B861="","",IF(B861&lt;$B$19,0.5*EXP((B861-$B$19)/$B$20),1-0.5*EXP(-(B861-$B$19)/$B$20)))</f>
        <v>0.825831523211549</v>
      </c>
      <c r="G861" s="21" t="n">
        <f aca="false">IF(B861="","",1/(1+EXP(-(B861-$B$15)/$B$21)))</f>
        <v>0.797732174264337</v>
      </c>
      <c r="H861" s="21" t="n">
        <f aca="false">IF(B861="","",MAX(ABS($A861/$B$6-D861),ABS(($A861-1)/$B$6-D861)))</f>
        <v>0.0496679605250663</v>
      </c>
      <c r="I861" s="21" t="n">
        <f aca="false">IF(B861="","",MAX(ABS($A861/$B$6-E861),ABS(($A861-1)/$B$6-E861)))</f>
        <v>0.0252245212224533</v>
      </c>
      <c r="J861" s="21" t="n">
        <f aca="false">IF(B861="","",MAX(ABS($A861/$B$6-F861),ABS(($A861-1)/$B$6-F861)))</f>
        <v>0.00183152321154889</v>
      </c>
      <c r="K861" s="21" t="n">
        <f aca="false">IF(B861="","",MAX(ABS($A861/$B$6-G861),ABS(($A861-1)/$B$6-G861)))</f>
        <v>0.0272678257356634</v>
      </c>
    </row>
    <row r="862" customFormat="false" ht="15" hidden="false" customHeight="false" outlineLevel="0" collapsed="false">
      <c r="A862" s="11" t="n">
        <v>826</v>
      </c>
      <c r="B862" s="9" t="n">
        <f aca="false">IF(A862&gt;$B$6,"",SMALL(BTC_Data!$C$3:$C$1002,A862))</f>
        <v>0.000956086366938225</v>
      </c>
      <c r="C862" s="21" t="n">
        <f aca="false">IF(B862="","",A862/$B$6)</f>
        <v>0.826</v>
      </c>
      <c r="D862" s="21" t="n">
        <f aca="false">IF(B862="","",NORMDIST(B862,$B$15,$B$16,TRUE()))</f>
        <v>0.776406528654297</v>
      </c>
      <c r="E862" s="21" t="n">
        <f aca="false">IF(B862="","",IF(B862&gt;=$B$15,1-TDIST((B862-$B$15)/$B$18,$B$17,1),TDIST(($B$15-B862)/$B$18,$B$17,1)))</f>
        <v>0.800833667285672</v>
      </c>
      <c r="F862" s="21" t="n">
        <f aca="false">IF(B862="","",IF(B862&lt;$B$19,0.5*EXP((B862-$B$19)/$B$20),1-0.5*EXP(-(B862-$B$19)/$B$20)))</f>
        <v>0.826703225716094</v>
      </c>
      <c r="G862" s="21" t="n">
        <f aca="false">IF(B862="","",1/(1+EXP(-(B862-$B$15)/$B$21)))</f>
        <v>0.798780972829876</v>
      </c>
      <c r="H862" s="21" t="n">
        <f aca="false">IF(B862="","",MAX(ABS($A862/$B$6-D862),ABS(($A862-1)/$B$6-D862)))</f>
        <v>0.0495934713457028</v>
      </c>
      <c r="I862" s="21" t="n">
        <f aca="false">IF(B862="","",MAX(ABS($A862/$B$6-E862),ABS(($A862-1)/$B$6-E862)))</f>
        <v>0.0251663327143276</v>
      </c>
      <c r="J862" s="21" t="n">
        <f aca="false">IF(B862="","",MAX(ABS($A862/$B$6-F862),ABS(($A862-1)/$B$6-F862)))</f>
        <v>0.00170322571609449</v>
      </c>
      <c r="K862" s="21" t="n">
        <f aca="false">IF(B862="","",MAX(ABS($A862/$B$6-G862),ABS(($A862-1)/$B$6-G862)))</f>
        <v>0.0272190271701236</v>
      </c>
    </row>
    <row r="863" customFormat="false" ht="15" hidden="false" customHeight="false" outlineLevel="0" collapsed="false">
      <c r="A863" s="11" t="n">
        <v>827</v>
      </c>
      <c r="B863" s="9" t="n">
        <f aca="false">IF(A863&gt;$B$6,"",SMALL(BTC_Data!$C$3:$C$1002,A863))</f>
        <v>0.000958482131447891</v>
      </c>
      <c r="C863" s="21" t="n">
        <f aca="false">IF(B863="","",A863/$B$6)</f>
        <v>0.827</v>
      </c>
      <c r="D863" s="21" t="n">
        <f aca="false">IF(B863="","",NORMDIST(B863,$B$15,$B$16,TRUE()))</f>
        <v>0.776968441648073</v>
      </c>
      <c r="E863" s="21" t="n">
        <f aca="false">IF(B863="","",IF(B863&gt;=$B$15,1-TDIST((B863-$B$15)/$B$18,$B$17,1),TDIST(($B$15-B863)/$B$18,$B$17,1)))</f>
        <v>0.801386556127119</v>
      </c>
      <c r="F863" s="21" t="n">
        <f aca="false">IF(B863="","",IF(B863&lt;$B$19,0.5*EXP((B863-$B$19)/$B$20),1-0.5*EXP(-(B863-$B$19)/$B$20)))</f>
        <v>0.827158294582743</v>
      </c>
      <c r="G863" s="21" t="n">
        <f aca="false">IF(B863="","",1/(1+EXP(-(B863-$B$15)/$B$21)))</f>
        <v>0.799328965005913</v>
      </c>
      <c r="H863" s="21" t="n">
        <f aca="false">IF(B863="","",MAX(ABS($A863/$B$6-D863),ABS(($A863-1)/$B$6-D863)))</f>
        <v>0.0500315583519271</v>
      </c>
      <c r="I863" s="21" t="n">
        <f aca="false">IF(B863="","",MAX(ABS($A863/$B$6-E863),ABS(($A863-1)/$B$6-E863)))</f>
        <v>0.0256134438728814</v>
      </c>
      <c r="J863" s="21" t="n">
        <f aca="false">IF(B863="","",MAX(ABS($A863/$B$6-F863),ABS(($A863-1)/$B$6-F863)))</f>
        <v>0.00115829458274253</v>
      </c>
      <c r="K863" s="21" t="n">
        <f aca="false">IF(B863="","",MAX(ABS($A863/$B$6-G863),ABS(($A863-1)/$B$6-G863)))</f>
        <v>0.027671034994087</v>
      </c>
    </row>
    <row r="864" customFormat="false" ht="15" hidden="false" customHeight="false" outlineLevel="0" collapsed="false">
      <c r="A864" s="11" t="n">
        <v>828</v>
      </c>
      <c r="B864" s="9" t="n">
        <f aca="false">IF(A864&gt;$B$6,"",SMALL(BTC_Data!$C$3:$C$1002,A864))</f>
        <v>0.000967907269510127</v>
      </c>
      <c r="C864" s="21" t="n">
        <f aca="false">IF(B864="","",A864/$B$6)</f>
        <v>0.828</v>
      </c>
      <c r="D864" s="21" t="n">
        <f aca="false">IF(B864="","",NORMDIST(B864,$B$15,$B$16,TRUE()))</f>
        <v>0.779171232758403</v>
      </c>
      <c r="E864" s="21" t="n">
        <f aca="false">IF(B864="","",IF(B864&gt;=$B$15,1-TDIST((B864-$B$15)/$B$18,$B$17,1),TDIST(($B$15-B864)/$B$18,$B$17,1)))</f>
        <v>0.803550650331501</v>
      </c>
      <c r="F864" s="21" t="n">
        <f aca="false">IF(B864="","",IF(B864&lt;$B$19,0.5*EXP((B864-$B$19)/$B$20),1-0.5*EXP(-(B864-$B$19)/$B$20)))</f>
        <v>0.828937005313168</v>
      </c>
      <c r="G864" s="21" t="n">
        <f aca="false">IF(B864="","",1/(1+EXP(-(B864-$B$15)/$B$21)))</f>
        <v>0.8014739589662</v>
      </c>
      <c r="H864" s="21" t="n">
        <f aca="false">IF(B864="","",MAX(ABS($A864/$B$6-D864),ABS(($A864-1)/$B$6-D864)))</f>
        <v>0.0488287672415969</v>
      </c>
      <c r="I864" s="21" t="n">
        <f aca="false">IF(B864="","",MAX(ABS($A864/$B$6-E864),ABS(($A864-1)/$B$6-E864)))</f>
        <v>0.0244493496684989</v>
      </c>
      <c r="J864" s="21" t="n">
        <f aca="false">IF(B864="","",MAX(ABS($A864/$B$6-F864),ABS(($A864-1)/$B$6-F864)))</f>
        <v>0.00193700531316843</v>
      </c>
      <c r="K864" s="21" t="n">
        <f aca="false">IF(B864="","",MAX(ABS($A864/$B$6-G864),ABS(($A864-1)/$B$6-G864)))</f>
        <v>0.0265260410337997</v>
      </c>
    </row>
    <row r="865" customFormat="false" ht="15" hidden="false" customHeight="false" outlineLevel="0" collapsed="false">
      <c r="A865" s="11" t="n">
        <v>829</v>
      </c>
      <c r="B865" s="9" t="n">
        <f aca="false">IF(A865&gt;$B$6,"",SMALL(BTC_Data!$C$3:$C$1002,A865))</f>
        <v>0.000969819851340148</v>
      </c>
      <c r="C865" s="21" t="n">
        <f aca="false">IF(B865="","",A865/$B$6)</f>
        <v>0.829</v>
      </c>
      <c r="D865" s="21" t="n">
        <f aca="false">IF(B865="","",NORMDIST(B865,$B$15,$B$16,TRUE()))</f>
        <v>0.779616705522941</v>
      </c>
      <c r="E865" s="21" t="n">
        <f aca="false">IF(B865="","",IF(B865&gt;=$B$15,1-TDIST((B865-$B$15)/$B$18,$B$17,1),TDIST(($B$15-B865)/$B$18,$B$17,1)))</f>
        <v>0.803987652176988</v>
      </c>
      <c r="F865" s="21" t="n">
        <f aca="false">IF(B865="","",IF(B865&lt;$B$19,0.5*EXP((B865-$B$19)/$B$20),1-0.5*EXP(-(B865-$B$19)/$B$20)))</f>
        <v>0.829295707251342</v>
      </c>
      <c r="G865" s="21" t="n">
        <f aca="false">IF(B865="","",1/(1+EXP(-(B865-$B$15)/$B$21)))</f>
        <v>0.801907117226015</v>
      </c>
      <c r="H865" s="21" t="n">
        <f aca="false">IF(B865="","",MAX(ABS($A865/$B$6-D865),ABS(($A865-1)/$B$6-D865)))</f>
        <v>0.0493832944770589</v>
      </c>
      <c r="I865" s="21" t="n">
        <f aca="false">IF(B865="","",MAX(ABS($A865/$B$6-E865),ABS(($A865-1)/$B$6-E865)))</f>
        <v>0.0250123478230124</v>
      </c>
      <c r="J865" s="21" t="n">
        <f aca="false">IF(B865="","",MAX(ABS($A865/$B$6-F865),ABS(($A865-1)/$B$6-F865)))</f>
        <v>0.00129570725134243</v>
      </c>
      <c r="K865" s="21" t="n">
        <f aca="false">IF(B865="","",MAX(ABS($A865/$B$6-G865),ABS(($A865-1)/$B$6-G865)))</f>
        <v>0.027092882773985</v>
      </c>
    </row>
    <row r="866" customFormat="false" ht="15" hidden="false" customHeight="false" outlineLevel="0" collapsed="false">
      <c r="A866" s="11" t="n">
        <v>830</v>
      </c>
      <c r="B866" s="9" t="n">
        <f aca="false">IF(A866&gt;$B$6,"",SMALL(BTC_Data!$C$3:$C$1002,A866))</f>
        <v>0.000976834870668908</v>
      </c>
      <c r="C866" s="21" t="n">
        <f aca="false">IF(B866="","",A866/$B$6)</f>
        <v>0.83</v>
      </c>
      <c r="D866" s="21" t="n">
        <f aca="false">IF(B866="","",NORMDIST(B866,$B$15,$B$16,TRUE()))</f>
        <v>0.781246206137047</v>
      </c>
      <c r="E866" s="21" t="n">
        <f aca="false">IF(B866="","",IF(B866&gt;=$B$15,1-TDIST((B866-$B$15)/$B$18,$B$17,1),TDIST(($B$15-B866)/$B$18,$B$17,1)))</f>
        <v>0.805584310390378</v>
      </c>
      <c r="F866" s="21" t="n">
        <f aca="false">IF(B866="","",IF(B866&lt;$B$19,0.5*EXP((B866-$B$19)/$B$20),1-0.5*EXP(-(B866-$B$19)/$B$20)))</f>
        <v>0.830604937110451</v>
      </c>
      <c r="G866" s="21" t="n">
        <f aca="false">IF(B866="","",1/(1+EXP(-(B866-$B$15)/$B$21)))</f>
        <v>0.803489772851941</v>
      </c>
      <c r="H866" s="21" t="n">
        <f aca="false">IF(B866="","",MAX(ABS($A866/$B$6-D866),ABS(($A866-1)/$B$6-D866)))</f>
        <v>0.0487537938629526</v>
      </c>
      <c r="I866" s="21" t="n">
        <f aca="false">IF(B866="","",MAX(ABS($A866/$B$6-E866),ABS(($A866-1)/$B$6-E866)))</f>
        <v>0.0244156896096225</v>
      </c>
      <c r="J866" s="21" t="n">
        <f aca="false">IF(B866="","",MAX(ABS($A866/$B$6-F866),ABS(($A866-1)/$B$6-F866)))</f>
        <v>0.00160493711045073</v>
      </c>
      <c r="K866" s="21" t="n">
        <f aca="false">IF(B866="","",MAX(ABS($A866/$B$6-G866),ABS(($A866-1)/$B$6-G866)))</f>
        <v>0.0265102271480593</v>
      </c>
    </row>
    <row r="867" customFormat="false" ht="15" hidden="false" customHeight="false" outlineLevel="0" collapsed="false">
      <c r="A867" s="11" t="n">
        <v>831</v>
      </c>
      <c r="B867" s="9" t="n">
        <f aca="false">IF(A867&gt;$B$6,"",SMALL(BTC_Data!$C$3:$C$1002,A867))</f>
        <v>0.000982968177971832</v>
      </c>
      <c r="C867" s="21" t="n">
        <f aca="false">IF(B867="","",A867/$B$6)</f>
        <v>0.831</v>
      </c>
      <c r="D867" s="21" t="n">
        <f aca="false">IF(B867="","",NORMDIST(B867,$B$15,$B$16,TRUE()))</f>
        <v>0.782665197688838</v>
      </c>
      <c r="E867" s="21" t="n">
        <f aca="false">IF(B867="","",IF(B867&gt;=$B$15,1-TDIST((B867-$B$15)/$B$18,$B$17,1),TDIST(($B$15-B867)/$B$18,$B$17,1)))</f>
        <v>0.806972319536826</v>
      </c>
      <c r="F867" s="21" t="n">
        <f aca="false">IF(B867="","",IF(B867&lt;$B$19,0.5*EXP((B867-$B$19)/$B$20),1-0.5*EXP(-(B867-$B$19)/$B$20)))</f>
        <v>0.831741380850929</v>
      </c>
      <c r="G867" s="21" t="n">
        <f aca="false">IF(B867="","",1/(1+EXP(-(B867-$B$15)/$B$21)))</f>
        <v>0.804865663539804</v>
      </c>
      <c r="H867" s="21" t="n">
        <f aca="false">IF(B867="","",MAX(ABS($A867/$B$6-D867),ABS(($A867-1)/$B$6-D867)))</f>
        <v>0.0483348023111621</v>
      </c>
      <c r="I867" s="21" t="n">
        <f aca="false">IF(B867="","",MAX(ABS($A867/$B$6-E867),ABS(($A867-1)/$B$6-E867)))</f>
        <v>0.0240276804631736</v>
      </c>
      <c r="J867" s="21" t="n">
        <f aca="false">IF(B867="","",MAX(ABS($A867/$B$6-F867),ABS(($A867-1)/$B$6-F867)))</f>
        <v>0.00174138085092912</v>
      </c>
      <c r="K867" s="21" t="n">
        <f aca="false">IF(B867="","",MAX(ABS($A867/$B$6-G867),ABS(($A867-1)/$B$6-G867)))</f>
        <v>0.0261343364601956</v>
      </c>
    </row>
    <row r="868" customFormat="false" ht="15" hidden="false" customHeight="false" outlineLevel="0" collapsed="false">
      <c r="A868" s="11" t="n">
        <v>832</v>
      </c>
      <c r="B868" s="9" t="n">
        <f aca="false">IF(A868&gt;$B$6,"",SMALL(BTC_Data!$C$3:$C$1002,A868))</f>
        <v>0.000985225592642358</v>
      </c>
      <c r="C868" s="21" t="n">
        <f aca="false">IF(B868="","",A868/$B$6)</f>
        <v>0.832</v>
      </c>
      <c r="D868" s="21" t="n">
        <f aca="false">IF(B868="","",NORMDIST(B868,$B$15,$B$16,TRUE()))</f>
        <v>0.783186128112778</v>
      </c>
      <c r="E868" s="21" t="n">
        <f aca="false">IF(B868="","",IF(B868&gt;=$B$15,1-TDIST((B868-$B$15)/$B$18,$B$17,1),TDIST(($B$15-B868)/$B$18,$B$17,1)))</f>
        <v>0.807481317450895</v>
      </c>
      <c r="F868" s="21" t="n">
        <f aca="false">IF(B868="","",IF(B868&lt;$B$19,0.5*EXP((B868-$B$19)/$B$20),1-0.5*EXP(-(B868-$B$19)/$B$20)))</f>
        <v>0.83215773619186</v>
      </c>
      <c r="G868" s="21" t="n">
        <f aca="false">IF(B868="","",1/(1+EXP(-(B868-$B$15)/$B$21)))</f>
        <v>0.805370230745062</v>
      </c>
      <c r="H868" s="21" t="n">
        <f aca="false">IF(B868="","",MAX(ABS($A868/$B$6-D868),ABS(($A868-1)/$B$6-D868)))</f>
        <v>0.0488138718872221</v>
      </c>
      <c r="I868" s="21" t="n">
        <f aca="false">IF(B868="","",MAX(ABS($A868/$B$6-E868),ABS(($A868-1)/$B$6-E868)))</f>
        <v>0.0245186825491047</v>
      </c>
      <c r="J868" s="21" t="n">
        <f aca="false">IF(B868="","",MAX(ABS($A868/$B$6-F868),ABS(($A868-1)/$B$6-F868)))</f>
        <v>0.00115773619185966</v>
      </c>
      <c r="K868" s="21" t="n">
        <f aca="false">IF(B868="","",MAX(ABS($A868/$B$6-G868),ABS(($A868-1)/$B$6-G868)))</f>
        <v>0.0266297692549378</v>
      </c>
    </row>
    <row r="869" customFormat="false" ht="15" hidden="false" customHeight="false" outlineLevel="0" collapsed="false">
      <c r="A869" s="11" t="n">
        <v>833</v>
      </c>
      <c r="B869" s="9" t="n">
        <f aca="false">IF(A869&gt;$B$6,"",SMALL(BTC_Data!$C$3:$C$1002,A869))</f>
        <v>0.000989422465113021</v>
      </c>
      <c r="C869" s="21" t="n">
        <f aca="false">IF(B869="","",A869/$B$6)</f>
        <v>0.833</v>
      </c>
      <c r="D869" s="21" t="n">
        <f aca="false">IF(B869="","",NORMDIST(B869,$B$15,$B$16,TRUE()))</f>
        <v>0.784152694728037</v>
      </c>
      <c r="E869" s="21" t="n">
        <f aca="false">IF(B869="","",IF(B869&gt;=$B$15,1-TDIST((B869-$B$15)/$B$18,$B$17,1),TDIST(($B$15-B869)/$B$18,$B$17,1)))</f>
        <v>0.808424947119007</v>
      </c>
      <c r="F869" s="21" t="n">
        <f aca="false">IF(B869="","",IF(B869&lt;$B$19,0.5*EXP((B869-$B$19)/$B$20),1-0.5*EXP(-(B869-$B$19)/$B$20)))</f>
        <v>0.832929066916812</v>
      </c>
      <c r="G869" s="21" t="n">
        <f aca="false">IF(B869="","",1/(1+EXP(-(B869-$B$15)/$B$21)))</f>
        <v>0.806305665873932</v>
      </c>
      <c r="H869" s="21" t="n">
        <f aca="false">IF(B869="","",MAX(ABS($A869/$B$6-D869),ABS(($A869-1)/$B$6-D869)))</f>
        <v>0.0488473052719629</v>
      </c>
      <c r="I869" s="21" t="n">
        <f aca="false">IF(B869="","",MAX(ABS($A869/$B$6-E869),ABS(($A869-1)/$B$6-E869)))</f>
        <v>0.0245750528809935</v>
      </c>
      <c r="J869" s="21" t="n">
        <f aca="false">IF(B869="","",MAX(ABS($A869/$B$6-F869),ABS(($A869-1)/$B$6-F869)))</f>
        <v>0.00092906691681216</v>
      </c>
      <c r="K869" s="21" t="n">
        <f aca="false">IF(B869="","",MAX(ABS($A869/$B$6-G869),ABS(($A869-1)/$B$6-G869)))</f>
        <v>0.0266943341260677</v>
      </c>
    </row>
    <row r="870" customFormat="false" ht="15" hidden="false" customHeight="false" outlineLevel="0" collapsed="false">
      <c r="A870" s="11" t="n">
        <v>834</v>
      </c>
      <c r="B870" s="9" t="n">
        <f aca="false">IF(A870&gt;$B$6,"",SMALL(BTC_Data!$C$3:$C$1002,A870))</f>
        <v>0.00100461714787436</v>
      </c>
      <c r="C870" s="21" t="n">
        <f aca="false">IF(B870="","",A870/$B$6)</f>
        <v>0.834</v>
      </c>
      <c r="D870" s="21" t="n">
        <f aca="false">IF(B870="","",NORMDIST(B870,$B$15,$B$16,TRUE()))</f>
        <v>0.787631172495768</v>
      </c>
      <c r="E870" s="21" t="n">
        <f aca="false">IF(B870="","",IF(B870&gt;=$B$15,1-TDIST((B870-$B$15)/$B$18,$B$17,1),TDIST(($B$15-B870)/$B$18,$B$17,1)))</f>
        <v>0.811812274335636</v>
      </c>
      <c r="F870" s="21" t="n">
        <f aca="false">IF(B870="","",IF(B870&lt;$B$19,0.5*EXP((B870-$B$19)/$B$20),1-0.5*EXP(-(B870-$B$19)/$B$20)))</f>
        <v>0.835692122824194</v>
      </c>
      <c r="G870" s="21" t="n">
        <f aca="false">IF(B870="","",1/(1+EXP(-(B870-$B$15)/$B$21)))</f>
        <v>0.809663799780161</v>
      </c>
      <c r="H870" s="21" t="n">
        <f aca="false">IF(B870="","",MAX(ABS($A870/$B$6-D870),ABS(($A870-1)/$B$6-D870)))</f>
        <v>0.0463688275042323</v>
      </c>
      <c r="I870" s="21" t="n">
        <f aca="false">IF(B870="","",MAX(ABS($A870/$B$6-E870),ABS(($A870-1)/$B$6-E870)))</f>
        <v>0.0221877256643638</v>
      </c>
      <c r="J870" s="21" t="n">
        <f aca="false">IF(B870="","",MAX(ABS($A870/$B$6-F870),ABS(($A870-1)/$B$6-F870)))</f>
        <v>0.00269212282419429</v>
      </c>
      <c r="K870" s="21" t="n">
        <f aca="false">IF(B870="","",MAX(ABS($A870/$B$6-G870),ABS(($A870-1)/$B$6-G870)))</f>
        <v>0.0243362002198388</v>
      </c>
    </row>
    <row r="871" customFormat="false" ht="15" hidden="false" customHeight="false" outlineLevel="0" collapsed="false">
      <c r="A871" s="11" t="n">
        <v>835</v>
      </c>
      <c r="B871" s="9" t="n">
        <f aca="false">IF(A871&gt;$B$6,"",SMALL(BTC_Data!$C$3:$C$1002,A871))</f>
        <v>0.00100494282041597</v>
      </c>
      <c r="C871" s="21" t="n">
        <f aca="false">IF(B871="","",A871/$B$6)</f>
        <v>0.835</v>
      </c>
      <c r="D871" s="21" t="n">
        <f aca="false">IF(B871="","",NORMDIST(B871,$B$15,$B$16,TRUE()))</f>
        <v>0.787705367483117</v>
      </c>
      <c r="E871" s="21" t="n">
        <f aca="false">IF(B871="","",IF(B871&gt;=$B$15,1-TDIST((B871-$B$15)/$B$18,$B$17,1),TDIST(($B$15-B871)/$B$18,$B$17,1)))</f>
        <v>0.81188437782289</v>
      </c>
      <c r="F871" s="21" t="n">
        <f aca="false">IF(B871="","",IF(B871&lt;$B$19,0.5*EXP((B871-$B$19)/$B$20),1-0.5*EXP(-(B871-$B$19)/$B$20)))</f>
        <v>0.835750841367943</v>
      </c>
      <c r="G871" s="21" t="n">
        <f aca="false">IF(B871="","",1/(1+EXP(-(B871-$B$15)/$B$21)))</f>
        <v>0.809735285844268</v>
      </c>
      <c r="H871" s="21" t="n">
        <f aca="false">IF(B871="","",MAX(ABS($A871/$B$6-D871),ABS(($A871-1)/$B$6-D871)))</f>
        <v>0.0472946325168832</v>
      </c>
      <c r="I871" s="21" t="n">
        <f aca="false">IF(B871="","",MAX(ABS($A871/$B$6-E871),ABS(($A871-1)/$B$6-E871)))</f>
        <v>0.0231156221771104</v>
      </c>
      <c r="J871" s="21" t="n">
        <f aca="false">IF(B871="","",MAX(ABS($A871/$B$6-F871),ABS(($A871-1)/$B$6-F871)))</f>
        <v>0.0017508413679429</v>
      </c>
      <c r="K871" s="21" t="n">
        <f aca="false">IF(B871="","",MAX(ABS($A871/$B$6-G871),ABS(($A871-1)/$B$6-G871)))</f>
        <v>0.0252647141557325</v>
      </c>
    </row>
    <row r="872" customFormat="false" ht="15" hidden="false" customHeight="false" outlineLevel="0" collapsed="false">
      <c r="A872" s="11" t="n">
        <v>836</v>
      </c>
      <c r="B872" s="9" t="n">
        <f aca="false">IF(A872&gt;$B$6,"",SMALL(BTC_Data!$C$3:$C$1002,A872))</f>
        <v>0.00100820483246511</v>
      </c>
      <c r="C872" s="21" t="n">
        <f aca="false">IF(B872="","",A872/$B$6)</f>
        <v>0.836</v>
      </c>
      <c r="D872" s="21" t="n">
        <f aca="false">IF(B872="","",NORMDIST(B872,$B$15,$B$16,TRUE()))</f>
        <v>0.788447685535535</v>
      </c>
      <c r="E872" s="21" t="n">
        <f aca="false">IF(B872="","",IF(B872&gt;=$B$15,1-TDIST((B872-$B$15)/$B$18,$B$17,1),TDIST(($B$15-B872)/$B$18,$B$17,1)))</f>
        <v>0.812605430551053</v>
      </c>
      <c r="F872" s="21" t="n">
        <f aca="false">IF(B872="","",IF(B872&lt;$B$19,0.5*EXP((B872-$B$19)/$B$20),1-0.5*EXP(-(B872-$B$19)/$B$20)))</f>
        <v>0.836337823514643</v>
      </c>
      <c r="G872" s="21" t="n">
        <f aca="false">IF(B872="","",1/(1+EXP(-(B872-$B$15)/$B$21)))</f>
        <v>0.810450173811113</v>
      </c>
      <c r="H872" s="21" t="n">
        <f aca="false">IF(B872="","",MAX(ABS($A872/$B$6-D872),ABS(($A872-1)/$B$6-D872)))</f>
        <v>0.0475523144644655</v>
      </c>
      <c r="I872" s="21" t="n">
        <f aca="false">IF(B872="","",MAX(ABS($A872/$B$6-E872),ABS(($A872-1)/$B$6-E872)))</f>
        <v>0.0233945694489471</v>
      </c>
      <c r="J872" s="21" t="n">
        <f aca="false">IF(B872="","",MAX(ABS($A872/$B$6-F872),ABS(($A872-1)/$B$6-F872)))</f>
        <v>0.00133782351464251</v>
      </c>
      <c r="K872" s="21" t="n">
        <f aca="false">IF(B872="","",MAX(ABS($A872/$B$6-G872),ABS(($A872-1)/$B$6-G872)))</f>
        <v>0.0255498261888867</v>
      </c>
    </row>
    <row r="873" customFormat="false" ht="15" hidden="false" customHeight="false" outlineLevel="0" collapsed="false">
      <c r="A873" s="11" t="n">
        <v>837</v>
      </c>
      <c r="B873" s="9" t="n">
        <f aca="false">IF(A873&gt;$B$6,"",SMALL(BTC_Data!$C$3:$C$1002,A873))</f>
        <v>0.00101088482042422</v>
      </c>
      <c r="C873" s="21" t="n">
        <f aca="false">IF(B873="","",A873/$B$6)</f>
        <v>0.837</v>
      </c>
      <c r="D873" s="21" t="n">
        <f aca="false">IF(B873="","",NORMDIST(B873,$B$15,$B$16,TRUE()))</f>
        <v>0.789056416881642</v>
      </c>
      <c r="E873" s="21" t="n">
        <f aca="false">IF(B873="","",IF(B873&gt;=$B$15,1-TDIST((B873-$B$15)/$B$18,$B$17,1),TDIST(($B$15-B873)/$B$18,$B$17,1)))</f>
        <v>0.813196261619602</v>
      </c>
      <c r="F873" s="21" t="n">
        <f aca="false">IF(B873="","",IF(B873&lt;$B$19,0.5*EXP((B873-$B$19)/$B$20),1-0.5*EXP(-(B873-$B$19)/$B$20)))</f>
        <v>0.836818503432017</v>
      </c>
      <c r="G873" s="21" t="n">
        <f aca="false">IF(B873="","",1/(1+EXP(-(B873-$B$15)/$B$21)))</f>
        <v>0.811035966726508</v>
      </c>
      <c r="H873" s="21" t="n">
        <f aca="false">IF(B873="","",MAX(ABS($A873/$B$6-D873),ABS(($A873-1)/$B$6-D873)))</f>
        <v>0.0479435831183578</v>
      </c>
      <c r="I873" s="21" t="n">
        <f aca="false">IF(B873="","",MAX(ABS($A873/$B$6-E873),ABS(($A873-1)/$B$6-E873)))</f>
        <v>0.0238037383803976</v>
      </c>
      <c r="J873" s="21" t="n">
        <f aca="false">IF(B873="","",MAX(ABS($A873/$B$6-F873),ABS(($A873-1)/$B$6-F873)))</f>
        <v>0.000818503432017059</v>
      </c>
      <c r="K873" s="21" t="n">
        <f aca="false">IF(B873="","",MAX(ABS($A873/$B$6-G873),ABS(($A873-1)/$B$6-G873)))</f>
        <v>0.0259640332734924</v>
      </c>
    </row>
    <row r="874" customFormat="false" ht="15" hidden="false" customHeight="false" outlineLevel="0" collapsed="false">
      <c r="A874" s="11" t="n">
        <v>838</v>
      </c>
      <c r="B874" s="9" t="n">
        <f aca="false">IF(A874&gt;$B$6,"",SMALL(BTC_Data!$C$3:$C$1002,A874))</f>
        <v>0.00101419465537322</v>
      </c>
      <c r="C874" s="21" t="n">
        <f aca="false">IF(B874="","",A874/$B$6)</f>
        <v>0.838</v>
      </c>
      <c r="D874" s="21" t="n">
        <f aca="false">IF(B874="","",NORMDIST(B874,$B$15,$B$16,TRUE()))</f>
        <v>0.78980679224718</v>
      </c>
      <c r="E874" s="21" t="n">
        <f aca="false">IF(B874="","",IF(B874&gt;=$B$15,1-TDIST((B874-$B$15)/$B$18,$B$17,1),TDIST(($B$15-B874)/$B$18,$B$17,1)))</f>
        <v>0.813923997806231</v>
      </c>
      <c r="F874" s="21" t="n">
        <f aca="false">IF(B874="","",IF(B874&lt;$B$19,0.5*EXP((B874-$B$19)/$B$20),1-0.5*EXP(-(B874-$B$19)/$B$20)))</f>
        <v>0.83741020406857</v>
      </c>
      <c r="G874" s="21" t="n">
        <f aca="false">IF(B874="","",1/(1+EXP(-(B874-$B$15)/$B$21)))</f>
        <v>0.811757514143633</v>
      </c>
      <c r="H874" s="21" t="n">
        <f aca="false">IF(B874="","",MAX(ABS($A874/$B$6-D874),ABS(($A874-1)/$B$6-D874)))</f>
        <v>0.04819320775282</v>
      </c>
      <c r="I874" s="21" t="n">
        <f aca="false">IF(B874="","",MAX(ABS($A874/$B$6-E874),ABS(($A874-1)/$B$6-E874)))</f>
        <v>0.024076002193769</v>
      </c>
      <c r="J874" s="21" t="n">
        <f aca="false">IF(B874="","",MAX(ABS($A874/$B$6-F874),ABS(($A874-1)/$B$6-F874)))</f>
        <v>0.000589795931430492</v>
      </c>
      <c r="K874" s="21" t="n">
        <f aca="false">IF(B874="","",MAX(ABS($A874/$B$6-G874),ABS(($A874-1)/$B$6-G874)))</f>
        <v>0.0262424858563671</v>
      </c>
    </row>
    <row r="875" customFormat="false" ht="15" hidden="false" customHeight="false" outlineLevel="0" collapsed="false">
      <c r="A875" s="11" t="n">
        <v>839</v>
      </c>
      <c r="B875" s="9" t="n">
        <f aca="false">IF(A875&gt;$B$6,"",SMALL(BTC_Data!$C$3:$C$1002,A875))</f>
        <v>0.00102026815883893</v>
      </c>
      <c r="C875" s="21" t="n">
        <f aca="false">IF(B875="","",A875/$B$6)</f>
        <v>0.839</v>
      </c>
      <c r="D875" s="21" t="n">
        <f aca="false">IF(B875="","",NORMDIST(B875,$B$15,$B$16,TRUE()))</f>
        <v>0.791179635994091</v>
      </c>
      <c r="E875" s="21" t="n">
        <f aca="false">IF(B875="","",IF(B875&gt;=$B$15,1-TDIST((B875-$B$15)/$B$18,$B$17,1),TDIST(($B$15-B875)/$B$18,$B$17,1)))</f>
        <v>0.815253778546422</v>
      </c>
      <c r="F875" s="21" t="n">
        <f aca="false">IF(B875="","",IF(B875&lt;$B$19,0.5*EXP((B875-$B$19)/$B$20),1-0.5*EXP(-(B875-$B$19)/$B$20)))</f>
        <v>0.838490391883099</v>
      </c>
      <c r="G875" s="21" t="n">
        <f aca="false">IF(B875="","",1/(1+EXP(-(B875-$B$15)/$B$21)))</f>
        <v>0.813076035640773</v>
      </c>
      <c r="H875" s="21" t="n">
        <f aca="false">IF(B875="","",MAX(ABS($A875/$B$6-D875),ABS(($A875-1)/$B$6-D875)))</f>
        <v>0.0478203640059094</v>
      </c>
      <c r="I875" s="21" t="n">
        <f aca="false">IF(B875="","",MAX(ABS($A875/$B$6-E875),ABS(($A875-1)/$B$6-E875)))</f>
        <v>0.0237462214535779</v>
      </c>
      <c r="J875" s="21" t="n">
        <f aca="false">IF(B875="","",MAX(ABS($A875/$B$6-F875),ABS(($A875-1)/$B$6-F875)))</f>
        <v>0.000509608116901372</v>
      </c>
      <c r="K875" s="21" t="n">
        <f aca="false">IF(B875="","",MAX(ABS($A875/$B$6-G875),ABS(($A875-1)/$B$6-G875)))</f>
        <v>0.0259239643592273</v>
      </c>
    </row>
    <row r="876" customFormat="false" ht="15" hidden="false" customHeight="false" outlineLevel="0" collapsed="false">
      <c r="A876" s="11" t="n">
        <v>840</v>
      </c>
      <c r="B876" s="9" t="n">
        <f aca="false">IF(A876&gt;$B$6,"",SMALL(BTC_Data!$C$3:$C$1002,A876))</f>
        <v>0.00103228599243499</v>
      </c>
      <c r="C876" s="21" t="n">
        <f aca="false">IF(B876="","",A876/$B$6)</f>
        <v>0.84</v>
      </c>
      <c r="D876" s="21" t="n">
        <f aca="false">IF(B876="","",NORMDIST(B876,$B$15,$B$16,TRUE()))</f>
        <v>0.793880503172092</v>
      </c>
      <c r="E876" s="21" t="n">
        <f aca="false">IF(B876="","",IF(B876&gt;=$B$15,1-TDIST((B876-$B$15)/$B$18,$B$17,1),TDIST(($B$15-B876)/$B$18,$B$17,1)))</f>
        <v>0.817863695897282</v>
      </c>
      <c r="F876" s="21" t="n">
        <f aca="false">IF(B876="","",IF(B876&lt;$B$19,0.5*EXP((B876-$B$19)/$B$20),1-0.5*EXP(-(B876-$B$19)/$B$20)))</f>
        <v>0.840606690371227</v>
      </c>
      <c r="G876" s="21" t="n">
        <f aca="false">IF(B876="","",1/(1+EXP(-(B876-$B$15)/$B$21)))</f>
        <v>0.815664050492599</v>
      </c>
      <c r="H876" s="21" t="n">
        <f aca="false">IF(B876="","",MAX(ABS($A876/$B$6-D876),ABS(($A876-1)/$B$6-D876)))</f>
        <v>0.0461194968279085</v>
      </c>
      <c r="I876" s="21" t="n">
        <f aca="false">IF(B876="","",MAX(ABS($A876/$B$6-E876),ABS(($A876-1)/$B$6-E876)))</f>
        <v>0.0221363041027179</v>
      </c>
      <c r="J876" s="21" t="n">
        <f aca="false">IF(B876="","",MAX(ABS($A876/$B$6-F876),ABS(($A876-1)/$B$6-F876)))</f>
        <v>0.00160669037122707</v>
      </c>
      <c r="K876" s="21" t="n">
        <f aca="false">IF(B876="","",MAX(ABS($A876/$B$6-G876),ABS(($A876-1)/$B$6-G876)))</f>
        <v>0.0243359495074011</v>
      </c>
    </row>
    <row r="877" customFormat="false" ht="15" hidden="false" customHeight="false" outlineLevel="0" collapsed="false">
      <c r="A877" s="11" t="n">
        <v>841</v>
      </c>
      <c r="B877" s="9" t="n">
        <f aca="false">IF(A877&gt;$B$6,"",SMALL(BTC_Data!$C$3:$C$1002,A877))</f>
        <v>0.00103677537521918</v>
      </c>
      <c r="C877" s="21" t="n">
        <f aca="false">IF(B877="","",A877/$B$6)</f>
        <v>0.841</v>
      </c>
      <c r="D877" s="21" t="n">
        <f aca="false">IF(B877="","",NORMDIST(B877,$B$15,$B$16,TRUE()))</f>
        <v>0.794884101485874</v>
      </c>
      <c r="E877" s="21" t="n">
        <f aca="false">IF(B877="","",IF(B877&gt;=$B$15,1-TDIST((B877-$B$15)/$B$18,$B$17,1),TDIST(($B$15-B877)/$B$18,$B$17,1)))</f>
        <v>0.81883138470529</v>
      </c>
      <c r="F877" s="21" t="n">
        <f aca="false">IF(B877="","",IF(B877&lt;$B$19,0.5*EXP((B877-$B$19)/$B$20),1-0.5*EXP(-(B877-$B$19)/$B$20)))</f>
        <v>0.841390121093589</v>
      </c>
      <c r="G877" s="21" t="n">
        <f aca="false">IF(B877="","",1/(1+EXP(-(B877-$B$15)/$B$21)))</f>
        <v>0.816623687931486</v>
      </c>
      <c r="H877" s="21" t="n">
        <f aca="false">IF(B877="","",MAX(ABS($A877/$B$6-D877),ABS(($A877-1)/$B$6-D877)))</f>
        <v>0.0461158985141263</v>
      </c>
      <c r="I877" s="21" t="n">
        <f aca="false">IF(B877="","",MAX(ABS($A877/$B$6-E877),ABS(($A877-1)/$B$6-E877)))</f>
        <v>0.0221686152947096</v>
      </c>
      <c r="J877" s="21" t="n">
        <f aca="false">IF(B877="","",MAX(ABS($A877/$B$6-F877),ABS(($A877-1)/$B$6-F877)))</f>
        <v>0.00139012109358905</v>
      </c>
      <c r="K877" s="21" t="n">
        <f aca="false">IF(B877="","",MAX(ABS($A877/$B$6-G877),ABS(($A877-1)/$B$6-G877)))</f>
        <v>0.0243763120685139</v>
      </c>
    </row>
    <row r="878" customFormat="false" ht="15" hidden="false" customHeight="false" outlineLevel="0" collapsed="false">
      <c r="A878" s="11" t="n">
        <v>842</v>
      </c>
      <c r="B878" s="9" t="n">
        <f aca="false">IF(A878&gt;$B$6,"",SMALL(BTC_Data!$C$3:$C$1002,A878))</f>
        <v>0.00104583053001117</v>
      </c>
      <c r="C878" s="21" t="n">
        <f aca="false">IF(B878="","",A878/$B$6)</f>
        <v>0.842</v>
      </c>
      <c r="D878" s="21" t="n">
        <f aca="false">IF(B878="","",NORMDIST(B878,$B$15,$B$16,TRUE()))</f>
        <v>0.796899517257738</v>
      </c>
      <c r="E878" s="21" t="n">
        <f aca="false">IF(B878="","",IF(B878&gt;=$B$15,1-TDIST((B878-$B$15)/$B$18,$B$17,1),TDIST(($B$15-B878)/$B$18,$B$17,1)))</f>
        <v>0.820771211133442</v>
      </c>
      <c r="F878" s="21" t="n">
        <f aca="false">IF(B878="","",IF(B878&lt;$B$19,0.5*EXP((B878-$B$19)/$B$20),1-0.5*EXP(-(B878-$B$19)/$B$20)))</f>
        <v>0.842958616317899</v>
      </c>
      <c r="G878" s="21" t="n">
        <f aca="false">IF(B878="","",1/(1+EXP(-(B878-$B$15)/$B$21)))</f>
        <v>0.818547494667722</v>
      </c>
      <c r="H878" s="21" t="n">
        <f aca="false">IF(B878="","",MAX(ABS($A878/$B$6-D878),ABS(($A878-1)/$B$6-D878)))</f>
        <v>0.0451004827422615</v>
      </c>
      <c r="I878" s="21" t="n">
        <f aca="false">IF(B878="","",MAX(ABS($A878/$B$6-E878),ABS(($A878-1)/$B$6-E878)))</f>
        <v>0.0212287888665578</v>
      </c>
      <c r="J878" s="21" t="n">
        <f aca="false">IF(B878="","",MAX(ABS($A878/$B$6-F878),ABS(($A878-1)/$B$6-F878)))</f>
        <v>0.00195861631789873</v>
      </c>
      <c r="K878" s="21" t="n">
        <f aca="false">IF(B878="","",MAX(ABS($A878/$B$6-G878),ABS(($A878-1)/$B$6-G878)))</f>
        <v>0.0234525053322776</v>
      </c>
    </row>
    <row r="879" customFormat="false" ht="15" hidden="false" customHeight="false" outlineLevel="0" collapsed="false">
      <c r="A879" s="11" t="n">
        <v>843</v>
      </c>
      <c r="B879" s="9" t="n">
        <f aca="false">IF(A879&gt;$B$6,"",SMALL(BTC_Data!$C$3:$C$1002,A879))</f>
        <v>0.00104589872786787</v>
      </c>
      <c r="C879" s="21" t="n">
        <f aca="false">IF(B879="","",A879/$B$6)</f>
        <v>0.843</v>
      </c>
      <c r="D879" s="21" t="n">
        <f aca="false">IF(B879="","",NORMDIST(B879,$B$15,$B$16,TRUE()))</f>
        <v>0.796914651133531</v>
      </c>
      <c r="E879" s="21" t="n">
        <f aca="false">IF(B879="","",IF(B879&gt;=$B$15,1-TDIST((B879-$B$15)/$B$18,$B$17,1),TDIST(($B$15-B879)/$B$18,$B$17,1)))</f>
        <v>0.820785759804023</v>
      </c>
      <c r="F879" s="21" t="n">
        <f aca="false">IF(B879="","",IF(B879&lt;$B$19,0.5*EXP((B879-$B$19)/$B$20),1-0.5*EXP(-(B879-$B$19)/$B$20)))</f>
        <v>0.842970370216706</v>
      </c>
      <c r="G879" s="21" t="n">
        <f aca="false">IF(B879="","",1/(1+EXP(-(B879-$B$15)/$B$21)))</f>
        <v>0.818561923814772</v>
      </c>
      <c r="H879" s="21" t="n">
        <f aca="false">IF(B879="","",MAX(ABS($A879/$B$6-D879),ABS(($A879-1)/$B$6-D879)))</f>
        <v>0.0460853488664688</v>
      </c>
      <c r="I879" s="21" t="n">
        <f aca="false">IF(B879="","",MAX(ABS($A879/$B$6-E879),ABS(($A879-1)/$B$6-E879)))</f>
        <v>0.0222142401959772</v>
      </c>
      <c r="J879" s="21" t="n">
        <f aca="false">IF(B879="","",MAX(ABS($A879/$B$6-F879),ABS(($A879-1)/$B$6-F879)))</f>
        <v>0.000970370216706207</v>
      </c>
      <c r="K879" s="21" t="n">
        <f aca="false">IF(B879="","",MAX(ABS($A879/$B$6-G879),ABS(($A879-1)/$B$6-G879)))</f>
        <v>0.0244380761852278</v>
      </c>
    </row>
    <row r="880" customFormat="false" ht="15" hidden="false" customHeight="false" outlineLevel="0" collapsed="false">
      <c r="A880" s="11" t="n">
        <v>844</v>
      </c>
      <c r="B880" s="9" t="n">
        <f aca="false">IF(A880&gt;$B$6,"",SMALL(BTC_Data!$C$3:$C$1002,A880))</f>
        <v>0.0010510409968052</v>
      </c>
      <c r="C880" s="21" t="n">
        <f aca="false">IF(B880="","",A880/$B$6)</f>
        <v>0.844</v>
      </c>
      <c r="D880" s="21" t="n">
        <f aca="false">IF(B880="","",NORMDIST(B880,$B$15,$B$16,TRUE()))</f>
        <v>0.79805383837615</v>
      </c>
      <c r="E880" s="21" t="n">
        <f aca="false">IF(B880="","",IF(B880&gt;=$B$15,1-TDIST((B880-$B$15)/$B$18,$B$17,1),TDIST(($B$15-B880)/$B$18,$B$17,1)))</f>
        <v>0.82188014122879</v>
      </c>
      <c r="F880" s="21" t="n">
        <f aca="false">IF(B880="","",IF(B880&lt;$B$19,0.5*EXP((B880-$B$19)/$B$20),1-0.5*EXP(-(B880-$B$19)/$B$20)))</f>
        <v>0.84385411081173</v>
      </c>
      <c r="G880" s="21" t="n">
        <f aca="false">IF(B880="","",1/(1+EXP(-(B880-$B$15)/$B$21)))</f>
        <v>0.819647341904715</v>
      </c>
      <c r="H880" s="21" t="n">
        <f aca="false">IF(B880="","",MAX(ABS($A880/$B$6-D880),ABS(($A880-1)/$B$6-D880)))</f>
        <v>0.0459461616238496</v>
      </c>
      <c r="I880" s="21" t="n">
        <f aca="false">IF(B880="","",MAX(ABS($A880/$B$6-E880),ABS(($A880-1)/$B$6-E880)))</f>
        <v>0.0221198587712101</v>
      </c>
      <c r="J880" s="21" t="n">
        <f aca="false">IF(B880="","",MAX(ABS($A880/$B$6-F880),ABS(($A880-1)/$B$6-F880)))</f>
        <v>0.000854110811730147</v>
      </c>
      <c r="K880" s="21" t="n">
        <f aca="false">IF(B880="","",MAX(ABS($A880/$B$6-G880),ABS(($A880-1)/$B$6-G880)))</f>
        <v>0.0243526580952854</v>
      </c>
    </row>
    <row r="881" customFormat="false" ht="15" hidden="false" customHeight="false" outlineLevel="0" collapsed="false">
      <c r="A881" s="11" t="n">
        <v>845</v>
      </c>
      <c r="B881" s="9" t="n">
        <f aca="false">IF(A881&gt;$B$6,"",SMALL(BTC_Data!$C$3:$C$1002,A881))</f>
        <v>0.00105870421605991</v>
      </c>
      <c r="C881" s="21" t="n">
        <f aca="false">IF(B881="","",A881/$B$6)</f>
        <v>0.845</v>
      </c>
      <c r="D881" s="21" t="n">
        <f aca="false">IF(B881="","",NORMDIST(B881,$B$15,$B$16,TRUE()))</f>
        <v>0.799744386319934</v>
      </c>
      <c r="E881" s="21" t="n">
        <f aca="false">IF(B881="","",IF(B881&gt;=$B$15,1-TDIST((B881-$B$15)/$B$18,$B$17,1),TDIST(($B$15-B881)/$B$18,$B$17,1)))</f>
        <v>0.823501444357611</v>
      </c>
      <c r="F881" s="21" t="n">
        <f aca="false">IF(B881="","",IF(B881&lt;$B$19,0.5*EXP((B881-$B$19)/$B$20),1-0.5*EXP(-(B881-$B$19)/$B$20)))</f>
        <v>0.845161877044394</v>
      </c>
      <c r="G881" s="21" t="n">
        <f aca="false">IF(B881="","",1/(1+EXP(-(B881-$B$15)/$B$21)))</f>
        <v>0.821255468518918</v>
      </c>
      <c r="H881" s="21" t="n">
        <f aca="false">IF(B881="","",MAX(ABS($A881/$B$6-D881),ABS(($A881-1)/$B$6-D881)))</f>
        <v>0.0452556136800656</v>
      </c>
      <c r="I881" s="21" t="n">
        <f aca="false">IF(B881="","",MAX(ABS($A881/$B$6-E881),ABS(($A881-1)/$B$6-E881)))</f>
        <v>0.0214985556423889</v>
      </c>
      <c r="J881" s="21" t="n">
        <f aca="false">IF(B881="","",MAX(ABS($A881/$B$6-F881),ABS(($A881-1)/$B$6-F881)))</f>
        <v>0.00116187704439419</v>
      </c>
      <c r="K881" s="21" t="n">
        <f aca="false">IF(B881="","",MAX(ABS($A881/$B$6-G881),ABS(($A881-1)/$B$6-G881)))</f>
        <v>0.0237445314810824</v>
      </c>
    </row>
    <row r="882" customFormat="false" ht="15" hidden="false" customHeight="false" outlineLevel="0" collapsed="false">
      <c r="A882" s="11" t="n">
        <v>846</v>
      </c>
      <c r="B882" s="9" t="n">
        <f aca="false">IF(A882&gt;$B$6,"",SMALL(BTC_Data!$C$3:$C$1002,A882))</f>
        <v>0.00106269620872501</v>
      </c>
      <c r="C882" s="21" t="n">
        <f aca="false">IF(B882="","",A882/$B$6)</f>
        <v>0.846</v>
      </c>
      <c r="D882" s="21" t="n">
        <f aca="false">IF(B882="","",NORMDIST(B882,$B$15,$B$16,TRUE()))</f>
        <v>0.800621662693395</v>
      </c>
      <c r="E882" s="21" t="n">
        <f aca="false">IF(B882="","",IF(B882&gt;=$B$15,1-TDIST((B882-$B$15)/$B$18,$B$17,1),TDIST(($B$15-B882)/$B$18,$B$17,1)))</f>
        <v>0.824341487183494</v>
      </c>
      <c r="F882" s="21" t="n">
        <f aca="false">IF(B882="","",IF(B882&lt;$B$19,0.5*EXP((B882-$B$19)/$B$20),1-0.5*EXP(-(B882-$B$19)/$B$20)))</f>
        <v>0.845838785522948</v>
      </c>
      <c r="G882" s="21" t="n">
        <f aca="false">IF(B882="","",1/(1+EXP(-(B882-$B$15)/$B$21)))</f>
        <v>0.822088734081401</v>
      </c>
      <c r="H882" s="21" t="n">
        <f aca="false">IF(B882="","",MAX(ABS($A882/$B$6-D882),ABS(($A882-1)/$B$6-D882)))</f>
        <v>0.0453783373066046</v>
      </c>
      <c r="I882" s="21" t="n">
        <f aca="false">IF(B882="","",MAX(ABS($A882/$B$6-E882),ABS(($A882-1)/$B$6-E882)))</f>
        <v>0.0216585128165062</v>
      </c>
      <c r="J882" s="21" t="n">
        <f aca="false">IF(B882="","",MAX(ABS($A882/$B$6-F882),ABS(($A882-1)/$B$6-F882)))</f>
        <v>0.000838785522948027</v>
      </c>
      <c r="K882" s="21" t="n">
        <f aca="false">IF(B882="","",MAX(ABS($A882/$B$6-G882),ABS(($A882-1)/$B$6-G882)))</f>
        <v>0.0239112659185993</v>
      </c>
    </row>
    <row r="883" customFormat="false" ht="15" hidden="false" customHeight="false" outlineLevel="0" collapsed="false">
      <c r="A883" s="11" t="n">
        <v>847</v>
      </c>
      <c r="B883" s="9" t="n">
        <f aca="false">IF(A883&gt;$B$6,"",SMALL(BTC_Data!$C$3:$C$1002,A883))</f>
        <v>0.00107498142231455</v>
      </c>
      <c r="C883" s="21" t="n">
        <f aca="false">IF(B883="","",A883/$B$6)</f>
        <v>0.847</v>
      </c>
      <c r="D883" s="21" t="n">
        <f aca="false">IF(B883="","",NORMDIST(B883,$B$15,$B$16,TRUE()))</f>
        <v>0.803306895526811</v>
      </c>
      <c r="E883" s="21" t="n">
        <f aca="false">IF(B883="","",IF(B883&gt;=$B$15,1-TDIST((B883-$B$15)/$B$18,$B$17,1),TDIST(($B$15-B883)/$B$18,$B$17,1)))</f>
        <v>0.826907208070767</v>
      </c>
      <c r="F883" s="21" t="n">
        <f aca="false">IF(B883="","",IF(B883&lt;$B$19,0.5*EXP((B883-$B$19)/$B$20),1-0.5*EXP(-(B883-$B$19)/$B$20)))</f>
        <v>0.847903436400461</v>
      </c>
      <c r="G883" s="21" t="n">
        <f aca="false">IF(B883="","",1/(1+EXP(-(B883-$B$15)/$B$21)))</f>
        <v>0.824633976705394</v>
      </c>
      <c r="H883" s="21" t="n">
        <f aca="false">IF(B883="","",MAX(ABS($A883/$B$6-D883),ABS(($A883-1)/$B$6-D883)))</f>
        <v>0.043693104473189</v>
      </c>
      <c r="I883" s="21" t="n">
        <f aca="false">IF(B883="","",MAX(ABS($A883/$B$6-E883),ABS(($A883-1)/$B$6-E883)))</f>
        <v>0.0200927919292333</v>
      </c>
      <c r="J883" s="21" t="n">
        <f aca="false">IF(B883="","",MAX(ABS($A883/$B$6-F883),ABS(($A883-1)/$B$6-F883)))</f>
        <v>0.0019034364004612</v>
      </c>
      <c r="K883" s="21" t="n">
        <f aca="false">IF(B883="","",MAX(ABS($A883/$B$6-G883),ABS(($A883-1)/$B$6-G883)))</f>
        <v>0.0223660232946056</v>
      </c>
    </row>
    <row r="884" customFormat="false" ht="15" hidden="false" customHeight="false" outlineLevel="0" collapsed="false">
      <c r="A884" s="11" t="n">
        <v>848</v>
      </c>
      <c r="B884" s="9" t="n">
        <f aca="false">IF(A884&gt;$B$6,"",SMALL(BTC_Data!$C$3:$C$1002,A884))</f>
        <v>0.00108004076364798</v>
      </c>
      <c r="C884" s="21" t="n">
        <f aca="false">IF(B884="","",A884/$B$6)</f>
        <v>0.848</v>
      </c>
      <c r="D884" s="21" t="n">
        <f aca="false">IF(B884="","",NORMDIST(B884,$B$15,$B$16,TRUE()))</f>
        <v>0.804406339594084</v>
      </c>
      <c r="E884" s="21" t="n">
        <f aca="false">IF(B884="","",IF(B884&gt;=$B$15,1-TDIST((B884-$B$15)/$B$18,$B$17,1),TDIST(($B$15-B884)/$B$18,$B$17,1)))</f>
        <v>0.82795529851272</v>
      </c>
      <c r="F884" s="21" t="n">
        <f aca="false">IF(B884="","",IF(B884&lt;$B$19,0.5*EXP((B884-$B$19)/$B$20),1-0.5*EXP(-(B884-$B$19)/$B$20)))</f>
        <v>0.848745648622554</v>
      </c>
      <c r="G884" s="21" t="n">
        <f aca="false">IF(B884="","",1/(1+EXP(-(B884-$B$15)/$B$21)))</f>
        <v>0.825673801963855</v>
      </c>
      <c r="H884" s="21" t="n">
        <f aca="false">IF(B884="","",MAX(ABS($A884/$B$6-D884),ABS(($A884-1)/$B$6-D884)))</f>
        <v>0.0435936604059158</v>
      </c>
      <c r="I884" s="21" t="n">
        <f aca="false">IF(B884="","",MAX(ABS($A884/$B$6-E884),ABS(($A884-1)/$B$6-E884)))</f>
        <v>0.0200447014872801</v>
      </c>
      <c r="J884" s="21" t="n">
        <f aca="false">IF(B884="","",MAX(ABS($A884/$B$6-F884),ABS(($A884-1)/$B$6-F884)))</f>
        <v>0.00174564862255355</v>
      </c>
      <c r="K884" s="21" t="n">
        <f aca="false">IF(B884="","",MAX(ABS($A884/$B$6-G884),ABS(($A884-1)/$B$6-G884)))</f>
        <v>0.0223261980361454</v>
      </c>
    </row>
    <row r="885" customFormat="false" ht="15" hidden="false" customHeight="false" outlineLevel="0" collapsed="false">
      <c r="A885" s="11" t="n">
        <v>849</v>
      </c>
      <c r="B885" s="9" t="n">
        <f aca="false">IF(A885&gt;$B$6,"",SMALL(BTC_Data!$C$3:$C$1002,A885))</f>
        <v>0.00108019670944159</v>
      </c>
      <c r="C885" s="21" t="n">
        <f aca="false">IF(B885="","",A885/$B$6)</f>
        <v>0.849</v>
      </c>
      <c r="D885" s="21" t="n">
        <f aca="false">IF(B885="","",NORMDIST(B885,$B$15,$B$16,TRUE()))</f>
        <v>0.804440168744192</v>
      </c>
      <c r="E885" s="21" t="n">
        <f aca="false">IF(B885="","",IF(B885&gt;=$B$15,1-TDIST((B885-$B$15)/$B$18,$B$17,1),TDIST(($B$15-B885)/$B$18,$B$17,1)))</f>
        <v>0.827987525179433</v>
      </c>
      <c r="F885" s="21" t="n">
        <f aca="false">IF(B885="","",IF(B885&lt;$B$19,0.5*EXP((B885-$B$19)/$B$20),1-0.5*EXP(-(B885-$B$19)/$B$20)))</f>
        <v>0.848771534192919</v>
      </c>
      <c r="G885" s="21" t="n">
        <f aca="false">IF(B885="","",1/(1+EXP(-(B885-$B$15)/$B$21)))</f>
        <v>0.82570577544537</v>
      </c>
      <c r="H885" s="21" t="n">
        <f aca="false">IF(B885="","",MAX(ABS($A885/$B$6-D885),ABS(($A885-1)/$B$6-D885)))</f>
        <v>0.0445598312558077</v>
      </c>
      <c r="I885" s="21" t="n">
        <f aca="false">IF(B885="","",MAX(ABS($A885/$B$6-E885),ABS(($A885-1)/$B$6-E885)))</f>
        <v>0.0210124748205675</v>
      </c>
      <c r="J885" s="21" t="n">
        <f aca="false">IF(B885="","",MAX(ABS($A885/$B$6-F885),ABS(($A885-1)/$B$6-F885)))</f>
        <v>0.000771534192918644</v>
      </c>
      <c r="K885" s="21" t="n">
        <f aca="false">IF(B885="","",MAX(ABS($A885/$B$6-G885),ABS(($A885-1)/$B$6-G885)))</f>
        <v>0.0232942245546296</v>
      </c>
    </row>
    <row r="886" customFormat="false" ht="15" hidden="false" customHeight="false" outlineLevel="0" collapsed="false">
      <c r="A886" s="11" t="n">
        <v>850</v>
      </c>
      <c r="B886" s="9" t="n">
        <f aca="false">IF(A886&gt;$B$6,"",SMALL(BTC_Data!$C$3:$C$1002,A886))</f>
        <v>0.00108522820859225</v>
      </c>
      <c r="C886" s="21" t="n">
        <f aca="false">IF(B886="","",A886/$B$6)</f>
        <v>0.85</v>
      </c>
      <c r="D886" s="21" t="n">
        <f aca="false">IF(B886="","",NORMDIST(B886,$B$15,$B$16,TRUE()))</f>
        <v>0.805529738898125</v>
      </c>
      <c r="E886" s="21" t="n">
        <f aca="false">IF(B886="","",IF(B886&gt;=$B$15,1-TDIST((B886-$B$15)/$B$18,$B$17,1),TDIST(($B$15-B886)/$B$18,$B$17,1)))</f>
        <v>0.829024767177538</v>
      </c>
      <c r="F886" s="21" t="n">
        <f aca="false">IF(B886="","",IF(B886&lt;$B$19,0.5*EXP((B886-$B$19)/$B$20),1-0.5*EXP(-(B886-$B$19)/$B$20)))</f>
        <v>0.849604343819324</v>
      </c>
      <c r="G886" s="21" t="n">
        <f aca="false">IF(B886="","",1/(1+EXP(-(B886-$B$15)/$B$21)))</f>
        <v>0.826734899423249</v>
      </c>
      <c r="H886" s="21" t="n">
        <f aca="false">IF(B886="","",MAX(ABS($A886/$B$6-D886),ABS(($A886-1)/$B$6-D886)))</f>
        <v>0.0444702611018754</v>
      </c>
      <c r="I886" s="21" t="n">
        <f aca="false">IF(B886="","",MAX(ABS($A886/$B$6-E886),ABS(($A886-1)/$B$6-E886)))</f>
        <v>0.0209752328224618</v>
      </c>
      <c r="J886" s="21" t="n">
        <f aca="false">IF(B886="","",MAX(ABS($A886/$B$6-F886),ABS(($A886-1)/$B$6-F886)))</f>
        <v>0.000604343819324393</v>
      </c>
      <c r="K886" s="21" t="n">
        <f aca="false">IF(B886="","",MAX(ABS($A886/$B$6-G886),ABS(($A886-1)/$B$6-G886)))</f>
        <v>0.0232651005767509</v>
      </c>
    </row>
    <row r="887" customFormat="false" ht="15" hidden="false" customHeight="false" outlineLevel="0" collapsed="false">
      <c r="A887" s="11" t="n">
        <v>851</v>
      </c>
      <c r="B887" s="9" t="n">
        <f aca="false">IF(A887&gt;$B$6,"",SMALL(BTC_Data!$C$3:$C$1002,A887))</f>
        <v>0.00108678752056024</v>
      </c>
      <c r="C887" s="21" t="n">
        <f aca="false">IF(B887="","",A887/$B$6)</f>
        <v>0.851</v>
      </c>
      <c r="D887" s="21" t="n">
        <f aca="false">IF(B887="","",NORMDIST(B887,$B$15,$B$16,TRUE()))</f>
        <v>0.805866656140253</v>
      </c>
      <c r="E887" s="21" t="n">
        <f aca="false">IF(B887="","",IF(B887&gt;=$B$15,1-TDIST((B887-$B$15)/$B$18,$B$17,1),TDIST(($B$15-B887)/$B$18,$B$17,1)))</f>
        <v>0.82934522230914</v>
      </c>
      <c r="F887" s="21" t="n">
        <f aca="false">IF(B887="","",IF(B887&lt;$B$19,0.5*EXP((B887-$B$19)/$B$20),1-0.5*EXP(-(B887-$B$19)/$B$20)))</f>
        <v>0.849861507775387</v>
      </c>
      <c r="G887" s="21" t="n">
        <f aca="false">IF(B887="","",1/(1+EXP(-(B887-$B$15)/$B$21)))</f>
        <v>0.827052858797171</v>
      </c>
      <c r="H887" s="21" t="n">
        <f aca="false">IF(B887="","",MAX(ABS($A887/$B$6-D887),ABS(($A887-1)/$B$6-D887)))</f>
        <v>0.0451333438597468</v>
      </c>
      <c r="I887" s="21" t="n">
        <f aca="false">IF(B887="","",MAX(ABS($A887/$B$6-E887),ABS(($A887-1)/$B$6-E887)))</f>
        <v>0.0216547776908596</v>
      </c>
      <c r="J887" s="21" t="n">
        <f aca="false">IF(B887="","",MAX(ABS($A887/$B$6-F887),ABS(($A887-1)/$B$6-F887)))</f>
        <v>0.00113849222461271</v>
      </c>
      <c r="K887" s="21" t="n">
        <f aca="false">IF(B887="","",MAX(ABS($A887/$B$6-G887),ABS(($A887-1)/$B$6-G887)))</f>
        <v>0.0239471412028287</v>
      </c>
    </row>
    <row r="888" customFormat="false" ht="15" hidden="false" customHeight="false" outlineLevel="0" collapsed="false">
      <c r="A888" s="11" t="n">
        <v>852</v>
      </c>
      <c r="B888" s="9" t="n">
        <f aca="false">IF(A888&gt;$B$6,"",SMALL(BTC_Data!$C$3:$C$1002,A888))</f>
        <v>0.0010903862246372</v>
      </c>
      <c r="C888" s="21" t="n">
        <f aca="false">IF(B888="","",A888/$B$6)</f>
        <v>0.852</v>
      </c>
      <c r="D888" s="21" t="n">
        <f aca="false">IF(B888="","",NORMDIST(B888,$B$15,$B$16,TRUE()))</f>
        <v>0.806642862188631</v>
      </c>
      <c r="E888" s="21" t="n">
        <f aca="false">IF(B888="","",IF(B888&gt;=$B$15,1-TDIST((B888-$B$15)/$B$18,$B$17,1),TDIST(($B$15-B888)/$B$18,$B$17,1)))</f>
        <v>0.830082995831234</v>
      </c>
      <c r="F888" s="21" t="n">
        <f aca="false">IF(B888="","",IF(B888&lt;$B$19,0.5*EXP((B888-$B$19)/$B$20),1-0.5*EXP(-(B888-$B$19)/$B$20)))</f>
        <v>0.850453333954925</v>
      </c>
      <c r="G888" s="21" t="n">
        <f aca="false">IF(B888="","",1/(1+EXP(-(B888-$B$15)/$B$21)))</f>
        <v>0.827784908915654</v>
      </c>
      <c r="H888" s="21" t="n">
        <f aca="false">IF(B888="","",MAX(ABS($A888/$B$6-D888),ABS(($A888-1)/$B$6-D888)))</f>
        <v>0.0453571378113689</v>
      </c>
      <c r="I888" s="21" t="n">
        <f aca="false">IF(B888="","",MAX(ABS($A888/$B$6-E888),ABS(($A888-1)/$B$6-E888)))</f>
        <v>0.0219170041687656</v>
      </c>
      <c r="J888" s="21" t="n">
        <f aca="false">IF(B888="","",MAX(ABS($A888/$B$6-F888),ABS(($A888-1)/$B$6-F888)))</f>
        <v>0.00154666604507481</v>
      </c>
      <c r="K888" s="21" t="n">
        <f aca="false">IF(B888="","",MAX(ABS($A888/$B$6-G888),ABS(($A888-1)/$B$6-G888)))</f>
        <v>0.0242150910843464</v>
      </c>
    </row>
    <row r="889" customFormat="false" ht="15" hidden="false" customHeight="false" outlineLevel="0" collapsed="false">
      <c r="A889" s="11" t="n">
        <v>853</v>
      </c>
      <c r="B889" s="9" t="n">
        <f aca="false">IF(A889&gt;$B$6,"",SMALL(BTC_Data!$C$3:$C$1002,A889))</f>
        <v>0.00109038867172351</v>
      </c>
      <c r="C889" s="21" t="n">
        <f aca="false">IF(B889="","",A889/$B$6)</f>
        <v>0.853</v>
      </c>
      <c r="D889" s="21" t="n">
        <f aca="false">IF(B889="","",NORMDIST(B889,$B$15,$B$16,TRUE()))</f>
        <v>0.806643389356621</v>
      </c>
      <c r="E889" s="21" t="n">
        <f aca="false">IF(B889="","",IF(B889&gt;=$B$15,1-TDIST((B889-$B$15)/$B$18,$B$17,1),TDIST(($B$15-B889)/$B$18,$B$17,1)))</f>
        <v>0.830083496657238</v>
      </c>
      <c r="F889" s="21" t="n">
        <f aca="false">IF(B889="","",IF(B889&lt;$B$19,0.5*EXP((B889-$B$19)/$B$20),1-0.5*EXP(-(B889-$B$19)/$B$20)))</f>
        <v>0.85045373559663</v>
      </c>
      <c r="G889" s="21" t="n">
        <f aca="false">IF(B889="","",1/(1+EXP(-(B889-$B$15)/$B$21)))</f>
        <v>0.827785405867173</v>
      </c>
      <c r="H889" s="21" t="n">
        <f aca="false">IF(B889="","",MAX(ABS($A889/$B$6-D889),ABS(($A889-1)/$B$6-D889)))</f>
        <v>0.0463566106433795</v>
      </c>
      <c r="I889" s="21" t="n">
        <f aca="false">IF(B889="","",MAX(ABS($A889/$B$6-E889),ABS(($A889-1)/$B$6-E889)))</f>
        <v>0.0229165033427619</v>
      </c>
      <c r="J889" s="21" t="n">
        <f aca="false">IF(B889="","",MAX(ABS($A889/$B$6-F889),ABS(($A889-1)/$B$6-F889)))</f>
        <v>0.00254626440337047</v>
      </c>
      <c r="K889" s="21" t="n">
        <f aca="false">IF(B889="","",MAX(ABS($A889/$B$6-G889),ABS(($A889-1)/$B$6-G889)))</f>
        <v>0.0252145941328267</v>
      </c>
    </row>
    <row r="890" customFormat="false" ht="15" hidden="false" customHeight="false" outlineLevel="0" collapsed="false">
      <c r="A890" s="11" t="n">
        <v>854</v>
      </c>
      <c r="B890" s="9" t="n">
        <f aca="false">IF(A890&gt;$B$6,"",SMALL(BTC_Data!$C$3:$C$1002,A890))</f>
        <v>0.00109161302281735</v>
      </c>
      <c r="C890" s="21" t="n">
        <f aca="false">IF(B890="","",A890/$B$6)</f>
        <v>0.854</v>
      </c>
      <c r="D890" s="21" t="n">
        <f aca="false">IF(B890="","",NORMDIST(B890,$B$15,$B$16,TRUE()))</f>
        <v>0.806907037403582</v>
      </c>
      <c r="E890" s="21" t="n">
        <f aca="false">IF(B890="","",IF(B890&gt;=$B$15,1-TDIST((B890-$B$15)/$B$18,$B$17,1),TDIST(($B$15-B890)/$B$18,$B$17,1)))</f>
        <v>0.830333929629233</v>
      </c>
      <c r="F890" s="21" t="n">
        <f aca="false">IF(B890="","",IF(B890&lt;$B$19,0.5*EXP((B890-$B$19)/$B$20),1-0.5*EXP(-(B890-$B$19)/$B$20)))</f>
        <v>0.850654553831056</v>
      </c>
      <c r="G890" s="21" t="n">
        <f aca="false">IF(B890="","",1/(1+EXP(-(B890-$B$15)/$B$21)))</f>
        <v>0.828033903287815</v>
      </c>
      <c r="H890" s="21" t="n">
        <f aca="false">IF(B890="","",MAX(ABS($A890/$B$6-D890),ABS(($A890-1)/$B$6-D890)))</f>
        <v>0.0470929625964184</v>
      </c>
      <c r="I890" s="21" t="n">
        <f aca="false">IF(B890="","",MAX(ABS($A890/$B$6-E890),ABS(($A890-1)/$B$6-E890)))</f>
        <v>0.0236660703707672</v>
      </c>
      <c r="J890" s="21" t="n">
        <f aca="false">IF(B890="","",MAX(ABS($A890/$B$6-F890),ABS(($A890-1)/$B$6-F890)))</f>
        <v>0.0033454461689445</v>
      </c>
      <c r="K890" s="21" t="n">
        <f aca="false">IF(B890="","",MAX(ABS($A890/$B$6-G890),ABS(($A890-1)/$B$6-G890)))</f>
        <v>0.0259660967121855</v>
      </c>
    </row>
    <row r="891" customFormat="false" ht="15" hidden="false" customHeight="false" outlineLevel="0" collapsed="false">
      <c r="A891" s="11" t="n">
        <v>855</v>
      </c>
      <c r="B891" s="9" t="n">
        <f aca="false">IF(A891&gt;$B$6,"",SMALL(BTC_Data!$C$3:$C$1002,A891))</f>
        <v>0.00109525193559534</v>
      </c>
      <c r="C891" s="21" t="n">
        <f aca="false">IF(B891="","",A891/$B$6)</f>
        <v>0.855</v>
      </c>
      <c r="D891" s="21" t="n">
        <f aca="false">IF(B891="","",NORMDIST(B891,$B$15,$B$16,TRUE()))</f>
        <v>0.807689333342807</v>
      </c>
      <c r="E891" s="21" t="n">
        <f aca="false">IF(B891="","",IF(B891&gt;=$B$15,1-TDIST((B891-$B$15)/$B$18,$B$17,1),TDIST(($B$15-B891)/$B$18,$B$17,1)))</f>
        <v>0.831076533178245</v>
      </c>
      <c r="F891" s="21" t="n">
        <f aca="false">IF(B891="","",IF(B891&lt;$B$19,0.5*EXP((B891-$B$19)/$B$20),1-0.5*EXP(-(B891-$B$19)/$B$20)))</f>
        <v>0.851249818409854</v>
      </c>
      <c r="G891" s="21" t="n">
        <f aca="false">IF(B891="","",1/(1+EXP(-(B891-$B$15)/$B$21)))</f>
        <v>0.828770789236327</v>
      </c>
      <c r="H891" s="21" t="n">
        <f aca="false">IF(B891="","",MAX(ABS($A891/$B$6-D891),ABS(($A891-1)/$B$6-D891)))</f>
        <v>0.047310666657193</v>
      </c>
      <c r="I891" s="21" t="n">
        <f aca="false">IF(B891="","",MAX(ABS($A891/$B$6-E891),ABS(($A891-1)/$B$6-E891)))</f>
        <v>0.0239234668217546</v>
      </c>
      <c r="J891" s="21" t="n">
        <f aca="false">IF(B891="","",MAX(ABS($A891/$B$6-F891),ABS(($A891-1)/$B$6-F891)))</f>
        <v>0.00375018159014595</v>
      </c>
      <c r="K891" s="21" t="n">
        <f aca="false">IF(B891="","",MAX(ABS($A891/$B$6-G891),ABS(($A891-1)/$B$6-G891)))</f>
        <v>0.0262292107636734</v>
      </c>
    </row>
    <row r="892" customFormat="false" ht="15" hidden="false" customHeight="false" outlineLevel="0" collapsed="false">
      <c r="A892" s="11" t="n">
        <v>856</v>
      </c>
      <c r="B892" s="9" t="n">
        <f aca="false">IF(A892&gt;$B$6,"",SMALL(BTC_Data!$C$3:$C$1002,A892))</f>
        <v>0.00109574496083242</v>
      </c>
      <c r="C892" s="21" t="n">
        <f aca="false">IF(B892="","",A892/$B$6)</f>
        <v>0.856</v>
      </c>
      <c r="D892" s="21" t="n">
        <f aca="false">IF(B892="","",NORMDIST(B892,$B$15,$B$16,TRUE()))</f>
        <v>0.807795174940956</v>
      </c>
      <c r="E892" s="21" t="n">
        <f aca="false">IF(B892="","",IF(B892&gt;=$B$15,1-TDIST((B892-$B$15)/$B$18,$B$17,1),TDIST(($B$15-B892)/$B$18,$B$17,1)))</f>
        <v>0.831176949284986</v>
      </c>
      <c r="F892" s="21" t="n">
        <f aca="false">IF(B892="","",IF(B892&lt;$B$19,0.5*EXP((B892-$B$19)/$B$20),1-0.5*EXP(-(B892-$B$19)/$B$20)))</f>
        <v>0.851330286282917</v>
      </c>
      <c r="G892" s="21" t="n">
        <f aca="false">IF(B892="","",1/(1+EXP(-(B892-$B$15)/$B$21)))</f>
        <v>0.8288704347325</v>
      </c>
      <c r="H892" s="21" t="n">
        <f aca="false">IF(B892="","",MAX(ABS($A892/$B$6-D892),ABS(($A892-1)/$B$6-D892)))</f>
        <v>0.0482048250590438</v>
      </c>
      <c r="I892" s="21" t="n">
        <f aca="false">IF(B892="","",MAX(ABS($A892/$B$6-E892),ABS(($A892-1)/$B$6-E892)))</f>
        <v>0.0248230507150139</v>
      </c>
      <c r="J892" s="21" t="n">
        <f aca="false">IF(B892="","",MAX(ABS($A892/$B$6-F892),ABS(($A892-1)/$B$6-F892)))</f>
        <v>0.00466971371708336</v>
      </c>
      <c r="K892" s="21" t="n">
        <f aca="false">IF(B892="","",MAX(ABS($A892/$B$6-G892),ABS(($A892-1)/$B$6-G892)))</f>
        <v>0.0271295652675002</v>
      </c>
    </row>
    <row r="893" customFormat="false" ht="15" hidden="false" customHeight="false" outlineLevel="0" collapsed="false">
      <c r="A893" s="11" t="n">
        <v>857</v>
      </c>
      <c r="B893" s="9" t="n">
        <f aca="false">IF(A893&gt;$B$6,"",SMALL(BTC_Data!$C$3:$C$1002,A893))</f>
        <v>0.00110042366541374</v>
      </c>
      <c r="C893" s="21" t="n">
        <f aca="false">IF(B893="","",A893/$B$6)</f>
        <v>0.857</v>
      </c>
      <c r="D893" s="21" t="n">
        <f aca="false">IF(B893="","",NORMDIST(B893,$B$15,$B$16,TRUE()))</f>
        <v>0.808797814649021</v>
      </c>
      <c r="E893" s="21" t="n">
        <f aca="false">IF(B893="","",IF(B893&gt;=$B$15,1-TDIST((B893-$B$15)/$B$18,$B$17,1),TDIST(($B$15-B893)/$B$18,$B$17,1)))</f>
        <v>0.832127538872419</v>
      </c>
      <c r="F893" s="21" t="n">
        <f aca="false">IF(B893="","",IF(B893&lt;$B$19,0.5*EXP((B893-$B$19)/$B$20),1-0.5*EXP(-(B893-$B$19)/$B$20)))</f>
        <v>0.852091745977957</v>
      </c>
      <c r="G893" s="21" t="n">
        <f aca="false">IF(B893="","",1/(1+EXP(-(B893-$B$15)/$B$21)))</f>
        <v>0.829813759713006</v>
      </c>
      <c r="H893" s="21" t="n">
        <f aca="false">IF(B893="","",MAX(ABS($A893/$B$6-D893),ABS(($A893-1)/$B$6-D893)))</f>
        <v>0.0482021853509793</v>
      </c>
      <c r="I893" s="21" t="n">
        <f aca="false">IF(B893="","",MAX(ABS($A893/$B$6-E893),ABS(($A893-1)/$B$6-E893)))</f>
        <v>0.0248724611275812</v>
      </c>
      <c r="J893" s="21" t="n">
        <f aca="false">IF(B893="","",MAX(ABS($A893/$B$6-F893),ABS(($A893-1)/$B$6-F893)))</f>
        <v>0.00490825402204342</v>
      </c>
      <c r="K893" s="21" t="n">
        <f aca="false">IF(B893="","",MAX(ABS($A893/$B$6-G893),ABS(($A893-1)/$B$6-G893)))</f>
        <v>0.027186240286994</v>
      </c>
    </row>
    <row r="894" customFormat="false" ht="15" hidden="false" customHeight="false" outlineLevel="0" collapsed="false">
      <c r="A894" s="11" t="n">
        <v>858</v>
      </c>
      <c r="B894" s="9" t="n">
        <f aca="false">IF(A894&gt;$B$6,"",SMALL(BTC_Data!$C$3:$C$1002,A894))</f>
        <v>0.00110387400135359</v>
      </c>
      <c r="C894" s="21" t="n">
        <f aca="false">IF(B894="","",A894/$B$6)</f>
        <v>0.858</v>
      </c>
      <c r="D894" s="21" t="n">
        <f aca="false">IF(B894="","",NORMDIST(B894,$B$15,$B$16,TRUE()))</f>
        <v>0.809535158488141</v>
      </c>
      <c r="E894" s="21" t="n">
        <f aca="false">IF(B894="","",IF(B894&gt;=$B$15,1-TDIST((B894-$B$15)/$B$18,$B$17,1),TDIST(($B$15-B894)/$B$18,$B$17,1)))</f>
        <v>0.832825848570358</v>
      </c>
      <c r="F894" s="21" t="n">
        <f aca="false">IF(B894="","",IF(B894&lt;$B$19,0.5*EXP((B894-$B$19)/$B$20),1-0.5*EXP(-(B894-$B$19)/$B$20)))</f>
        <v>0.852650788851516</v>
      </c>
      <c r="G894" s="21" t="n">
        <f aca="false">IF(B894="","",1/(1+EXP(-(B894-$B$15)/$B$21)))</f>
        <v>0.830506768348845</v>
      </c>
      <c r="H894" s="21" t="n">
        <f aca="false">IF(B894="","",MAX(ABS($A894/$B$6-D894),ABS(($A894-1)/$B$6-D894)))</f>
        <v>0.048464841511859</v>
      </c>
      <c r="I894" s="21" t="n">
        <f aca="false">IF(B894="","",MAX(ABS($A894/$B$6-E894),ABS(($A894-1)/$B$6-E894)))</f>
        <v>0.0251741514296419</v>
      </c>
      <c r="J894" s="21" t="n">
        <f aca="false">IF(B894="","",MAX(ABS($A894/$B$6-F894),ABS(($A894-1)/$B$6-F894)))</f>
        <v>0.00534921114848375</v>
      </c>
      <c r="K894" s="21" t="n">
        <f aca="false">IF(B894="","",MAX(ABS($A894/$B$6-G894),ABS(($A894-1)/$B$6-G894)))</f>
        <v>0.0274932316511552</v>
      </c>
    </row>
    <row r="895" customFormat="false" ht="15" hidden="false" customHeight="false" outlineLevel="0" collapsed="false">
      <c r="A895" s="11" t="n">
        <v>859</v>
      </c>
      <c r="B895" s="9" t="n">
        <f aca="false">IF(A895&gt;$B$6,"",SMALL(BTC_Data!$C$3:$C$1002,A895))</f>
        <v>0.0011040239821154</v>
      </c>
      <c r="C895" s="21" t="n">
        <f aca="false">IF(B895="","",A895/$B$6)</f>
        <v>0.859</v>
      </c>
      <c r="D895" s="21" t="n">
        <f aca="false">IF(B895="","",NORMDIST(B895,$B$15,$B$16,TRUE()))</f>
        <v>0.809567170035218</v>
      </c>
      <c r="E895" s="21" t="n">
        <f aca="false">IF(B895="","",IF(B895&gt;=$B$15,1-TDIST((B895-$B$15)/$B$18,$B$17,1),TDIST(($B$15-B895)/$B$18,$B$17,1)))</f>
        <v>0.832856150924843</v>
      </c>
      <c r="F895" s="21" t="n">
        <f aca="false">IF(B895="","",IF(B895&lt;$B$19,0.5*EXP((B895-$B$19)/$B$20),1-0.5*EXP(-(B895-$B$19)/$B$20)))</f>
        <v>0.852675041601416</v>
      </c>
      <c r="G895" s="21" t="n">
        <f aca="false">IF(B895="","",1/(1+EXP(-(B895-$B$15)/$B$21)))</f>
        <v>0.830536841362046</v>
      </c>
      <c r="H895" s="21" t="n">
        <f aca="false">IF(B895="","",MAX(ABS($A895/$B$6-D895),ABS(($A895-1)/$B$6-D895)))</f>
        <v>0.0494328299647823</v>
      </c>
      <c r="I895" s="21" t="n">
        <f aca="false">IF(B895="","",MAX(ABS($A895/$B$6-E895),ABS(($A895-1)/$B$6-E895)))</f>
        <v>0.0261438490751571</v>
      </c>
      <c r="J895" s="21" t="n">
        <f aca="false">IF(B895="","",MAX(ABS($A895/$B$6-F895),ABS(($A895-1)/$B$6-F895)))</f>
        <v>0.00632495839858405</v>
      </c>
      <c r="K895" s="21" t="n">
        <f aca="false">IF(B895="","",MAX(ABS($A895/$B$6-G895),ABS(($A895-1)/$B$6-G895)))</f>
        <v>0.0284631586379539</v>
      </c>
    </row>
    <row r="896" customFormat="false" ht="15" hidden="false" customHeight="false" outlineLevel="0" collapsed="false">
      <c r="A896" s="11" t="n">
        <v>860</v>
      </c>
      <c r="B896" s="9" t="n">
        <f aca="false">IF(A896&gt;$B$6,"",SMALL(BTC_Data!$C$3:$C$1002,A896))</f>
        <v>0.00110423232901824</v>
      </c>
      <c r="C896" s="21" t="n">
        <f aca="false">IF(B896="","",A896/$B$6)</f>
        <v>0.86</v>
      </c>
      <c r="D896" s="21" t="n">
        <f aca="false">IF(B896="","",NORMDIST(B896,$B$15,$B$16,TRUE()))</f>
        <v>0.809611633633369</v>
      </c>
      <c r="E896" s="21" t="n">
        <f aca="false">IF(B896="","",IF(B896&gt;=$B$15,1-TDIST((B896-$B$15)/$B$18,$B$17,1),TDIST(($B$15-B896)/$B$18,$B$17,1)))</f>
        <v>0.832898238469631</v>
      </c>
      <c r="F896" s="21" t="n">
        <f aca="false">IF(B896="","",IF(B896&lt;$B$19,0.5*EXP((B896-$B$19)/$B$20),1-0.5*EXP(-(B896-$B$19)/$B$20)))</f>
        <v>0.852708725867108</v>
      </c>
      <c r="G896" s="21" t="n">
        <f aca="false">IF(B896="","",1/(1+EXP(-(B896-$B$15)/$B$21)))</f>
        <v>0.830578610466334</v>
      </c>
      <c r="H896" s="21" t="n">
        <f aca="false">IF(B896="","",MAX(ABS($A896/$B$6-D896),ABS(($A896-1)/$B$6-D896)))</f>
        <v>0.0503883663666312</v>
      </c>
      <c r="I896" s="21" t="n">
        <f aca="false">IF(B896="","",MAX(ABS($A896/$B$6-E896),ABS(($A896-1)/$B$6-E896)))</f>
        <v>0.0271017615303687</v>
      </c>
      <c r="J896" s="21" t="n">
        <f aca="false">IF(B896="","",MAX(ABS($A896/$B$6-F896),ABS(($A896-1)/$B$6-F896)))</f>
        <v>0.00729127413289155</v>
      </c>
      <c r="K896" s="21" t="n">
        <f aca="false">IF(B896="","",MAX(ABS($A896/$B$6-G896),ABS(($A896-1)/$B$6-G896)))</f>
        <v>0.0294213895336665</v>
      </c>
    </row>
    <row r="897" customFormat="false" ht="15" hidden="false" customHeight="false" outlineLevel="0" collapsed="false">
      <c r="A897" s="11" t="n">
        <v>861</v>
      </c>
      <c r="B897" s="9" t="n">
        <f aca="false">IF(A897&gt;$B$6,"",SMALL(BTC_Data!$C$3:$C$1002,A897))</f>
        <v>0.0011171381540509</v>
      </c>
      <c r="C897" s="21" t="n">
        <f aca="false">IF(B897="","",A897/$B$6)</f>
        <v>0.861</v>
      </c>
      <c r="D897" s="21" t="n">
        <f aca="false">IF(B897="","",NORMDIST(B897,$B$15,$B$16,TRUE()))</f>
        <v>0.812353441768416</v>
      </c>
      <c r="E897" s="21" t="n">
        <f aca="false">IF(B897="","",IF(B897&gt;=$B$15,1-TDIST((B897-$B$15)/$B$18,$B$17,1),TDIST(($B$15-B897)/$B$18,$B$17,1)))</f>
        <v>0.835489008111751</v>
      </c>
      <c r="F897" s="21" t="n">
        <f aca="false">IF(B897="","",IF(B897&lt;$B$19,0.5*EXP((B897-$B$19)/$B$20),1-0.5*EXP(-(B897-$B$19)/$B$20)))</f>
        <v>0.854780316873025</v>
      </c>
      <c r="G897" s="21" t="n">
        <f aca="false">IF(B897="","",1/(1+EXP(-(B897-$B$15)/$B$21)))</f>
        <v>0.833149998438398</v>
      </c>
      <c r="H897" s="21" t="n">
        <f aca="false">IF(B897="","",MAX(ABS($A897/$B$6-D897),ABS(($A897-1)/$B$6-D897)))</f>
        <v>0.0486465582315843</v>
      </c>
      <c r="I897" s="21" t="n">
        <f aca="false">IF(B897="","",MAX(ABS($A897/$B$6-E897),ABS(($A897-1)/$B$6-E897)))</f>
        <v>0.0255109918882491</v>
      </c>
      <c r="J897" s="21" t="n">
        <f aca="false">IF(B897="","",MAX(ABS($A897/$B$6-F897),ABS(($A897-1)/$B$6-F897)))</f>
        <v>0.00621968312697518</v>
      </c>
      <c r="K897" s="21" t="n">
        <f aca="false">IF(B897="","",MAX(ABS($A897/$B$6-G897),ABS(($A897-1)/$B$6-G897)))</f>
        <v>0.027850001561602</v>
      </c>
    </row>
    <row r="898" customFormat="false" ht="15" hidden="false" customHeight="false" outlineLevel="0" collapsed="false">
      <c r="A898" s="11" t="n">
        <v>862</v>
      </c>
      <c r="B898" s="9" t="n">
        <f aca="false">IF(A898&gt;$B$6,"",SMALL(BTC_Data!$C$3:$C$1002,A898))</f>
        <v>0.00112375157863731</v>
      </c>
      <c r="C898" s="21" t="n">
        <f aca="false">IF(B898="","",A898/$B$6)</f>
        <v>0.862</v>
      </c>
      <c r="D898" s="21" t="n">
        <f aca="false">IF(B898="","",NORMDIST(B898,$B$15,$B$16,TRUE()))</f>
        <v>0.813748944469639</v>
      </c>
      <c r="E898" s="21" t="n">
        <f aca="false">IF(B898="","",IF(B898&gt;=$B$15,1-TDIST((B898-$B$15)/$B$18,$B$17,1),TDIST(($B$15-B898)/$B$18,$B$17,1)))</f>
        <v>0.83680420929133</v>
      </c>
      <c r="F898" s="21" t="n">
        <f aca="false">IF(B898="","",IF(B898&lt;$B$19,0.5*EXP((B898-$B$19)/$B$20),1-0.5*EXP(-(B898-$B$19)/$B$20)))</f>
        <v>0.855830560531043</v>
      </c>
      <c r="G898" s="21" t="n">
        <f aca="false">IF(B898="","",1/(1+EXP(-(B898-$B$15)/$B$21)))</f>
        <v>0.834455532401423</v>
      </c>
      <c r="H898" s="21" t="n">
        <f aca="false">IF(B898="","",MAX(ABS($A898/$B$6-D898),ABS(($A898-1)/$B$6-D898)))</f>
        <v>0.048251055530361</v>
      </c>
      <c r="I898" s="21" t="n">
        <f aca="false">IF(B898="","",MAX(ABS($A898/$B$6-E898),ABS(($A898-1)/$B$6-E898)))</f>
        <v>0.0251957907086702</v>
      </c>
      <c r="J898" s="21" t="n">
        <f aca="false">IF(B898="","",MAX(ABS($A898/$B$6-F898),ABS(($A898-1)/$B$6-F898)))</f>
        <v>0.00616943946895654</v>
      </c>
      <c r="K898" s="21" t="n">
        <f aca="false">IF(B898="","",MAX(ABS($A898/$B$6-G898),ABS(($A898-1)/$B$6-G898)))</f>
        <v>0.0275444675985769</v>
      </c>
    </row>
    <row r="899" customFormat="false" ht="15" hidden="false" customHeight="false" outlineLevel="0" collapsed="false">
      <c r="A899" s="11" t="n">
        <v>863</v>
      </c>
      <c r="B899" s="9" t="n">
        <f aca="false">IF(A899&gt;$B$6,"",SMALL(BTC_Data!$C$3:$C$1002,A899))</f>
        <v>0.00112417046749846</v>
      </c>
      <c r="C899" s="21" t="n">
        <f aca="false">IF(B899="","",A899/$B$6)</f>
        <v>0.863</v>
      </c>
      <c r="D899" s="21" t="n">
        <f aca="false">IF(B899="","",NORMDIST(B899,$B$15,$B$16,TRUE()))</f>
        <v>0.813837117362053</v>
      </c>
      <c r="E899" s="21" t="n">
        <f aca="false">IF(B899="","",IF(B899&gt;=$B$15,1-TDIST((B899-$B$15)/$B$18,$B$17,1),TDIST(($B$15-B899)/$B$18,$B$17,1)))</f>
        <v>0.836887230558991</v>
      </c>
      <c r="F899" s="21" t="n">
        <f aca="false">IF(B899="","",IF(B899&lt;$B$19,0.5*EXP((B899-$B$19)/$B$20),1-0.5*EXP(-(B899-$B$19)/$B$20)))</f>
        <v>0.855896825737577</v>
      </c>
      <c r="G899" s="21" t="n">
        <f aca="false">IF(B899="","",1/(1+EXP(-(B899-$B$15)/$B$21)))</f>
        <v>0.834537947450771</v>
      </c>
      <c r="H899" s="21" t="n">
        <f aca="false">IF(B899="","",MAX(ABS($A899/$B$6-D899),ABS(($A899-1)/$B$6-D899)))</f>
        <v>0.0491628826379473</v>
      </c>
      <c r="I899" s="21" t="n">
        <f aca="false">IF(B899="","",MAX(ABS($A899/$B$6-E899),ABS(($A899-1)/$B$6-E899)))</f>
        <v>0.0261127694410086</v>
      </c>
      <c r="J899" s="21" t="n">
        <f aca="false">IF(B899="","",MAX(ABS($A899/$B$6-F899),ABS(($A899-1)/$B$6-F899)))</f>
        <v>0.00710317426242335</v>
      </c>
      <c r="K899" s="21" t="n">
        <f aca="false">IF(B899="","",MAX(ABS($A899/$B$6-G899),ABS(($A899-1)/$B$6-G899)))</f>
        <v>0.0284620525492295</v>
      </c>
    </row>
    <row r="900" customFormat="false" ht="15" hidden="false" customHeight="false" outlineLevel="0" collapsed="false">
      <c r="A900" s="11" t="n">
        <v>864</v>
      </c>
      <c r="B900" s="9" t="n">
        <f aca="false">IF(A900&gt;$B$6,"",SMALL(BTC_Data!$C$3:$C$1002,A900))</f>
        <v>0.00113019618025079</v>
      </c>
      <c r="C900" s="21" t="n">
        <f aca="false">IF(B900="","",A900/$B$6)</f>
        <v>0.864</v>
      </c>
      <c r="D900" s="21" t="n">
        <f aca="false">IF(B900="","",NORMDIST(B900,$B$15,$B$16,TRUE()))</f>
        <v>0.815102619472795</v>
      </c>
      <c r="E900" s="21" t="n">
        <f aca="false">IF(B900="","",IF(B900&gt;=$B$15,1-TDIST((B900-$B$15)/$B$18,$B$17,1),TDIST(($B$15-B900)/$B$18,$B$17,1)))</f>
        <v>0.838077772092432</v>
      </c>
      <c r="F900" s="21" t="n">
        <f aca="false">IF(B900="","",IF(B900&lt;$B$19,0.5*EXP((B900-$B$19)/$B$20),1-0.5*EXP(-(B900-$B$19)/$B$20)))</f>
        <v>0.856846686731024</v>
      </c>
      <c r="G900" s="21" t="n">
        <f aca="false">IF(B900="","",1/(1+EXP(-(B900-$B$15)/$B$21)))</f>
        <v>0.835719849355985</v>
      </c>
      <c r="H900" s="21" t="n">
        <f aca="false">IF(B900="","",MAX(ABS($A900/$B$6-D900),ABS(($A900-1)/$B$6-D900)))</f>
        <v>0.0488973805272047</v>
      </c>
      <c r="I900" s="21" t="n">
        <f aca="false">IF(B900="","",MAX(ABS($A900/$B$6-E900),ABS(($A900-1)/$B$6-E900)))</f>
        <v>0.0259222279075676</v>
      </c>
      <c r="J900" s="21" t="n">
        <f aca="false">IF(B900="","",MAX(ABS($A900/$B$6-F900),ABS(($A900-1)/$B$6-F900)))</f>
        <v>0.0071533132689765</v>
      </c>
      <c r="K900" s="21" t="n">
        <f aca="false">IF(B900="","",MAX(ABS($A900/$B$6-G900),ABS(($A900-1)/$B$6-G900)))</f>
        <v>0.0282801506440155</v>
      </c>
    </row>
    <row r="901" customFormat="false" ht="15" hidden="false" customHeight="false" outlineLevel="0" collapsed="false">
      <c r="A901" s="11" t="n">
        <v>865</v>
      </c>
      <c r="B901" s="9" t="n">
        <f aca="false">IF(A901&gt;$B$6,"",SMALL(BTC_Data!$C$3:$C$1002,A901))</f>
        <v>0.00113370502641286</v>
      </c>
      <c r="C901" s="21" t="n">
        <f aca="false">IF(B901="","",A901/$B$6)</f>
        <v>0.865</v>
      </c>
      <c r="D901" s="21" t="n">
        <f aca="false">IF(B901="","",NORMDIST(B901,$B$15,$B$16,TRUE()))</f>
        <v>0.815837067842798</v>
      </c>
      <c r="E901" s="21" t="n">
        <f aca="false">IF(B901="","",IF(B901&gt;=$B$15,1-TDIST((B901-$B$15)/$B$18,$B$17,1),TDIST(($B$15-B901)/$B$18,$B$17,1)))</f>
        <v>0.838767838823713</v>
      </c>
      <c r="F901" s="21" t="n">
        <f aca="false">IF(B901="","",IF(B901&lt;$B$19,0.5*EXP((B901-$B$19)/$B$20),1-0.5*EXP(-(B901-$B$19)/$B$20)))</f>
        <v>0.857396915279354</v>
      </c>
      <c r="G901" s="21" t="n">
        <f aca="false">IF(B901="","",1/(1+EXP(-(B901-$B$15)/$B$21)))</f>
        <v>0.836404955050526</v>
      </c>
      <c r="H901" s="21" t="n">
        <f aca="false">IF(B901="","",MAX(ABS($A901/$B$6-D901),ABS(($A901-1)/$B$6-D901)))</f>
        <v>0.049162932157202</v>
      </c>
      <c r="I901" s="21" t="n">
        <f aca="false">IF(B901="","",MAX(ABS($A901/$B$6-E901),ABS(($A901-1)/$B$6-E901)))</f>
        <v>0.0262321611762874</v>
      </c>
      <c r="J901" s="21" t="n">
        <f aca="false">IF(B901="","",MAX(ABS($A901/$B$6-F901),ABS(($A901-1)/$B$6-F901)))</f>
        <v>0.00760308472064586</v>
      </c>
      <c r="K901" s="21" t="n">
        <f aca="false">IF(B901="","",MAX(ABS($A901/$B$6-G901),ABS(($A901-1)/$B$6-G901)))</f>
        <v>0.0285950449494741</v>
      </c>
    </row>
    <row r="902" customFormat="false" ht="15" hidden="false" customHeight="false" outlineLevel="0" collapsed="false">
      <c r="A902" s="11" t="n">
        <v>866</v>
      </c>
      <c r="B902" s="9" t="n">
        <f aca="false">IF(A902&gt;$B$6,"",SMALL(BTC_Data!$C$3:$C$1002,A902))</f>
        <v>0.00113670132110921</v>
      </c>
      <c r="C902" s="21" t="n">
        <f aca="false">IF(B902="","",A902/$B$6)</f>
        <v>0.866</v>
      </c>
      <c r="D902" s="21" t="n">
        <f aca="false">IF(B902="","",NORMDIST(B902,$B$15,$B$16,TRUE()))</f>
        <v>0.816462792881056</v>
      </c>
      <c r="E902" s="21" t="n">
        <f aca="false">IF(B902="","",IF(B902&gt;=$B$15,1-TDIST((B902-$B$15)/$B$18,$B$17,1),TDIST(($B$15-B902)/$B$18,$B$17,1)))</f>
        <v>0.839355242902381</v>
      </c>
      <c r="F902" s="21" t="n">
        <f aca="false">IF(B902="","",IF(B902&lt;$B$19,0.5*EXP((B902-$B$19)/$B$20),1-0.5*EXP(-(B902-$B$19)/$B$20)))</f>
        <v>0.857865095340402</v>
      </c>
      <c r="G902" s="21" t="n">
        <f aca="false">IF(B902="","",1/(1+EXP(-(B902-$B$15)/$B$21)))</f>
        <v>0.836988163726082</v>
      </c>
      <c r="H902" s="21" t="n">
        <f aca="false">IF(B902="","",MAX(ABS($A902/$B$6-D902),ABS(($A902-1)/$B$6-D902)))</f>
        <v>0.0495372071189438</v>
      </c>
      <c r="I902" s="21" t="n">
        <f aca="false">IF(B902="","",MAX(ABS($A902/$B$6-E902),ABS(($A902-1)/$B$6-E902)))</f>
        <v>0.0266447570976193</v>
      </c>
      <c r="J902" s="21" t="n">
        <f aca="false">IF(B902="","",MAX(ABS($A902/$B$6-F902),ABS(($A902-1)/$B$6-F902)))</f>
        <v>0.00813490465959832</v>
      </c>
      <c r="K902" s="21" t="n">
        <f aca="false">IF(B902="","",MAX(ABS($A902/$B$6-G902),ABS(($A902-1)/$B$6-G902)))</f>
        <v>0.0290118362739179</v>
      </c>
    </row>
    <row r="903" customFormat="false" ht="15" hidden="false" customHeight="false" outlineLevel="0" collapsed="false">
      <c r="A903" s="11" t="n">
        <v>867</v>
      </c>
      <c r="B903" s="9" t="n">
        <f aca="false">IF(A903&gt;$B$6,"",SMALL(BTC_Data!$C$3:$C$1002,A903))</f>
        <v>0.00113915877947979</v>
      </c>
      <c r="C903" s="21" t="n">
        <f aca="false">IF(B903="","",A903/$B$6)</f>
        <v>0.867</v>
      </c>
      <c r="D903" s="21" t="n">
        <f aca="false">IF(B903="","",NORMDIST(B903,$B$15,$B$16,TRUE()))</f>
        <v>0.816975000870849</v>
      </c>
      <c r="E903" s="21" t="n">
        <f aca="false">IF(B903="","",IF(B903&gt;=$B$15,1-TDIST((B903-$B$15)/$B$18,$B$17,1),TDIST(($B$15-B903)/$B$18,$B$17,1)))</f>
        <v>0.839835732763468</v>
      </c>
      <c r="F903" s="21" t="n">
        <f aca="false">IF(B903="","",IF(B903&lt;$B$19,0.5*EXP((B903-$B$19)/$B$20),1-0.5*EXP(-(B903-$B$19)/$B$20)))</f>
        <v>0.858247933071749</v>
      </c>
      <c r="G903" s="21" t="n">
        <f aca="false">IF(B903="","",1/(1+EXP(-(B903-$B$15)/$B$21)))</f>
        <v>0.837465240926326</v>
      </c>
      <c r="H903" s="21" t="n">
        <f aca="false">IF(B903="","",MAX(ABS($A903/$B$6-D903),ABS(($A903-1)/$B$6-D903)))</f>
        <v>0.0500249991291508</v>
      </c>
      <c r="I903" s="21" t="n">
        <f aca="false">IF(B903="","",MAX(ABS($A903/$B$6-E903),ABS(($A903-1)/$B$6-E903)))</f>
        <v>0.0271642672365318</v>
      </c>
      <c r="J903" s="21" t="n">
        <f aca="false">IF(B903="","",MAX(ABS($A903/$B$6-F903),ABS(($A903-1)/$B$6-F903)))</f>
        <v>0.0087520669282507</v>
      </c>
      <c r="K903" s="21" t="n">
        <f aca="false">IF(B903="","",MAX(ABS($A903/$B$6-G903),ABS(($A903-1)/$B$6-G903)))</f>
        <v>0.0295347590736738</v>
      </c>
    </row>
    <row r="904" customFormat="false" ht="15" hidden="false" customHeight="false" outlineLevel="0" collapsed="false">
      <c r="A904" s="11" t="n">
        <v>868</v>
      </c>
      <c r="B904" s="9" t="n">
        <f aca="false">IF(A904&gt;$B$6,"",SMALL(BTC_Data!$C$3:$C$1002,A904))</f>
        <v>0.00115029668969835</v>
      </c>
      <c r="C904" s="21" t="n">
        <f aca="false">IF(B904="","",A904/$B$6)</f>
        <v>0.868</v>
      </c>
      <c r="D904" s="21" t="n">
        <f aca="false">IF(B904="","",NORMDIST(B904,$B$15,$B$16,TRUE()))</f>
        <v>0.819285277058279</v>
      </c>
      <c r="E904" s="21" t="n">
        <f aca="false">IF(B904="","",IF(B904&gt;=$B$15,1-TDIST((B904-$B$15)/$B$18,$B$17,1),TDIST(($B$15-B904)/$B$18,$B$17,1)))</f>
        <v>0.841999030603398</v>
      </c>
      <c r="F904" s="21" t="n">
        <f aca="false">IF(B904="","",IF(B904&lt;$B$19,0.5*EXP((B904-$B$19)/$B$20),1-0.5*EXP(-(B904-$B$19)/$B$20)))</f>
        <v>0.859970177338382</v>
      </c>
      <c r="G904" s="21" t="n">
        <f aca="false">IF(B904="","",1/(1+EXP(-(B904-$B$15)/$B$21)))</f>
        <v>0.839613393080869</v>
      </c>
      <c r="H904" s="21" t="n">
        <f aca="false">IF(B904="","",MAX(ABS($A904/$B$6-D904),ABS(($A904-1)/$B$6-D904)))</f>
        <v>0.0487147229417213</v>
      </c>
      <c r="I904" s="21" t="n">
        <f aca="false">IF(B904="","",MAX(ABS($A904/$B$6-E904),ABS(($A904-1)/$B$6-E904)))</f>
        <v>0.0260009693966025</v>
      </c>
      <c r="J904" s="21" t="n">
        <f aca="false">IF(B904="","",MAX(ABS($A904/$B$6-F904),ABS(($A904-1)/$B$6-F904)))</f>
        <v>0.00802982266161834</v>
      </c>
      <c r="K904" s="21" t="n">
        <f aca="false">IF(B904="","",MAX(ABS($A904/$B$6-G904),ABS(($A904-1)/$B$6-G904)))</f>
        <v>0.0283866069191312</v>
      </c>
    </row>
    <row r="905" customFormat="false" ht="15" hidden="false" customHeight="false" outlineLevel="0" collapsed="false">
      <c r="A905" s="11" t="n">
        <v>869</v>
      </c>
      <c r="B905" s="9" t="n">
        <f aca="false">IF(A905&gt;$B$6,"",SMALL(BTC_Data!$C$3:$C$1002,A905))</f>
        <v>0.00116362039926599</v>
      </c>
      <c r="C905" s="21" t="n">
        <f aca="false">IF(B905="","",A905/$B$6)</f>
        <v>0.869</v>
      </c>
      <c r="D905" s="21" t="n">
        <f aca="false">IF(B905="","",NORMDIST(B905,$B$15,$B$16,TRUE()))</f>
        <v>0.82202480721745</v>
      </c>
      <c r="E905" s="21" t="n">
        <f aca="false">IF(B905="","",IF(B905&gt;=$B$15,1-TDIST((B905-$B$15)/$B$18,$B$17,1),TDIST(($B$15-B905)/$B$18,$B$17,1)))</f>
        <v>0.84455593496781</v>
      </c>
      <c r="F905" s="21" t="n">
        <f aca="false">IF(B905="","",IF(B905&lt;$B$19,0.5*EXP((B905-$B$19)/$B$20),1-0.5*EXP(-(B905-$B$19)/$B$20)))</f>
        <v>0.862002944180129</v>
      </c>
      <c r="G905" s="21" t="n">
        <f aca="false">IF(B905="","",1/(1+EXP(-(B905-$B$15)/$B$21)))</f>
        <v>0.84215287852604</v>
      </c>
      <c r="H905" s="21" t="n">
        <f aca="false">IF(B905="","",MAX(ABS($A905/$B$6-D905),ABS(($A905-1)/$B$6-D905)))</f>
        <v>0.0469751927825501</v>
      </c>
      <c r="I905" s="21" t="n">
        <f aca="false">IF(B905="","",MAX(ABS($A905/$B$6-E905),ABS(($A905-1)/$B$6-E905)))</f>
        <v>0.02444406503219</v>
      </c>
      <c r="J905" s="21" t="n">
        <f aca="false">IF(B905="","",MAX(ABS($A905/$B$6-F905),ABS(($A905-1)/$B$6-F905)))</f>
        <v>0.00699705581987087</v>
      </c>
      <c r="K905" s="21" t="n">
        <f aca="false">IF(B905="","",MAX(ABS($A905/$B$6-G905),ABS(($A905-1)/$B$6-G905)))</f>
        <v>0.0268471214739603</v>
      </c>
    </row>
    <row r="906" customFormat="false" ht="15" hidden="false" customHeight="false" outlineLevel="0" collapsed="false">
      <c r="A906" s="11" t="n">
        <v>870</v>
      </c>
      <c r="B906" s="9" t="n">
        <f aca="false">IF(A906&gt;$B$6,"",SMALL(BTC_Data!$C$3:$C$1002,A906))</f>
        <v>0.00118144598090497</v>
      </c>
      <c r="C906" s="21" t="n">
        <f aca="false">IF(B906="","",A906/$B$6)</f>
        <v>0.87</v>
      </c>
      <c r="D906" s="21" t="n">
        <f aca="false">IF(B906="","",NORMDIST(B906,$B$15,$B$16,TRUE()))</f>
        <v>0.825648787807122</v>
      </c>
      <c r="E906" s="21" t="n">
        <f aca="false">IF(B906="","",IF(B906&gt;=$B$15,1-TDIST((B906-$B$15)/$B$18,$B$17,1),TDIST(($B$15-B906)/$B$18,$B$17,1)))</f>
        <v>0.847924352021511</v>
      </c>
      <c r="F906" s="21" t="n">
        <f aca="false">IF(B906="","",IF(B906&lt;$B$19,0.5*EXP((B906-$B$19)/$B$20),1-0.5*EXP(-(B906-$B$19)/$B$20)))</f>
        <v>0.86467647721583</v>
      </c>
      <c r="G906" s="21" t="n">
        <f aca="false">IF(B906="","",1/(1+EXP(-(B906-$B$15)/$B$21)))</f>
        <v>0.845499200057433</v>
      </c>
      <c r="H906" s="21" t="n">
        <f aca="false">IF(B906="","",MAX(ABS($A906/$B$6-D906),ABS(($A906-1)/$B$6-D906)))</f>
        <v>0.0443512121928779</v>
      </c>
      <c r="I906" s="21" t="n">
        <f aca="false">IF(B906="","",MAX(ABS($A906/$B$6-E906),ABS(($A906-1)/$B$6-E906)))</f>
        <v>0.0220756479784889</v>
      </c>
      <c r="J906" s="21" t="n">
        <f aca="false">IF(B906="","",MAX(ABS($A906/$B$6-F906),ABS(($A906-1)/$B$6-F906)))</f>
        <v>0.00532352278416992</v>
      </c>
      <c r="K906" s="21" t="n">
        <f aca="false">IF(B906="","",MAX(ABS($A906/$B$6-G906),ABS(($A906-1)/$B$6-G906)))</f>
        <v>0.0245007999425667</v>
      </c>
    </row>
    <row r="907" customFormat="false" ht="15" hidden="false" customHeight="false" outlineLevel="0" collapsed="false">
      <c r="A907" s="11" t="n">
        <v>871</v>
      </c>
      <c r="B907" s="9" t="n">
        <f aca="false">IF(A907&gt;$B$6,"",SMALL(BTC_Data!$C$3:$C$1002,A907))</f>
        <v>0.00118221746139957</v>
      </c>
      <c r="C907" s="21" t="n">
        <f aca="false">IF(B907="","",A907/$B$6)</f>
        <v>0.871</v>
      </c>
      <c r="D907" s="21" t="n">
        <f aca="false">IF(B907="","",NORMDIST(B907,$B$15,$B$16,TRUE()))</f>
        <v>0.825804565768071</v>
      </c>
      <c r="E907" s="21" t="n">
        <f aca="false">IF(B907="","",IF(B907&gt;=$B$15,1-TDIST((B907-$B$15)/$B$18,$B$17,1),TDIST(($B$15-B907)/$B$18,$B$17,1)))</f>
        <v>0.848068786180793</v>
      </c>
      <c r="F907" s="21" t="n">
        <f aca="false">IF(B907="","",IF(B907&lt;$B$19,0.5*EXP((B907-$B$19)/$B$20),1-0.5*EXP(-(B907-$B$19)/$B$20)))</f>
        <v>0.864791009456523</v>
      </c>
      <c r="G907" s="21" t="n">
        <f aca="false">IF(B907="","",1/(1+EXP(-(B907-$B$15)/$B$21)))</f>
        <v>0.845642709503424</v>
      </c>
      <c r="H907" s="21" t="n">
        <f aca="false">IF(B907="","",MAX(ABS($A907/$B$6-D907),ABS(($A907-1)/$B$6-D907)))</f>
        <v>0.0451954342319294</v>
      </c>
      <c r="I907" s="21" t="n">
        <f aca="false">IF(B907="","",MAX(ABS($A907/$B$6-E907),ABS(($A907-1)/$B$6-E907)))</f>
        <v>0.0229312138192074</v>
      </c>
      <c r="J907" s="21" t="n">
        <f aca="false">IF(B907="","",MAX(ABS($A907/$B$6-F907),ABS(($A907-1)/$B$6-F907)))</f>
        <v>0.0062089905434769</v>
      </c>
      <c r="K907" s="21" t="n">
        <f aca="false">IF(B907="","",MAX(ABS($A907/$B$6-G907),ABS(($A907-1)/$B$6-G907)))</f>
        <v>0.0253572904965764</v>
      </c>
    </row>
    <row r="908" customFormat="false" ht="15" hidden="false" customHeight="false" outlineLevel="0" collapsed="false">
      <c r="A908" s="11" t="n">
        <v>872</v>
      </c>
      <c r="B908" s="9" t="n">
        <f aca="false">IF(A908&gt;$B$6,"",SMALL(BTC_Data!$C$3:$C$1002,A908))</f>
        <v>0.00119048573654901</v>
      </c>
      <c r="C908" s="21" t="n">
        <f aca="false">IF(B908="","",A908/$B$6)</f>
        <v>0.872</v>
      </c>
      <c r="D908" s="21" t="n">
        <f aca="false">IF(B908="","",NORMDIST(B908,$B$15,$B$16,TRUE()))</f>
        <v>0.827468545220656</v>
      </c>
      <c r="E908" s="21" t="n">
        <f aca="false">IF(B908="","",IF(B908&gt;=$B$15,1-TDIST((B908-$B$15)/$B$18,$B$17,1),TDIST(($B$15-B908)/$B$18,$B$17,1)))</f>
        <v>0.849609745296323</v>
      </c>
      <c r="F908" s="21" t="n">
        <f aca="false">IF(B908="","",IF(B908&lt;$B$19,0.5*EXP((B908-$B$19)/$B$20),1-0.5*EXP(-(B908-$B$19)/$B$20)))</f>
        <v>0.866012428858908</v>
      </c>
      <c r="G908" s="21" t="n">
        <f aca="false">IF(B908="","",1/(1+EXP(-(B908-$B$15)/$B$21)))</f>
        <v>0.84717392389103</v>
      </c>
      <c r="H908" s="21" t="n">
        <f aca="false">IF(B908="","",MAX(ABS($A908/$B$6-D908),ABS(($A908-1)/$B$6-D908)))</f>
        <v>0.0445314547793444</v>
      </c>
      <c r="I908" s="21" t="n">
        <f aca="false">IF(B908="","",MAX(ABS($A908/$B$6-E908),ABS(($A908-1)/$B$6-E908)))</f>
        <v>0.0223902547036768</v>
      </c>
      <c r="J908" s="21" t="n">
        <f aca="false">IF(B908="","",MAX(ABS($A908/$B$6-F908),ABS(($A908-1)/$B$6-F908)))</f>
        <v>0.00598757114109216</v>
      </c>
      <c r="K908" s="21" t="n">
        <f aca="false">IF(B908="","",MAX(ABS($A908/$B$6-G908),ABS(($A908-1)/$B$6-G908)))</f>
        <v>0.0248260761089704</v>
      </c>
    </row>
    <row r="909" customFormat="false" ht="15" hidden="false" customHeight="false" outlineLevel="0" collapsed="false">
      <c r="A909" s="11" t="n">
        <v>873</v>
      </c>
      <c r="B909" s="9" t="n">
        <f aca="false">IF(A909&gt;$B$6,"",SMALL(BTC_Data!$C$3:$C$1002,A909))</f>
        <v>0.00119516082634119</v>
      </c>
      <c r="C909" s="21" t="n">
        <f aca="false">IF(B909="","",A909/$B$6)</f>
        <v>0.873</v>
      </c>
      <c r="D909" s="21" t="n">
        <f aca="false">IF(B909="","",NORMDIST(B909,$B$15,$B$16,TRUE()))</f>
        <v>0.828404899782129</v>
      </c>
      <c r="E909" s="21" t="n">
        <f aca="false">IF(B909="","",IF(B909&gt;=$B$15,1-TDIST((B909-$B$15)/$B$18,$B$17,1),TDIST(($B$15-B909)/$B$18,$B$17,1)))</f>
        <v>0.850475384801143</v>
      </c>
      <c r="F909" s="21" t="n">
        <f aca="false">IF(B909="","",IF(B909&lt;$B$19,0.5*EXP((B909-$B$19)/$B$20),1-0.5*EXP(-(B909-$B$19)/$B$20)))</f>
        <v>0.866698160395586</v>
      </c>
      <c r="G909" s="21" t="n">
        <f aca="false">IF(B909="","",1/(1+EXP(-(B909-$B$15)/$B$21)))</f>
        <v>0.848034188247786</v>
      </c>
      <c r="H909" s="21" t="n">
        <f aca="false">IF(B909="","",MAX(ABS($A909/$B$6-D909),ABS(($A909-1)/$B$6-D909)))</f>
        <v>0.0445951002178713</v>
      </c>
      <c r="I909" s="21" t="n">
        <f aca="false">IF(B909="","",MAX(ABS($A909/$B$6-E909),ABS(($A909-1)/$B$6-E909)))</f>
        <v>0.0225246151988574</v>
      </c>
      <c r="J909" s="21" t="n">
        <f aca="false">IF(B909="","",MAX(ABS($A909/$B$6-F909),ABS(($A909-1)/$B$6-F909)))</f>
        <v>0.00630183960441444</v>
      </c>
      <c r="K909" s="21" t="n">
        <f aca="false">IF(B909="","",MAX(ABS($A909/$B$6-G909),ABS(($A909-1)/$B$6-G909)))</f>
        <v>0.024965811752214</v>
      </c>
    </row>
    <row r="910" customFormat="false" ht="15" hidden="false" customHeight="false" outlineLevel="0" collapsed="false">
      <c r="A910" s="11" t="n">
        <v>874</v>
      </c>
      <c r="B910" s="9" t="n">
        <f aca="false">IF(A910&gt;$B$6,"",SMALL(BTC_Data!$C$3:$C$1002,A910))</f>
        <v>0.00119684030289813</v>
      </c>
      <c r="C910" s="21" t="n">
        <f aca="false">IF(B910="","",A910/$B$6)</f>
        <v>0.874</v>
      </c>
      <c r="D910" s="21" t="n">
        <f aca="false">IF(B910="","",NORMDIST(B910,$B$15,$B$16,TRUE()))</f>
        <v>0.828740481055787</v>
      </c>
      <c r="E910" s="21" t="n">
        <f aca="false">IF(B910="","",IF(B910&gt;=$B$15,1-TDIST((B910-$B$15)/$B$18,$B$17,1),TDIST(($B$15-B910)/$B$18,$B$17,1)))</f>
        <v>0.850785360931938</v>
      </c>
      <c r="F910" s="21" t="n">
        <f aca="false">IF(B910="","",IF(B910&lt;$B$19,0.5*EXP((B910-$B$19)/$B$20),1-0.5*EXP(-(B910-$B$19)/$B$20)))</f>
        <v>0.866943644430138</v>
      </c>
      <c r="G910" s="21" t="n">
        <f aca="false">IF(B910="","",1/(1+EXP(-(B910-$B$15)/$B$21)))</f>
        <v>0.848342257278849</v>
      </c>
      <c r="H910" s="21" t="n">
        <f aca="false">IF(B910="","",MAX(ABS($A910/$B$6-D910),ABS(($A910-1)/$B$6-D910)))</f>
        <v>0.045259518944213</v>
      </c>
      <c r="I910" s="21" t="n">
        <f aca="false">IF(B910="","",MAX(ABS($A910/$B$6-E910),ABS(($A910-1)/$B$6-E910)))</f>
        <v>0.0232146390680623</v>
      </c>
      <c r="J910" s="21" t="n">
        <f aca="false">IF(B910="","",MAX(ABS($A910/$B$6-F910),ABS(($A910-1)/$B$6-F910)))</f>
        <v>0.00705635556986206</v>
      </c>
      <c r="K910" s="21" t="n">
        <f aca="false">IF(B910="","",MAX(ABS($A910/$B$6-G910),ABS(($A910-1)/$B$6-G910)))</f>
        <v>0.0256577427211513</v>
      </c>
    </row>
    <row r="911" customFormat="false" ht="15" hidden="false" customHeight="false" outlineLevel="0" collapsed="false">
      <c r="A911" s="11" t="n">
        <v>875</v>
      </c>
      <c r="B911" s="9" t="n">
        <f aca="false">IF(A911&gt;$B$6,"",SMALL(BTC_Data!$C$3:$C$1002,A911))</f>
        <v>0.00123969476128472</v>
      </c>
      <c r="C911" s="21" t="n">
        <f aca="false">IF(B911="","",A911/$B$6)</f>
        <v>0.875</v>
      </c>
      <c r="D911" s="21" t="n">
        <f aca="false">IF(B911="","",NORMDIST(B911,$B$15,$B$16,TRUE()))</f>
        <v>0.837161172608198</v>
      </c>
      <c r="E911" s="21" t="n">
        <f aca="false">IF(B911="","",IF(B911&gt;=$B$15,1-TDIST((B911-$B$15)/$B$18,$B$17,1),TDIST(($B$15-B911)/$B$18,$B$17,1)))</f>
        <v>0.858518129737269</v>
      </c>
      <c r="F911" s="21" t="n">
        <f aca="false">IF(B911="","",IF(B911&lt;$B$19,0.5*EXP((B911-$B$19)/$B$20),1-0.5*EXP(-(B911-$B$19)/$B$20)))</f>
        <v>0.873056889161764</v>
      </c>
      <c r="G911" s="21" t="n">
        <f aca="false">IF(B911="","",1/(1+EXP(-(B911-$B$15)/$B$21)))</f>
        <v>0.856030683501126</v>
      </c>
      <c r="H911" s="21" t="n">
        <f aca="false">IF(B911="","",MAX(ABS($A911/$B$6-D911),ABS(($A911-1)/$B$6-D911)))</f>
        <v>0.0378388273918024</v>
      </c>
      <c r="I911" s="21" t="n">
        <f aca="false">IF(B911="","",MAX(ABS($A911/$B$6-E911),ABS(($A911-1)/$B$6-E911)))</f>
        <v>0.0164818702627306</v>
      </c>
      <c r="J911" s="21" t="n">
        <f aca="false">IF(B911="","",MAX(ABS($A911/$B$6-F911),ABS(($A911-1)/$B$6-F911)))</f>
        <v>0.00194311083823595</v>
      </c>
      <c r="K911" s="21" t="n">
        <f aca="false">IF(B911="","",MAX(ABS($A911/$B$6-G911),ABS(($A911-1)/$B$6-G911)))</f>
        <v>0.0189693164988736</v>
      </c>
    </row>
    <row r="912" customFormat="false" ht="15" hidden="false" customHeight="false" outlineLevel="0" collapsed="false">
      <c r="A912" s="11" t="n">
        <v>876</v>
      </c>
      <c r="B912" s="9" t="n">
        <f aca="false">IF(A912&gt;$B$6,"",SMALL(BTC_Data!$C$3:$C$1002,A912))</f>
        <v>0.00124274202493391</v>
      </c>
      <c r="C912" s="21" t="n">
        <f aca="false">IF(B912="","",A912/$B$6)</f>
        <v>0.876</v>
      </c>
      <c r="D912" s="21" t="n">
        <f aca="false">IF(B912="","",NORMDIST(B912,$B$15,$B$16,TRUE()))</f>
        <v>0.837749515046515</v>
      </c>
      <c r="E912" s="21" t="n">
        <f aca="false">IF(B912="","",IF(B912&gt;=$B$15,1-TDIST((B912-$B$15)/$B$18,$B$17,1),TDIST(($B$15-B912)/$B$18,$B$17,1)))</f>
        <v>0.85905512667808</v>
      </c>
      <c r="F912" s="21" t="n">
        <f aca="false">IF(B912="","",IF(B912&lt;$B$19,0.5*EXP((B912-$B$19)/$B$20),1-0.5*EXP(-(B912-$B$19)/$B$20)))</f>
        <v>0.87348073360692</v>
      </c>
      <c r="G912" s="21" t="n">
        <f aca="false">IF(B912="","",1/(1+EXP(-(B912-$B$15)/$B$21)))</f>
        <v>0.856564847302951</v>
      </c>
      <c r="H912" s="21" t="n">
        <f aca="false">IF(B912="","",MAX(ABS($A912/$B$6-D912),ABS(($A912-1)/$B$6-D912)))</f>
        <v>0.0382504849534848</v>
      </c>
      <c r="I912" s="21" t="n">
        <f aca="false">IF(B912="","",MAX(ABS($A912/$B$6-E912),ABS(($A912-1)/$B$6-E912)))</f>
        <v>0.0169448733219204</v>
      </c>
      <c r="J912" s="21" t="n">
        <f aca="false">IF(B912="","",MAX(ABS($A912/$B$6-F912),ABS(($A912-1)/$B$6-F912)))</f>
        <v>0.00251926639307964</v>
      </c>
      <c r="K912" s="21" t="n">
        <f aca="false">IF(B912="","",MAX(ABS($A912/$B$6-G912),ABS(($A912-1)/$B$6-G912)))</f>
        <v>0.0194351526970493</v>
      </c>
    </row>
    <row r="913" customFormat="false" ht="15" hidden="false" customHeight="false" outlineLevel="0" collapsed="false">
      <c r="A913" s="11" t="n">
        <v>877</v>
      </c>
      <c r="B913" s="9" t="n">
        <f aca="false">IF(A913&gt;$B$6,"",SMALL(BTC_Data!$C$3:$C$1002,A913))</f>
        <v>0.00124452007760678</v>
      </c>
      <c r="C913" s="21" t="n">
        <f aca="false">IF(B913="","",A913/$B$6)</f>
        <v>0.877</v>
      </c>
      <c r="D913" s="21" t="n">
        <f aca="false">IF(B913="","",NORMDIST(B913,$B$15,$B$16,TRUE()))</f>
        <v>0.838092167758973</v>
      </c>
      <c r="E913" s="21" t="n">
        <f aca="false">IF(B913="","",IF(B913&gt;=$B$15,1-TDIST((B913-$B$15)/$B$18,$B$17,1),TDIST(($B$15-B913)/$B$18,$B$17,1)))</f>
        <v>0.859367677152482</v>
      </c>
      <c r="F913" s="21" t="n">
        <f aca="false">IF(B913="","",IF(B913&lt;$B$19,0.5*EXP((B913-$B$19)/$B$20),1-0.5*EXP(-(B913-$B$19)/$B$20)))</f>
        <v>0.873727389198479</v>
      </c>
      <c r="G913" s="21" t="n">
        <f aca="false">IF(B913="","",1/(1+EXP(-(B913-$B$15)/$B$21)))</f>
        <v>0.856875764470889</v>
      </c>
      <c r="H913" s="21" t="n">
        <f aca="false">IF(B913="","",MAX(ABS($A913/$B$6-D913),ABS(($A913-1)/$B$6-D913)))</f>
        <v>0.0389078322410273</v>
      </c>
      <c r="I913" s="21" t="n">
        <f aca="false">IF(B913="","",MAX(ABS($A913/$B$6-E913),ABS(($A913-1)/$B$6-E913)))</f>
        <v>0.0176323228475185</v>
      </c>
      <c r="J913" s="21" t="n">
        <f aca="false">IF(B913="","",MAX(ABS($A913/$B$6-F913),ABS(($A913-1)/$B$6-F913)))</f>
        <v>0.00327261080152086</v>
      </c>
      <c r="K913" s="21" t="n">
        <f aca="false">IF(B913="","",MAX(ABS($A913/$B$6-G913),ABS(($A913-1)/$B$6-G913)))</f>
        <v>0.0201242355291114</v>
      </c>
    </row>
    <row r="914" customFormat="false" ht="15" hidden="false" customHeight="false" outlineLevel="0" collapsed="false">
      <c r="A914" s="11" t="n">
        <v>878</v>
      </c>
      <c r="B914" s="9" t="n">
        <f aca="false">IF(A914&gt;$B$6,"",SMALL(BTC_Data!$C$3:$C$1002,A914))</f>
        <v>0.00124461814620247</v>
      </c>
      <c r="C914" s="21" t="n">
        <f aca="false">IF(B914="","",A914/$B$6)</f>
        <v>0.878</v>
      </c>
      <c r="D914" s="21" t="n">
        <f aca="false">IF(B914="","",NORMDIST(B914,$B$15,$B$16,TRUE()))</f>
        <v>0.838111053060449</v>
      </c>
      <c r="E914" s="21" t="n">
        <f aca="false">IF(B914="","",IF(B914&gt;=$B$15,1-TDIST((B914-$B$15)/$B$18,$B$17,1),TDIST(($B$15-B914)/$B$18,$B$17,1)))</f>
        <v>0.859384899120148</v>
      </c>
      <c r="F914" s="21" t="n">
        <f aca="false">IF(B914="","",IF(B914&lt;$B$19,0.5*EXP((B914-$B$19)/$B$20),1-0.5*EXP(-(B914-$B$19)/$B$20)))</f>
        <v>0.873740979500425</v>
      </c>
      <c r="G914" s="21" t="n">
        <f aca="false">IF(B914="","",1/(1+EXP(-(B914-$B$15)/$B$21)))</f>
        <v>0.856892896778539</v>
      </c>
      <c r="H914" s="21" t="n">
        <f aca="false">IF(B914="","",MAX(ABS($A914/$B$6-D914),ABS(($A914-1)/$B$6-D914)))</f>
        <v>0.0398889469395514</v>
      </c>
      <c r="I914" s="21" t="n">
        <f aca="false">IF(B914="","",MAX(ABS($A914/$B$6-E914),ABS(($A914-1)/$B$6-E914)))</f>
        <v>0.0186151008798523</v>
      </c>
      <c r="J914" s="21" t="n">
        <f aca="false">IF(B914="","",MAX(ABS($A914/$B$6-F914),ABS(($A914-1)/$B$6-F914)))</f>
        <v>0.00425902049957494</v>
      </c>
      <c r="K914" s="21" t="n">
        <f aca="false">IF(B914="","",MAX(ABS($A914/$B$6-G914),ABS(($A914-1)/$B$6-G914)))</f>
        <v>0.021107103221461</v>
      </c>
    </row>
    <row r="915" customFormat="false" ht="15" hidden="false" customHeight="false" outlineLevel="0" collapsed="false">
      <c r="A915" s="11" t="n">
        <v>879</v>
      </c>
      <c r="B915" s="9" t="n">
        <f aca="false">IF(A915&gt;$B$6,"",SMALL(BTC_Data!$C$3:$C$1002,A915))</f>
        <v>0.00124770176982891</v>
      </c>
      <c r="C915" s="21" t="n">
        <f aca="false">IF(B915="","",A915/$B$6)</f>
        <v>0.879</v>
      </c>
      <c r="D915" s="21" t="n">
        <f aca="false">IF(B915="","",NORMDIST(B915,$B$15,$B$16,TRUE()))</f>
        <v>0.838704141676989</v>
      </c>
      <c r="E915" s="21" t="n">
        <f aca="false">IF(B915="","",IF(B915&gt;=$B$15,1-TDIST((B915-$B$15)/$B$18,$B$17,1),TDIST(($B$15-B915)/$B$18,$B$17,1)))</f>
        <v>0.859925525127008</v>
      </c>
      <c r="F915" s="21" t="n">
        <f aca="false">IF(B915="","",IF(B915&lt;$B$19,0.5*EXP((B915-$B$19)/$B$20),1-0.5*EXP(-(B915-$B$19)/$B$20)))</f>
        <v>0.874167561423406</v>
      </c>
      <c r="G915" s="21" t="n">
        <f aca="false">IF(B915="","",1/(1+EXP(-(B915-$B$15)/$B$21)))</f>
        <v>0.857430726243896</v>
      </c>
      <c r="H915" s="21" t="n">
        <f aca="false">IF(B915="","",MAX(ABS($A915/$B$6-D915),ABS(($A915-1)/$B$6-D915)))</f>
        <v>0.0402958583230106</v>
      </c>
      <c r="I915" s="21" t="n">
        <f aca="false">IF(B915="","",MAX(ABS($A915/$B$6-E915),ABS(($A915-1)/$B$6-E915)))</f>
        <v>0.0190744748729919</v>
      </c>
      <c r="J915" s="21" t="n">
        <f aca="false">IF(B915="","",MAX(ABS($A915/$B$6-F915),ABS(($A915-1)/$B$6-F915)))</f>
        <v>0.00483243857659454</v>
      </c>
      <c r="K915" s="21" t="n">
        <f aca="false">IF(B915="","",MAX(ABS($A915/$B$6-G915),ABS(($A915-1)/$B$6-G915)))</f>
        <v>0.021569273756104</v>
      </c>
    </row>
    <row r="916" customFormat="false" ht="15" hidden="false" customHeight="false" outlineLevel="0" collapsed="false">
      <c r="A916" s="11" t="n">
        <v>880</v>
      </c>
      <c r="B916" s="9" t="n">
        <f aca="false">IF(A916&gt;$B$6,"",SMALL(BTC_Data!$C$3:$C$1002,A916))</f>
        <v>0.00126006288062896</v>
      </c>
      <c r="C916" s="21" t="n">
        <f aca="false">IF(B916="","",A916/$B$6)</f>
        <v>0.88</v>
      </c>
      <c r="D916" s="21" t="n">
        <f aca="false">IF(B916="","",NORMDIST(B916,$B$15,$B$16,TRUE()))</f>
        <v>0.841067368781289</v>
      </c>
      <c r="E916" s="21" t="n">
        <f aca="false">IF(B916="","",IF(B916&gt;=$B$15,1-TDIST((B916-$B$15)/$B$18,$B$17,1),TDIST(($B$15-B916)/$B$18,$B$17,1)))</f>
        <v>0.862075352917525</v>
      </c>
      <c r="F916" s="21" t="n">
        <f aca="false">IF(B916="","",IF(B916&lt;$B$19,0.5*EXP((B916-$B$19)/$B$20),1-0.5*EXP(-(B916-$B$19)/$B$20)))</f>
        <v>0.875863151458811</v>
      </c>
      <c r="G916" s="21" t="n">
        <f aca="false">IF(B916="","",1/(1+EXP(-(B916-$B$15)/$B$21)))</f>
        <v>0.859569786264325</v>
      </c>
      <c r="H916" s="21" t="n">
        <f aca="false">IF(B916="","",MAX(ABS($A916/$B$6-D916),ABS(($A916-1)/$B$6-D916)))</f>
        <v>0.0389326312187112</v>
      </c>
      <c r="I916" s="21" t="n">
        <f aca="false">IF(B916="","",MAX(ABS($A916/$B$6-E916),ABS(($A916-1)/$B$6-E916)))</f>
        <v>0.0179246470824748</v>
      </c>
      <c r="J916" s="21" t="n">
        <f aca="false">IF(B916="","",MAX(ABS($A916/$B$6-F916),ABS(($A916-1)/$B$6-F916)))</f>
        <v>0.00413684854118912</v>
      </c>
      <c r="K916" s="21" t="n">
        <f aca="false">IF(B916="","",MAX(ABS($A916/$B$6-G916),ABS(($A916-1)/$B$6-G916)))</f>
        <v>0.0204302137356753</v>
      </c>
    </row>
    <row r="917" customFormat="false" ht="15" hidden="false" customHeight="false" outlineLevel="0" collapsed="false">
      <c r="A917" s="11" t="n">
        <v>881</v>
      </c>
      <c r="B917" s="9" t="n">
        <f aca="false">IF(A917&gt;$B$6,"",SMALL(BTC_Data!$C$3:$C$1002,A917))</f>
        <v>0.00127222908279334</v>
      </c>
      <c r="C917" s="21" t="n">
        <f aca="false">IF(B917="","",A917/$B$6)</f>
        <v>0.881</v>
      </c>
      <c r="D917" s="21" t="n">
        <f aca="false">IF(B917="","",NORMDIST(B917,$B$15,$B$16,TRUE()))</f>
        <v>0.8433710635589</v>
      </c>
      <c r="E917" s="21" t="n">
        <f aca="false">IF(B917="","",IF(B917&gt;=$B$15,1-TDIST((B917-$B$15)/$B$18,$B$17,1),TDIST(($B$15-B917)/$B$18,$B$17,1)))</f>
        <v>0.864164303909216</v>
      </c>
      <c r="F917" s="21" t="n">
        <f aca="false">IF(B917="","",IF(B917&lt;$B$19,0.5*EXP((B917-$B$19)/$B$20),1-0.5*EXP(-(B917-$B$19)/$B$20)))</f>
        <v>0.877509693541625</v>
      </c>
      <c r="G917" s="21" t="n">
        <f aca="false">IF(B917="","",1/(1+EXP(-(B917-$B$15)/$B$21)))</f>
        <v>0.861648833704721</v>
      </c>
      <c r="H917" s="21" t="n">
        <f aca="false">IF(B917="","",MAX(ABS($A917/$B$6-D917),ABS(($A917-1)/$B$6-D917)))</f>
        <v>0.0376289364411</v>
      </c>
      <c r="I917" s="21" t="n">
        <f aca="false">IF(B917="","",MAX(ABS($A917/$B$6-E917),ABS(($A917-1)/$B$6-E917)))</f>
        <v>0.0168356960907843</v>
      </c>
      <c r="J917" s="21" t="n">
        <f aca="false">IF(B917="","",MAX(ABS($A917/$B$6-F917),ABS(($A917-1)/$B$6-F917)))</f>
        <v>0.00349030645837478</v>
      </c>
      <c r="K917" s="21" t="n">
        <f aca="false">IF(B917="","",MAX(ABS($A917/$B$6-G917),ABS(($A917-1)/$B$6-G917)))</f>
        <v>0.0193511662952793</v>
      </c>
    </row>
    <row r="918" customFormat="false" ht="15" hidden="false" customHeight="false" outlineLevel="0" collapsed="false">
      <c r="A918" s="11" t="n">
        <v>882</v>
      </c>
      <c r="B918" s="9" t="n">
        <f aca="false">IF(A918&gt;$B$6,"",SMALL(BTC_Data!$C$3:$C$1002,A918))</f>
        <v>0.001278427507869</v>
      </c>
      <c r="C918" s="21" t="n">
        <f aca="false">IF(B918="","",A918/$B$6)</f>
        <v>0.882</v>
      </c>
      <c r="D918" s="21" t="n">
        <f aca="false">IF(B918="","",NORMDIST(B918,$B$15,$B$16,TRUE()))</f>
        <v>0.844536253104094</v>
      </c>
      <c r="E918" s="21" t="n">
        <f aca="false">IF(B918="","",IF(B918&gt;=$B$15,1-TDIST((B918-$B$15)/$B$18,$B$17,1),TDIST(($B$15-B918)/$B$18,$B$17,1)))</f>
        <v>0.865218344678954</v>
      </c>
      <c r="F918" s="21" t="n">
        <f aca="false">IF(B918="","",IF(B918&lt;$B$19,0.5*EXP((B918-$B$19)/$B$20),1-0.5*EXP(-(B918-$B$19)/$B$20)))</f>
        <v>0.878340156073175</v>
      </c>
      <c r="G918" s="21" t="n">
        <f aca="false">IF(B918="","",1/(1+EXP(-(B918-$B$15)/$B$21)))</f>
        <v>0.862698094760457</v>
      </c>
      <c r="H918" s="21" t="n">
        <f aca="false">IF(B918="","",MAX(ABS($A918/$B$6-D918),ABS(($A918-1)/$B$6-D918)))</f>
        <v>0.0374637468959059</v>
      </c>
      <c r="I918" s="21" t="n">
        <f aca="false">IF(B918="","",MAX(ABS($A918/$B$6-E918),ABS(($A918-1)/$B$6-E918)))</f>
        <v>0.0167816553210456</v>
      </c>
      <c r="J918" s="21" t="n">
        <f aca="false">IF(B918="","",MAX(ABS($A918/$B$6-F918),ABS(($A918-1)/$B$6-F918)))</f>
        <v>0.00365984392682484</v>
      </c>
      <c r="K918" s="21" t="n">
        <f aca="false">IF(B918="","",MAX(ABS($A918/$B$6-G918),ABS(($A918-1)/$B$6-G918)))</f>
        <v>0.0193019052395435</v>
      </c>
    </row>
    <row r="919" customFormat="false" ht="15" hidden="false" customHeight="false" outlineLevel="0" collapsed="false">
      <c r="A919" s="11" t="n">
        <v>883</v>
      </c>
      <c r="B919" s="9" t="n">
        <f aca="false">IF(A919&gt;$B$6,"",SMALL(BTC_Data!$C$3:$C$1002,A919))</f>
        <v>0.00128726836425108</v>
      </c>
      <c r="C919" s="21" t="n">
        <f aca="false">IF(B919="","",A919/$B$6)</f>
        <v>0.883</v>
      </c>
      <c r="D919" s="21" t="n">
        <f aca="false">IF(B919="","",NORMDIST(B919,$B$15,$B$16,TRUE()))</f>
        <v>0.846188250287478</v>
      </c>
      <c r="E919" s="21" t="n">
        <f aca="false">IF(B919="","",IF(B919&gt;=$B$15,1-TDIST((B919-$B$15)/$B$18,$B$17,1),TDIST(($B$15-B919)/$B$18,$B$17,1)))</f>
        <v>0.866709832688408</v>
      </c>
      <c r="F919" s="21" t="n">
        <f aca="false">IF(B919="","",IF(B919&lt;$B$19,0.5*EXP((B919-$B$19)/$B$20),1-0.5*EXP(-(B919-$B$19)/$B$20)))</f>
        <v>0.879514917472491</v>
      </c>
      <c r="G919" s="21" t="n">
        <f aca="false">IF(B919="","",1/(1+EXP(-(B919-$B$15)/$B$21)))</f>
        <v>0.864183076969724</v>
      </c>
      <c r="H919" s="21" t="n">
        <f aca="false">IF(B919="","",MAX(ABS($A919/$B$6-D919),ABS(($A919-1)/$B$6-D919)))</f>
        <v>0.0368117497125218</v>
      </c>
      <c r="I919" s="21" t="n">
        <f aca="false">IF(B919="","",MAX(ABS($A919/$B$6-E919),ABS(($A919-1)/$B$6-E919)))</f>
        <v>0.0162901673115919</v>
      </c>
      <c r="J919" s="21" t="n">
        <f aca="false">IF(B919="","",MAX(ABS($A919/$B$6-F919),ABS(($A919-1)/$B$6-F919)))</f>
        <v>0.00348508252750923</v>
      </c>
      <c r="K919" s="21" t="n">
        <f aca="false">IF(B919="","",MAX(ABS($A919/$B$6-G919),ABS(($A919-1)/$B$6-G919)))</f>
        <v>0.0188169230302757</v>
      </c>
    </row>
    <row r="920" customFormat="false" ht="15" hidden="false" customHeight="false" outlineLevel="0" collapsed="false">
      <c r="A920" s="11" t="n">
        <v>884</v>
      </c>
      <c r="B920" s="9" t="n">
        <f aca="false">IF(A920&gt;$B$6,"",SMALL(BTC_Data!$C$3:$C$1002,A920))</f>
        <v>0.00129220394371221</v>
      </c>
      <c r="C920" s="21" t="n">
        <f aca="false">IF(B920="","",A920/$B$6)</f>
        <v>0.884</v>
      </c>
      <c r="D920" s="21" t="n">
        <f aca="false">IF(B920="","",NORMDIST(B920,$B$15,$B$16,TRUE()))</f>
        <v>0.847105437250163</v>
      </c>
      <c r="E920" s="21" t="n">
        <f aca="false">IF(B920="","",IF(B920&gt;=$B$15,1-TDIST((B920-$B$15)/$B$18,$B$17,1),TDIST(($B$15-B920)/$B$18,$B$17,1)))</f>
        <v>0.86753642271546</v>
      </c>
      <c r="F920" s="21" t="n">
        <f aca="false">IF(B920="","",IF(B920&lt;$B$19,0.5*EXP((B920-$B$19)/$B$20),1-0.5*EXP(-(B920-$B$19)/$B$20)))</f>
        <v>0.88016580965178</v>
      </c>
      <c r="G920" s="21" t="n">
        <f aca="false">IF(B920="","",1/(1+EXP(-(B920-$B$15)/$B$21)))</f>
        <v>0.865006194621358</v>
      </c>
      <c r="H920" s="21" t="n">
        <f aca="false">IF(B920="","",MAX(ABS($A920/$B$6-D920),ABS(($A920-1)/$B$6-D920)))</f>
        <v>0.0368945627498375</v>
      </c>
      <c r="I920" s="21" t="n">
        <f aca="false">IF(B920="","",MAX(ABS($A920/$B$6-E920),ABS(($A920-1)/$B$6-E920)))</f>
        <v>0.01646357728454</v>
      </c>
      <c r="J920" s="21" t="n">
        <f aca="false">IF(B920="","",MAX(ABS($A920/$B$6-F920),ABS(($A920-1)/$B$6-F920)))</f>
        <v>0.00383419034821964</v>
      </c>
      <c r="K920" s="21" t="n">
        <f aca="false">IF(B920="","",MAX(ABS($A920/$B$6-G920),ABS(($A920-1)/$B$6-G920)))</f>
        <v>0.0189938053786424</v>
      </c>
    </row>
    <row r="921" customFormat="false" ht="15" hidden="false" customHeight="false" outlineLevel="0" collapsed="false">
      <c r="A921" s="11" t="n">
        <v>885</v>
      </c>
      <c r="B921" s="9" t="n">
        <f aca="false">IF(A921&gt;$B$6,"",SMALL(BTC_Data!$C$3:$C$1002,A921))</f>
        <v>0.00131604665929141</v>
      </c>
      <c r="C921" s="21" t="n">
        <f aca="false">IF(B921="","",A921/$B$6)</f>
        <v>0.885</v>
      </c>
      <c r="D921" s="21" t="n">
        <f aca="false">IF(B921="","",NORMDIST(B921,$B$15,$B$16,TRUE()))</f>
        <v>0.851485005975748</v>
      </c>
      <c r="E921" s="21" t="n">
        <f aca="false">IF(B921="","",IF(B921&gt;=$B$15,1-TDIST((B921-$B$15)/$B$18,$B$17,1),TDIST(($B$15-B921)/$B$18,$B$17,1)))</f>
        <v>0.87146875728547</v>
      </c>
      <c r="F921" s="21" t="n">
        <f aca="false">IF(B921="","",IF(B921&lt;$B$19,0.5*EXP((B921-$B$19)/$B$20),1-0.5*EXP(-(B921-$B$19)/$B$20)))</f>
        <v>0.883260947004813</v>
      </c>
      <c r="G921" s="21" t="n">
        <f aca="false">IF(B921="","",1/(1+EXP(-(B921-$B$15)/$B$21)))</f>
        <v>0.868923369998695</v>
      </c>
      <c r="H921" s="21" t="n">
        <f aca="false">IF(B921="","",MAX(ABS($A921/$B$6-D921),ABS(($A921-1)/$B$6-D921)))</f>
        <v>0.0335149940242524</v>
      </c>
      <c r="I921" s="21" t="n">
        <f aca="false">IF(B921="","",MAX(ABS($A921/$B$6-E921),ABS(($A921-1)/$B$6-E921)))</f>
        <v>0.0135312427145301</v>
      </c>
      <c r="J921" s="21" t="n">
        <f aca="false">IF(B921="","",MAX(ABS($A921/$B$6-F921),ABS(($A921-1)/$B$6-F921)))</f>
        <v>0.00173905299518662</v>
      </c>
      <c r="K921" s="21" t="n">
        <f aca="false">IF(B921="","",MAX(ABS($A921/$B$6-G921),ABS(($A921-1)/$B$6-G921)))</f>
        <v>0.016076630001305</v>
      </c>
    </row>
    <row r="922" customFormat="false" ht="15" hidden="false" customHeight="false" outlineLevel="0" collapsed="false">
      <c r="A922" s="11" t="n">
        <v>886</v>
      </c>
      <c r="B922" s="9" t="n">
        <f aca="false">IF(A922&gt;$B$6,"",SMALL(BTC_Data!$C$3:$C$1002,A922))</f>
        <v>0.00133374984284229</v>
      </c>
      <c r="C922" s="21" t="n">
        <f aca="false">IF(B922="","",A922/$B$6)</f>
        <v>0.886</v>
      </c>
      <c r="D922" s="21" t="n">
        <f aca="false">IF(B922="","",NORMDIST(B922,$B$15,$B$16,TRUE()))</f>
        <v>0.854682034805454</v>
      </c>
      <c r="E922" s="21" t="n">
        <f aca="false">IF(B922="","",IF(B922&gt;=$B$15,1-TDIST((B922-$B$15)/$B$18,$B$17,1),TDIST(($B$15-B922)/$B$18,$B$17,1)))</f>
        <v>0.874323983003184</v>
      </c>
      <c r="F922" s="21" t="n">
        <f aca="false">IF(B922="","",IF(B922&lt;$B$19,0.5*EXP((B922-$B$19)/$B$20),1-0.5*EXP(-(B922-$B$19)/$B$20)))</f>
        <v>0.885507251562659</v>
      </c>
      <c r="G922" s="21" t="n">
        <f aca="false">IF(B922="","",1/(1+EXP(-(B922-$B$15)/$B$21)))</f>
        <v>0.871769075094228</v>
      </c>
      <c r="H922" s="21" t="n">
        <f aca="false">IF(B922="","",MAX(ABS($A922/$B$6-D922),ABS(($A922-1)/$B$6-D922)))</f>
        <v>0.0313179651945461</v>
      </c>
      <c r="I922" s="21" t="n">
        <f aca="false">IF(B922="","",MAX(ABS($A922/$B$6-E922),ABS(($A922-1)/$B$6-E922)))</f>
        <v>0.0116760169968162</v>
      </c>
      <c r="J922" s="21" t="n">
        <f aca="false">IF(B922="","",MAX(ABS($A922/$B$6-F922),ABS(($A922-1)/$B$6-F922)))</f>
        <v>0.000507251562659183</v>
      </c>
      <c r="K922" s="21" t="n">
        <f aca="false">IF(B922="","",MAX(ABS($A922/$B$6-G922),ABS(($A922-1)/$B$6-G922)))</f>
        <v>0.0142309249057725</v>
      </c>
    </row>
    <row r="923" customFormat="false" ht="15" hidden="false" customHeight="false" outlineLevel="0" collapsed="false">
      <c r="A923" s="11" t="n">
        <v>887</v>
      </c>
      <c r="B923" s="9" t="n">
        <f aca="false">IF(A923&gt;$B$6,"",SMALL(BTC_Data!$C$3:$C$1002,A923))</f>
        <v>0.00133498068806626</v>
      </c>
      <c r="C923" s="21" t="n">
        <f aca="false">IF(B923="","",A923/$B$6)</f>
        <v>0.887</v>
      </c>
      <c r="D923" s="21" t="n">
        <f aca="false">IF(B923="","",NORMDIST(B923,$B$15,$B$16,TRUE()))</f>
        <v>0.854902579396313</v>
      </c>
      <c r="E923" s="21" t="n">
        <f aca="false">IF(B923="","",IF(B923&gt;=$B$15,1-TDIST((B923-$B$15)/$B$18,$B$17,1),TDIST(($B$15-B923)/$B$18,$B$17,1)))</f>
        <v>0.874520470348291</v>
      </c>
      <c r="F923" s="21" t="n">
        <f aca="false">IF(B923="","",IF(B923&lt;$B$19,0.5*EXP((B923-$B$19)/$B$20),1-0.5*EXP(-(B923-$B$19)/$B$20)))</f>
        <v>0.885661813118301</v>
      </c>
      <c r="G923" s="21" t="n">
        <f aca="false">IF(B923="","",1/(1+EXP(-(B923-$B$15)/$B$21)))</f>
        <v>0.871964955539365</v>
      </c>
      <c r="H923" s="21" t="n">
        <f aca="false">IF(B923="","",MAX(ABS($A923/$B$6-D923),ABS(($A923-1)/$B$6-D923)))</f>
        <v>0.0320974206036875</v>
      </c>
      <c r="I923" s="21" t="n">
        <f aca="false">IF(B923="","",MAX(ABS($A923/$B$6-E923),ABS(($A923-1)/$B$6-E923)))</f>
        <v>0.0124795296517087</v>
      </c>
      <c r="J923" s="21" t="n">
        <f aca="false">IF(B923="","",MAX(ABS($A923/$B$6-F923),ABS(($A923-1)/$B$6-F923)))</f>
        <v>0.00133818688169862</v>
      </c>
      <c r="K923" s="21" t="n">
        <f aca="false">IF(B923="","",MAX(ABS($A923/$B$6-G923),ABS(($A923-1)/$B$6-G923)))</f>
        <v>0.015035044460635</v>
      </c>
    </row>
    <row r="924" customFormat="false" ht="15" hidden="false" customHeight="false" outlineLevel="0" collapsed="false">
      <c r="A924" s="11" t="n">
        <v>888</v>
      </c>
      <c r="B924" s="9" t="n">
        <f aca="false">IF(A924&gt;$B$6,"",SMALL(BTC_Data!$C$3:$C$1002,A924))</f>
        <v>0.00134305495766651</v>
      </c>
      <c r="C924" s="21" t="n">
        <f aca="false">IF(B924="","",A924/$B$6)</f>
        <v>0.888</v>
      </c>
      <c r="D924" s="21" t="n">
        <f aca="false">IF(B924="","",NORMDIST(B924,$B$15,$B$16,TRUE()))</f>
        <v>0.856343750882252</v>
      </c>
      <c r="E924" s="21" t="n">
        <f aca="false">IF(B924="","",IF(B924&gt;=$B$15,1-TDIST((B924-$B$15)/$B$18,$B$17,1),TDIST(($B$15-B924)/$B$18,$B$17,1)))</f>
        <v>0.875802915526777</v>
      </c>
      <c r="F924" s="21" t="n">
        <f aca="false">IF(B924="","",IF(B924&lt;$B$19,0.5*EXP((B924-$B$19)/$B$20),1-0.5*EXP(-(B924-$B$19)/$B$20)))</f>
        <v>0.886670566580251</v>
      </c>
      <c r="G924" s="21" t="n">
        <f aca="false">IF(B924="","",1/(1+EXP(-(B924-$B$15)/$B$21)))</f>
        <v>0.873243596944794</v>
      </c>
      <c r="H924" s="21" t="n">
        <f aca="false">IF(B924="","",MAX(ABS($A924/$B$6-D924),ABS(($A924-1)/$B$6-D924)))</f>
        <v>0.0316562491177486</v>
      </c>
      <c r="I924" s="21" t="n">
        <f aca="false">IF(B924="","",MAX(ABS($A924/$B$6-E924),ABS(($A924-1)/$B$6-E924)))</f>
        <v>0.0121970844732233</v>
      </c>
      <c r="J924" s="21" t="n">
        <f aca="false">IF(B924="","",MAX(ABS($A924/$B$6-F924),ABS(($A924-1)/$B$6-F924)))</f>
        <v>0.001329433419749</v>
      </c>
      <c r="K924" s="21" t="n">
        <f aca="false">IF(B924="","",MAX(ABS($A924/$B$6-G924),ABS(($A924-1)/$B$6-G924)))</f>
        <v>0.014756403055206</v>
      </c>
    </row>
    <row r="925" customFormat="false" ht="15" hidden="false" customHeight="false" outlineLevel="0" collapsed="false">
      <c r="A925" s="11" t="n">
        <v>889</v>
      </c>
      <c r="B925" s="9" t="n">
        <f aca="false">IF(A925&gt;$B$6,"",SMALL(BTC_Data!$C$3:$C$1002,A925))</f>
        <v>0.00134640401351049</v>
      </c>
      <c r="C925" s="21" t="n">
        <f aca="false">IF(B925="","",A925/$B$6)</f>
        <v>0.889</v>
      </c>
      <c r="D925" s="21" t="n">
        <f aca="false">IF(B925="","",NORMDIST(B925,$B$15,$B$16,TRUE()))</f>
        <v>0.85693867774557</v>
      </c>
      <c r="E925" s="21" t="n">
        <f aca="false">IF(B925="","",IF(B925&gt;=$B$15,1-TDIST((B925-$B$15)/$B$18,$B$17,1),TDIST(($B$15-B925)/$B$18,$B$17,1)))</f>
        <v>0.876331548703068</v>
      </c>
      <c r="F925" s="21" t="n">
        <f aca="false">IF(B925="","",IF(B925&lt;$B$19,0.5*EXP((B925-$B$19)/$B$20),1-0.5*EXP(-(B925-$B$19)/$B$20)))</f>
        <v>0.887086362815233</v>
      </c>
      <c r="G925" s="21" t="n">
        <f aca="false">IF(B925="","",1/(1+EXP(-(B925-$B$15)/$B$21)))</f>
        <v>0.873770742736107</v>
      </c>
      <c r="H925" s="21" t="n">
        <f aca="false">IF(B925="","",MAX(ABS($A925/$B$6-D925),ABS(($A925-1)/$B$6-D925)))</f>
        <v>0.0320613222544297</v>
      </c>
      <c r="I925" s="21" t="n">
        <f aca="false">IF(B925="","",MAX(ABS($A925/$B$6-E925),ABS(($A925-1)/$B$6-E925)))</f>
        <v>0.0126684512969316</v>
      </c>
      <c r="J925" s="21" t="n">
        <f aca="false">IF(B925="","",MAX(ABS($A925/$B$6-F925),ABS(($A925-1)/$B$6-F925)))</f>
        <v>0.00191363718476678</v>
      </c>
      <c r="K925" s="21" t="n">
        <f aca="false">IF(B925="","",MAX(ABS($A925/$B$6-G925),ABS(($A925-1)/$B$6-G925)))</f>
        <v>0.0152292572638933</v>
      </c>
    </row>
    <row r="926" customFormat="false" ht="15" hidden="false" customHeight="false" outlineLevel="0" collapsed="false">
      <c r="A926" s="11" t="n">
        <v>890</v>
      </c>
      <c r="B926" s="9" t="n">
        <f aca="false">IF(A926&gt;$B$6,"",SMALL(BTC_Data!$C$3:$C$1002,A926))</f>
        <v>0.00135990396178221</v>
      </c>
      <c r="C926" s="21" t="n">
        <f aca="false">IF(B926="","",A926/$B$6)</f>
        <v>0.89</v>
      </c>
      <c r="D926" s="21" t="n">
        <f aca="false">IF(B926="","",NORMDIST(B926,$B$15,$B$16,TRUE()))</f>
        <v>0.859319915480677</v>
      </c>
      <c r="E926" s="21" t="n">
        <f aca="false">IF(B926="","",IF(B926&gt;=$B$15,1-TDIST((B926-$B$15)/$B$18,$B$17,1),TDIST(($B$15-B926)/$B$18,$B$17,1)))</f>
        <v>0.878442929393873</v>
      </c>
      <c r="F926" s="21" t="n">
        <f aca="false">IF(B926="","",IF(B926&lt;$B$19,0.5*EXP((B926-$B$19)/$B$20),1-0.5*EXP(-(B926-$B$19)/$B$20)))</f>
        <v>0.888747014209792</v>
      </c>
      <c r="G926" s="21" t="n">
        <f aca="false">IF(B926="","",1/(1+EXP(-(B926-$B$15)/$B$21)))</f>
        <v>0.875876664715587</v>
      </c>
      <c r="H926" s="21" t="n">
        <f aca="false">IF(B926="","",MAX(ABS($A926/$B$6-D926),ABS(($A926-1)/$B$6-D926)))</f>
        <v>0.030680084519323</v>
      </c>
      <c r="I926" s="21" t="n">
        <f aca="false">IF(B926="","",MAX(ABS($A926/$B$6-E926),ABS(($A926-1)/$B$6-E926)))</f>
        <v>0.0115570706061273</v>
      </c>
      <c r="J926" s="21" t="n">
        <f aca="false">IF(B926="","",MAX(ABS($A926/$B$6-F926),ABS(($A926-1)/$B$6-F926)))</f>
        <v>0.00125298579020761</v>
      </c>
      <c r="K926" s="21" t="n">
        <f aca="false">IF(B926="","",MAX(ABS($A926/$B$6-G926),ABS(($A926-1)/$B$6-G926)))</f>
        <v>0.0141233352844136</v>
      </c>
    </row>
    <row r="927" customFormat="false" ht="15" hidden="false" customHeight="false" outlineLevel="0" collapsed="false">
      <c r="A927" s="11" t="n">
        <v>891</v>
      </c>
      <c r="B927" s="9" t="n">
        <f aca="false">IF(A927&gt;$B$6,"",SMALL(BTC_Data!$C$3:$C$1002,A927))</f>
        <v>0.00136287581228767</v>
      </c>
      <c r="C927" s="21" t="n">
        <f aca="false">IF(B927="","",A927/$B$6)</f>
        <v>0.891</v>
      </c>
      <c r="D927" s="21" t="n">
        <f aca="false">IF(B927="","",NORMDIST(B927,$B$15,$B$16,TRUE()))</f>
        <v>0.859840482760684</v>
      </c>
      <c r="E927" s="21" t="n">
        <f aca="false">IF(B927="","",IF(B927&gt;=$B$15,1-TDIST((B927-$B$15)/$B$18,$B$17,1),TDIST(($B$15-B927)/$B$18,$B$17,1)))</f>
        <v>0.878903540109923</v>
      </c>
      <c r="F927" s="21" t="n">
        <f aca="false">IF(B927="","",IF(B927&lt;$B$19,0.5*EXP((B927-$B$19)/$B$20),1-0.5*EXP(-(B927-$B$19)/$B$20)))</f>
        <v>0.889109293847868</v>
      </c>
      <c r="G927" s="21" t="n">
        <f aca="false">IF(B927="","",1/(1+EXP(-(B927-$B$15)/$B$21)))</f>
        <v>0.876336189232466</v>
      </c>
      <c r="H927" s="21" t="n">
        <f aca="false">IF(B927="","",MAX(ABS($A927/$B$6-D927),ABS(($A927-1)/$B$6-D927)))</f>
        <v>0.031159517239316</v>
      </c>
      <c r="I927" s="21" t="n">
        <f aca="false">IF(B927="","",MAX(ABS($A927/$B$6-E927),ABS(($A927-1)/$B$6-E927)))</f>
        <v>0.012096459890077</v>
      </c>
      <c r="J927" s="21" t="n">
        <f aca="false">IF(B927="","",MAX(ABS($A927/$B$6-F927),ABS(($A927-1)/$B$6-F927)))</f>
        <v>0.00189070615213238</v>
      </c>
      <c r="K927" s="21" t="n">
        <f aca="false">IF(B927="","",MAX(ABS($A927/$B$6-G927),ABS(($A927-1)/$B$6-G927)))</f>
        <v>0.0146638107675344</v>
      </c>
    </row>
    <row r="928" customFormat="false" ht="15" hidden="false" customHeight="false" outlineLevel="0" collapsed="false">
      <c r="A928" s="11" t="n">
        <v>892</v>
      </c>
      <c r="B928" s="9" t="n">
        <f aca="false">IF(A928&gt;$B$6,"",SMALL(BTC_Data!$C$3:$C$1002,A928))</f>
        <v>0.00136922619695712</v>
      </c>
      <c r="C928" s="21" t="n">
        <f aca="false">IF(B928="","",A928/$B$6)</f>
        <v>0.892</v>
      </c>
      <c r="D928" s="21" t="n">
        <f aca="false">IF(B928="","",NORMDIST(B928,$B$15,$B$16,TRUE()))</f>
        <v>0.860948464286287</v>
      </c>
      <c r="E928" s="21" t="n">
        <f aca="false">IF(B928="","",IF(B928&gt;=$B$15,1-TDIST((B928-$B$15)/$B$18,$B$17,1),TDIST(($B$15-B928)/$B$18,$B$17,1)))</f>
        <v>0.879882758470524</v>
      </c>
      <c r="F928" s="21" t="n">
        <f aca="false">IF(B928="","",IF(B928&lt;$B$19,0.5*EXP((B928-$B$19)/$B$20),1-0.5*EXP(-(B928-$B$19)/$B$20)))</f>
        <v>0.889879480475464</v>
      </c>
      <c r="G928" s="21" t="n">
        <f aca="false">IF(B928="","",1/(1+EXP(-(B928-$B$15)/$B$21)))</f>
        <v>0.87731322605807</v>
      </c>
      <c r="H928" s="21" t="n">
        <f aca="false">IF(B928="","",MAX(ABS($A928/$B$6-D928),ABS(($A928-1)/$B$6-D928)))</f>
        <v>0.0310515357137134</v>
      </c>
      <c r="I928" s="21" t="n">
        <f aca="false">IF(B928="","",MAX(ABS($A928/$B$6-E928),ABS(($A928-1)/$B$6-E928)))</f>
        <v>0.0121172415294762</v>
      </c>
      <c r="J928" s="21" t="n">
        <f aca="false">IF(B928="","",MAX(ABS($A928/$B$6-F928),ABS(($A928-1)/$B$6-F928)))</f>
        <v>0.00212051952453629</v>
      </c>
      <c r="K928" s="21" t="n">
        <f aca="false">IF(B928="","",MAX(ABS($A928/$B$6-G928),ABS(($A928-1)/$B$6-G928)))</f>
        <v>0.0146867739419304</v>
      </c>
    </row>
    <row r="929" customFormat="false" ht="15" hidden="false" customHeight="false" outlineLevel="0" collapsed="false">
      <c r="A929" s="11" t="n">
        <v>893</v>
      </c>
      <c r="B929" s="9" t="n">
        <f aca="false">IF(A929&gt;$B$6,"",SMALL(BTC_Data!$C$3:$C$1002,A929))</f>
        <v>0.00137653963719298</v>
      </c>
      <c r="C929" s="21" t="n">
        <f aca="false">IF(B929="","",A929/$B$6)</f>
        <v>0.893</v>
      </c>
      <c r="D929" s="21" t="n">
        <f aca="false">IF(B929="","",NORMDIST(B929,$B$15,$B$16,TRUE()))</f>
        <v>0.862217069117553</v>
      </c>
      <c r="E929" s="21" t="n">
        <f aca="false">IF(B929="","",IF(B929&gt;=$B$15,1-TDIST((B929-$B$15)/$B$18,$B$17,1),TDIST(($B$15-B929)/$B$18,$B$17,1)))</f>
        <v>0.881002009142686</v>
      </c>
      <c r="F929" s="21" t="n">
        <f aca="false">IF(B929="","",IF(B929&lt;$B$19,0.5*EXP((B929-$B$19)/$B$20),1-0.5*EXP(-(B929-$B$19)/$B$20)))</f>
        <v>0.890759842960646</v>
      </c>
      <c r="G929" s="21" t="n">
        <f aca="false">IF(B929="","",1/(1+EXP(-(B929-$B$15)/$B$21)))</f>
        <v>0.87843019962234</v>
      </c>
      <c r="H929" s="21" t="n">
        <f aca="false">IF(B929="","",MAX(ABS($A929/$B$6-D929),ABS(($A929-1)/$B$6-D929)))</f>
        <v>0.030782930882447</v>
      </c>
      <c r="I929" s="21" t="n">
        <f aca="false">IF(B929="","",MAX(ABS($A929/$B$6-E929),ABS(($A929-1)/$B$6-E929)))</f>
        <v>0.0119979908573137</v>
      </c>
      <c r="J929" s="21" t="n">
        <f aca="false">IF(B929="","",MAX(ABS($A929/$B$6-F929),ABS(($A929-1)/$B$6-F929)))</f>
        <v>0.00224015703935399</v>
      </c>
      <c r="K929" s="21" t="n">
        <f aca="false">IF(B929="","",MAX(ABS($A929/$B$6-G929),ABS(($A929-1)/$B$6-G929)))</f>
        <v>0.0145698003776604</v>
      </c>
    </row>
    <row r="930" customFormat="false" ht="15" hidden="false" customHeight="false" outlineLevel="0" collapsed="false">
      <c r="A930" s="11" t="n">
        <v>894</v>
      </c>
      <c r="B930" s="9" t="n">
        <f aca="false">IF(A930&gt;$B$6,"",SMALL(BTC_Data!$C$3:$C$1002,A930))</f>
        <v>0.00138861368530696</v>
      </c>
      <c r="C930" s="21" t="n">
        <f aca="false">IF(B930="","",A930/$B$6)</f>
        <v>0.894</v>
      </c>
      <c r="D930" s="21" t="n">
        <f aca="false">IF(B930="","",NORMDIST(B930,$B$15,$B$16,TRUE()))</f>
        <v>0.864294131425815</v>
      </c>
      <c r="E930" s="21" t="n">
        <f aca="false">IF(B930="","",IF(B930&gt;=$B$15,1-TDIST((B930-$B$15)/$B$18,$B$17,1),TDIST(($B$15-B930)/$B$18,$B$17,1)))</f>
        <v>0.882830097395108</v>
      </c>
      <c r="F930" s="21" t="n">
        <f aca="false">IF(B930="","",IF(B930&lt;$B$19,0.5*EXP((B930-$B$19)/$B$20),1-0.5*EXP(-(B930-$B$19)/$B$20)))</f>
        <v>0.892197893741366</v>
      </c>
      <c r="G930" s="21" t="n">
        <f aca="false">IF(B930="","",1/(1+EXP(-(B930-$B$15)/$B$21)))</f>
        <v>0.880255078644752</v>
      </c>
      <c r="H930" s="21" t="n">
        <f aca="false">IF(B930="","",MAX(ABS($A930/$B$6-D930),ABS(($A930-1)/$B$6-D930)))</f>
        <v>0.029705868574185</v>
      </c>
      <c r="I930" s="21" t="n">
        <f aca="false">IF(B930="","",MAX(ABS($A930/$B$6-E930),ABS(($A930-1)/$B$6-E930)))</f>
        <v>0.0111699026048923</v>
      </c>
      <c r="J930" s="21" t="n">
        <f aca="false">IF(B930="","",MAX(ABS($A930/$B$6-F930),ABS(($A930-1)/$B$6-F930)))</f>
        <v>0.00180210625863431</v>
      </c>
      <c r="K930" s="21" t="n">
        <f aca="false">IF(B930="","",MAX(ABS($A930/$B$6-G930),ABS(($A930-1)/$B$6-G930)))</f>
        <v>0.0137449213552477</v>
      </c>
    </row>
    <row r="931" customFormat="false" ht="15" hidden="false" customHeight="false" outlineLevel="0" collapsed="false">
      <c r="A931" s="11" t="n">
        <v>895</v>
      </c>
      <c r="B931" s="9" t="n">
        <f aca="false">IF(A931&gt;$B$6,"",SMALL(BTC_Data!$C$3:$C$1002,A931))</f>
        <v>0.00139136434313292</v>
      </c>
      <c r="C931" s="21" t="n">
        <f aca="false">IF(B931="","",A931/$B$6)</f>
        <v>0.895</v>
      </c>
      <c r="D931" s="21" t="n">
        <f aca="false">IF(B931="","",NORMDIST(B931,$B$15,$B$16,TRUE()))</f>
        <v>0.864764303522463</v>
      </c>
      <c r="E931" s="21" t="n">
        <f aca="false">IF(B931="","",IF(B931&gt;=$B$15,1-TDIST((B931-$B$15)/$B$18,$B$17,1),TDIST(($B$15-B931)/$B$18,$B$17,1)))</f>
        <v>0.883243145094954</v>
      </c>
      <c r="F931" s="21" t="n">
        <f aca="false">IF(B931="","",IF(B931&lt;$B$19,0.5*EXP((B931-$B$19)/$B$20),1-0.5*EXP(-(B931-$B$19)/$B$20)))</f>
        <v>0.892522847671364</v>
      </c>
      <c r="G931" s="21" t="n">
        <f aca="false">IF(B931="","",1/(1+EXP(-(B931-$B$15)/$B$21)))</f>
        <v>0.880667490895664</v>
      </c>
      <c r="H931" s="21" t="n">
        <f aca="false">IF(B931="","",MAX(ABS($A931/$B$6-D931),ABS(($A931-1)/$B$6-D931)))</f>
        <v>0.0302356964775369</v>
      </c>
      <c r="I931" s="21" t="n">
        <f aca="false">IF(B931="","",MAX(ABS($A931/$B$6-E931),ABS(($A931-1)/$B$6-E931)))</f>
        <v>0.0117568549050465</v>
      </c>
      <c r="J931" s="21" t="n">
        <f aca="false">IF(B931="","",MAX(ABS($A931/$B$6-F931),ABS(($A931-1)/$B$6-F931)))</f>
        <v>0.0024771523286361</v>
      </c>
      <c r="K931" s="21" t="n">
        <f aca="false">IF(B931="","",MAX(ABS($A931/$B$6-G931),ABS(($A931-1)/$B$6-G931)))</f>
        <v>0.0143325091043364</v>
      </c>
    </row>
    <row r="932" customFormat="false" ht="15" hidden="false" customHeight="false" outlineLevel="0" collapsed="false">
      <c r="A932" s="11" t="n">
        <v>896</v>
      </c>
      <c r="B932" s="9" t="n">
        <f aca="false">IF(A932&gt;$B$6,"",SMALL(BTC_Data!$C$3:$C$1002,A932))</f>
        <v>0.00141004577815607</v>
      </c>
      <c r="C932" s="21" t="n">
        <f aca="false">IF(B932="","",A932/$B$6)</f>
        <v>0.896</v>
      </c>
      <c r="D932" s="21" t="n">
        <f aca="false">IF(B932="","",NORMDIST(B932,$B$15,$B$16,TRUE()))</f>
        <v>0.867927979966416</v>
      </c>
      <c r="E932" s="21" t="n">
        <f aca="false">IF(B932="","",IF(B932&gt;=$B$15,1-TDIST((B932-$B$15)/$B$18,$B$17,1),TDIST(($B$15-B932)/$B$18,$B$17,1)))</f>
        <v>0.886015088896345</v>
      </c>
      <c r="F932" s="21" t="n">
        <f aca="false">IF(B932="","",IF(B932&lt;$B$19,0.5*EXP((B932-$B$19)/$B$20),1-0.5*EXP(-(B932-$B$19)/$B$20)))</f>
        <v>0.894704045817742</v>
      </c>
      <c r="G932" s="21" t="n">
        <f aca="false">IF(B932="","",1/(1+EXP(-(B932-$B$15)/$B$21)))</f>
        <v>0.883436055215384</v>
      </c>
      <c r="H932" s="21" t="n">
        <f aca="false">IF(B932="","",MAX(ABS($A932/$B$6-D932),ABS(($A932-1)/$B$6-D932)))</f>
        <v>0.0280720200335837</v>
      </c>
      <c r="I932" s="21" t="n">
        <f aca="false">IF(B932="","",MAX(ABS($A932/$B$6-E932),ABS(($A932-1)/$B$6-E932)))</f>
        <v>0.00998491110365496</v>
      </c>
      <c r="J932" s="21" t="n">
        <f aca="false">IF(B932="","",MAX(ABS($A932/$B$6-F932),ABS(($A932-1)/$B$6-F932)))</f>
        <v>0.00129595418225825</v>
      </c>
      <c r="K932" s="21" t="n">
        <f aca="false">IF(B932="","",MAX(ABS($A932/$B$6-G932),ABS(($A932-1)/$B$6-G932)))</f>
        <v>0.0125639447846162</v>
      </c>
    </row>
    <row r="933" customFormat="false" ht="15" hidden="false" customHeight="false" outlineLevel="0" collapsed="false">
      <c r="A933" s="11" t="n">
        <v>897</v>
      </c>
      <c r="B933" s="9" t="n">
        <f aca="false">IF(A933&gt;$B$6,"",SMALL(BTC_Data!$C$3:$C$1002,A933))</f>
        <v>0.00141425775639537</v>
      </c>
      <c r="C933" s="21" t="n">
        <f aca="false">IF(B933="","",A933/$B$6)</f>
        <v>0.897</v>
      </c>
      <c r="D933" s="21" t="n">
        <f aca="false">IF(B933="","",NORMDIST(B933,$B$15,$B$16,TRUE()))</f>
        <v>0.868634164763488</v>
      </c>
      <c r="E933" s="21" t="n">
        <f aca="false">IF(B933="","",IF(B933&gt;=$B$15,1-TDIST((B933-$B$15)/$B$18,$B$17,1),TDIST(($B$15-B933)/$B$18,$B$17,1)))</f>
        <v>0.886632082846971</v>
      </c>
      <c r="F933" s="21" t="n">
        <f aca="false">IF(B933="","",IF(B933&lt;$B$19,0.5*EXP((B933-$B$19)/$B$20),1-0.5*EXP(-(B933-$B$19)/$B$20)))</f>
        <v>0.895189678309631</v>
      </c>
      <c r="G933" s="21" t="n">
        <f aca="false">IF(B933="","",1/(1+EXP(-(B933-$B$15)/$B$21)))</f>
        <v>0.88405251205143</v>
      </c>
      <c r="H933" s="21" t="n">
        <f aca="false">IF(B933="","",MAX(ABS($A933/$B$6-D933),ABS(($A933-1)/$B$6-D933)))</f>
        <v>0.0283658352365122</v>
      </c>
      <c r="I933" s="21" t="n">
        <f aca="false">IF(B933="","",MAX(ABS($A933/$B$6-E933),ABS(($A933-1)/$B$6-E933)))</f>
        <v>0.0103679171530288</v>
      </c>
      <c r="J933" s="21" t="n">
        <f aca="false">IF(B933="","",MAX(ABS($A933/$B$6-F933),ABS(($A933-1)/$B$6-F933)))</f>
        <v>0.00181032169036921</v>
      </c>
      <c r="K933" s="21" t="n">
        <f aca="false">IF(B933="","",MAX(ABS($A933/$B$6-G933),ABS(($A933-1)/$B$6-G933)))</f>
        <v>0.0129474879485696</v>
      </c>
    </row>
    <row r="934" customFormat="false" ht="15" hidden="false" customHeight="false" outlineLevel="0" collapsed="false">
      <c r="A934" s="11" t="n">
        <v>898</v>
      </c>
      <c r="B934" s="9" t="n">
        <f aca="false">IF(A934&gt;$B$6,"",SMALL(BTC_Data!$C$3:$C$1002,A934))</f>
        <v>0.00141458560489127</v>
      </c>
      <c r="C934" s="21" t="n">
        <f aca="false">IF(B934="","",A934/$B$6)</f>
        <v>0.898</v>
      </c>
      <c r="D934" s="21" t="n">
        <f aca="false">IF(B934="","",NORMDIST(B934,$B$15,$B$16,TRUE()))</f>
        <v>0.868689022622613</v>
      </c>
      <c r="E934" s="21" t="n">
        <f aca="false">IF(B934="","",IF(B934&gt;=$B$15,1-TDIST((B934-$B$15)/$B$18,$B$17,1),TDIST(($B$15-B934)/$B$18,$B$17,1)))</f>
        <v>0.886679985440245</v>
      </c>
      <c r="F934" s="21" t="n">
        <f aca="false">IF(B934="","",IF(B934&lt;$B$19,0.5*EXP((B934-$B$19)/$B$20),1-0.5*EXP(-(B934-$B$19)/$B$20)))</f>
        <v>0.895227384484655</v>
      </c>
      <c r="G934" s="21" t="n">
        <f aca="false">IF(B934="","",1/(1+EXP(-(B934-$B$15)/$B$21)))</f>
        <v>0.884100376297732</v>
      </c>
      <c r="H934" s="21" t="n">
        <f aca="false">IF(B934="","",MAX(ABS($A934/$B$6-D934),ABS(($A934-1)/$B$6-D934)))</f>
        <v>0.0293109773773875</v>
      </c>
      <c r="I934" s="21" t="n">
        <f aca="false">IF(B934="","",MAX(ABS($A934/$B$6-E934),ABS(($A934-1)/$B$6-E934)))</f>
        <v>0.0113200145597548</v>
      </c>
      <c r="J934" s="21" t="n">
        <f aca="false">IF(B934="","",MAX(ABS($A934/$B$6-F934),ABS(($A934-1)/$B$6-F934)))</f>
        <v>0.00277261551534502</v>
      </c>
      <c r="K934" s="21" t="n">
        <f aca="false">IF(B934="","",MAX(ABS($A934/$B$6-G934),ABS(($A934-1)/$B$6-G934)))</f>
        <v>0.0138996237022679</v>
      </c>
    </row>
    <row r="935" customFormat="false" ht="15" hidden="false" customHeight="false" outlineLevel="0" collapsed="false">
      <c r="A935" s="11" t="n">
        <v>899</v>
      </c>
      <c r="B935" s="9" t="n">
        <f aca="false">IF(A935&gt;$B$6,"",SMALL(BTC_Data!$C$3:$C$1002,A935))</f>
        <v>0.00142186464455829</v>
      </c>
      <c r="C935" s="21" t="n">
        <f aca="false">IF(B935="","",A935/$B$6)</f>
        <v>0.899</v>
      </c>
      <c r="D935" s="21" t="n">
        <f aca="false">IF(B935="","",NORMDIST(B935,$B$15,$B$16,TRUE()))</f>
        <v>0.869902928029911</v>
      </c>
      <c r="E935" s="21" t="n">
        <f aca="false">IF(B935="","",IF(B935&gt;=$B$15,1-TDIST((B935-$B$15)/$B$18,$B$17,1),TDIST(($B$15-B935)/$B$18,$B$17,1)))</f>
        <v>0.887738996696675</v>
      </c>
      <c r="F935" s="21" t="n">
        <f aca="false">IF(B935="","",IF(B935&lt;$B$19,0.5*EXP((B935-$B$19)/$B$20),1-0.5*EXP(-(B935-$B$19)/$B$20)))</f>
        <v>0.896061068776348</v>
      </c>
      <c r="G935" s="21" t="n">
        <f aca="false">IF(B935="","",1/(1+EXP(-(B935-$B$15)/$B$21)))</f>
        <v>0.885158664690755</v>
      </c>
      <c r="H935" s="21" t="n">
        <f aca="false">IF(B935="","",MAX(ABS($A935/$B$6-D935),ABS(($A935-1)/$B$6-D935)))</f>
        <v>0.0290970719700887</v>
      </c>
      <c r="I935" s="21" t="n">
        <f aca="false">IF(B935="","",MAX(ABS($A935/$B$6-E935),ABS(($A935-1)/$B$6-E935)))</f>
        <v>0.0112610033033247</v>
      </c>
      <c r="J935" s="21" t="n">
        <f aca="false">IF(B935="","",MAX(ABS($A935/$B$6-F935),ABS(($A935-1)/$B$6-F935)))</f>
        <v>0.00293893122365174</v>
      </c>
      <c r="K935" s="21" t="n">
        <f aca="false">IF(B935="","",MAX(ABS($A935/$B$6-G935),ABS(($A935-1)/$B$6-G935)))</f>
        <v>0.013841335309245</v>
      </c>
    </row>
    <row r="936" customFormat="false" ht="15" hidden="false" customHeight="false" outlineLevel="0" collapsed="false">
      <c r="A936" s="11" t="n">
        <v>900</v>
      </c>
      <c r="B936" s="9" t="n">
        <f aca="false">IF(A936&gt;$B$6,"",SMALL(BTC_Data!$C$3:$C$1002,A936))</f>
        <v>0.00142218391638949</v>
      </c>
      <c r="C936" s="21" t="n">
        <f aca="false">IF(B936="","",A936/$B$6)</f>
        <v>0.9</v>
      </c>
      <c r="D936" s="21" t="n">
        <f aca="false">IF(B936="","",NORMDIST(B936,$B$15,$B$16,TRUE()))</f>
        <v>0.869955993733514</v>
      </c>
      <c r="E936" s="21" t="n">
        <f aca="false">IF(B936="","",IF(B936&gt;=$B$15,1-TDIST((B936-$B$15)/$B$18,$B$17,1),TDIST(($B$15-B936)/$B$18,$B$17,1)))</f>
        <v>0.887785248148488</v>
      </c>
      <c r="F936" s="21" t="n">
        <f aca="false">IF(B936="","",IF(B936&lt;$B$19,0.5*EXP((B936-$B$19)/$B$20),1-0.5*EXP(-(B936-$B$19)/$B$20)))</f>
        <v>0.896097483424953</v>
      </c>
      <c r="G936" s="21" t="n">
        <f aca="false">IF(B936="","",1/(1+EXP(-(B936-$B$15)/$B$21)))</f>
        <v>0.885204890061579</v>
      </c>
      <c r="H936" s="21" t="n">
        <f aca="false">IF(B936="","",MAX(ABS($A936/$B$6-D936),ABS(($A936-1)/$B$6-D936)))</f>
        <v>0.0300440062664863</v>
      </c>
      <c r="I936" s="21" t="n">
        <f aca="false">IF(B936="","",MAX(ABS($A936/$B$6-E936),ABS(($A936-1)/$B$6-E936)))</f>
        <v>0.0122147518515117</v>
      </c>
      <c r="J936" s="21" t="n">
        <f aca="false">IF(B936="","",MAX(ABS($A936/$B$6-F936),ABS(($A936-1)/$B$6-F936)))</f>
        <v>0.00390251657504714</v>
      </c>
      <c r="K936" s="21" t="n">
        <f aca="false">IF(B936="","",MAX(ABS($A936/$B$6-G936),ABS(($A936-1)/$B$6-G936)))</f>
        <v>0.0147951099384215</v>
      </c>
    </row>
    <row r="937" customFormat="false" ht="15" hidden="false" customHeight="false" outlineLevel="0" collapsed="false">
      <c r="A937" s="11" t="n">
        <v>901</v>
      </c>
      <c r="B937" s="9" t="n">
        <f aca="false">IF(A937&gt;$B$6,"",SMALL(BTC_Data!$C$3:$C$1002,A937))</f>
        <v>0.0014245288793413</v>
      </c>
      <c r="C937" s="21" t="n">
        <f aca="false">IF(B937="","",A937/$B$6)</f>
        <v>0.901</v>
      </c>
      <c r="D937" s="21" t="n">
        <f aca="false">IF(B937="","",NORMDIST(B937,$B$15,$B$16,TRUE()))</f>
        <v>0.870345287487683</v>
      </c>
      <c r="E937" s="21" t="n">
        <f aca="false">IF(B937="","",IF(B937&gt;=$B$15,1-TDIST((B937-$B$15)/$B$18,$B$17,1),TDIST(($B$15-B937)/$B$18,$B$17,1)))</f>
        <v>0.888124441723367</v>
      </c>
      <c r="F937" s="21" t="n">
        <f aca="false">IF(B937="","",IF(B937&lt;$B$19,0.5*EXP((B937-$B$19)/$B$20),1-0.5*EXP(-(B937-$B$19)/$B$20)))</f>
        <v>0.896364548238632</v>
      </c>
      <c r="G937" s="21" t="n">
        <f aca="false">IF(B937="","",1/(1+EXP(-(B937-$B$15)/$B$21)))</f>
        <v>0.88554390654453</v>
      </c>
      <c r="H937" s="21" t="n">
        <f aca="false">IF(B937="","",MAX(ABS($A937/$B$6-D937),ABS(($A937-1)/$B$6-D937)))</f>
        <v>0.0306547125123174</v>
      </c>
      <c r="I937" s="21" t="n">
        <f aca="false">IF(B937="","",MAX(ABS($A937/$B$6-E937),ABS(($A937-1)/$B$6-E937)))</f>
        <v>0.0128755582766327</v>
      </c>
      <c r="J937" s="21" t="n">
        <f aca="false">IF(B937="","",MAX(ABS($A937/$B$6-F937),ABS(($A937-1)/$B$6-F937)))</f>
        <v>0.0046354517613677</v>
      </c>
      <c r="K937" s="21" t="n">
        <f aca="false">IF(B937="","",MAX(ABS($A937/$B$6-G937),ABS(($A937-1)/$B$6-G937)))</f>
        <v>0.0154560934554704</v>
      </c>
    </row>
    <row r="938" customFormat="false" ht="15" hidden="false" customHeight="false" outlineLevel="0" collapsed="false">
      <c r="A938" s="11" t="n">
        <v>902</v>
      </c>
      <c r="B938" s="9" t="n">
        <f aca="false">IF(A938&gt;$B$6,"",SMALL(BTC_Data!$C$3:$C$1002,A938))</f>
        <v>0.00143391194550202</v>
      </c>
      <c r="C938" s="21" t="n">
        <f aca="false">IF(B938="","",A938/$B$6)</f>
        <v>0.902</v>
      </c>
      <c r="D938" s="21" t="n">
        <f aca="false">IF(B938="","",NORMDIST(B938,$B$15,$B$16,TRUE()))</f>
        <v>0.871894915591638</v>
      </c>
      <c r="E938" s="21" t="n">
        <f aca="false">IF(B938="","",IF(B938&gt;=$B$15,1-TDIST((B938-$B$15)/$B$18,$B$17,1),TDIST(($B$15-B938)/$B$18,$B$17,1)))</f>
        <v>0.889472714867091</v>
      </c>
      <c r="F938" s="21" t="n">
        <f aca="false">IF(B938="","",IF(B938&lt;$B$19,0.5*EXP((B938-$B$19)/$B$20),1-0.5*EXP(-(B938-$B$19)/$B$20)))</f>
        <v>0.897426322503081</v>
      </c>
      <c r="G938" s="21" t="n">
        <f aca="false">IF(B938="","",1/(1+EXP(-(B938-$B$15)/$B$21)))</f>
        <v>0.886891725413434</v>
      </c>
      <c r="H938" s="21" t="n">
        <f aca="false">IF(B938="","",MAX(ABS($A938/$B$6-D938),ABS(($A938-1)/$B$6-D938)))</f>
        <v>0.0301050844083622</v>
      </c>
      <c r="I938" s="21" t="n">
        <f aca="false">IF(B938="","",MAX(ABS($A938/$B$6-E938),ABS(($A938-1)/$B$6-E938)))</f>
        <v>0.0125272851329094</v>
      </c>
      <c r="J938" s="21" t="n">
        <f aca="false">IF(B938="","",MAX(ABS($A938/$B$6-F938),ABS(($A938-1)/$B$6-F938)))</f>
        <v>0.00457367749691906</v>
      </c>
      <c r="K938" s="21" t="n">
        <f aca="false">IF(B938="","",MAX(ABS($A938/$B$6-G938),ABS(($A938-1)/$B$6-G938)))</f>
        <v>0.0151082745865662</v>
      </c>
    </row>
    <row r="939" customFormat="false" ht="15" hidden="false" customHeight="false" outlineLevel="0" collapsed="false">
      <c r="A939" s="11" t="n">
        <v>903</v>
      </c>
      <c r="B939" s="9" t="n">
        <f aca="false">IF(A939&gt;$B$6,"",SMALL(BTC_Data!$C$3:$C$1002,A939))</f>
        <v>0.00146339327204026</v>
      </c>
      <c r="C939" s="21" t="n">
        <f aca="false">IF(B939="","",A939/$B$6)</f>
        <v>0.903</v>
      </c>
      <c r="D939" s="21" t="n">
        <f aca="false">IF(B939="","",NORMDIST(B939,$B$15,$B$16,TRUE()))</f>
        <v>0.876679902699405</v>
      </c>
      <c r="E939" s="21" t="n">
        <f aca="false">IF(B939="","",IF(B939&gt;=$B$15,1-TDIST((B939-$B$15)/$B$18,$B$17,1),TDIST(($B$15-B939)/$B$18,$B$17,1)))</f>
        <v>0.893616524444968</v>
      </c>
      <c r="F939" s="21" t="n">
        <f aca="false">IF(B939="","",IF(B939&lt;$B$19,0.5*EXP((B939-$B$19)/$B$20),1-0.5*EXP(-(B939-$B$19)/$B$20)))</f>
        <v>0.900692119215429</v>
      </c>
      <c r="G939" s="21" t="n">
        <f aca="false">IF(B939="","",1/(1+EXP(-(B939-$B$15)/$B$21)))</f>
        <v>0.891036737518357</v>
      </c>
      <c r="H939" s="21" t="n">
        <f aca="false">IF(B939="","",MAX(ABS($A939/$B$6-D939),ABS(($A939-1)/$B$6-D939)))</f>
        <v>0.0263200973005948</v>
      </c>
      <c r="I939" s="21" t="n">
        <f aca="false">IF(B939="","",MAX(ABS($A939/$B$6-E939),ABS(($A939-1)/$B$6-E939)))</f>
        <v>0.00938347555503161</v>
      </c>
      <c r="J939" s="21" t="n">
        <f aca="false">IF(B939="","",MAX(ABS($A939/$B$6-F939),ABS(($A939-1)/$B$6-F939)))</f>
        <v>0.00230788078457123</v>
      </c>
      <c r="K939" s="21" t="n">
        <f aca="false">IF(B939="","",MAX(ABS($A939/$B$6-G939),ABS(($A939-1)/$B$6-G939)))</f>
        <v>0.0119632624816435</v>
      </c>
    </row>
    <row r="940" customFormat="false" ht="15" hidden="false" customHeight="false" outlineLevel="0" collapsed="false">
      <c r="A940" s="11" t="n">
        <v>904</v>
      </c>
      <c r="B940" s="9" t="n">
        <f aca="false">IF(A940&gt;$B$6,"",SMALL(BTC_Data!$C$3:$C$1002,A940))</f>
        <v>0.00147177596921932</v>
      </c>
      <c r="C940" s="21" t="n">
        <f aca="false">IF(B940="","",A940/$B$6)</f>
        <v>0.904</v>
      </c>
      <c r="D940" s="21" t="n">
        <f aca="false">IF(B940="","",NORMDIST(B940,$B$15,$B$16,TRUE()))</f>
        <v>0.878017298938604</v>
      </c>
      <c r="E940" s="21" t="n">
        <f aca="false">IF(B940="","",IF(B940&gt;=$B$15,1-TDIST((B940-$B$15)/$B$18,$B$17,1),TDIST(($B$15-B940)/$B$18,$B$17,1)))</f>
        <v>0.894769465237529</v>
      </c>
      <c r="F940" s="21" t="n">
        <f aca="false">IF(B940="","",IF(B940&lt;$B$19,0.5*EXP((B940-$B$19)/$B$20),1-0.5*EXP(-(B940-$B$19)/$B$20)))</f>
        <v>0.901601581278064</v>
      </c>
      <c r="G940" s="21" t="n">
        <f aca="false">IF(B940="","",1/(1+EXP(-(B940-$B$15)/$B$21)))</f>
        <v>0.892190742325104</v>
      </c>
      <c r="H940" s="21" t="n">
        <f aca="false">IF(B940="","",MAX(ABS($A940/$B$6-D940),ABS(($A940-1)/$B$6-D940)))</f>
        <v>0.0259827010613958</v>
      </c>
      <c r="I940" s="21" t="n">
        <f aca="false">IF(B940="","",MAX(ABS($A940/$B$6-E940),ABS(($A940-1)/$B$6-E940)))</f>
        <v>0.00923053476247115</v>
      </c>
      <c r="J940" s="21" t="n">
        <f aca="false">IF(B940="","",MAX(ABS($A940/$B$6-F940),ABS(($A940-1)/$B$6-F940)))</f>
        <v>0.00239841872193591</v>
      </c>
      <c r="K940" s="21" t="n">
        <f aca="false">IF(B940="","",MAX(ABS($A940/$B$6-G940),ABS(($A940-1)/$B$6-G940)))</f>
        <v>0.0118092576748962</v>
      </c>
    </row>
    <row r="941" customFormat="false" ht="15" hidden="false" customHeight="false" outlineLevel="0" collapsed="false">
      <c r="A941" s="11" t="n">
        <v>905</v>
      </c>
      <c r="B941" s="9" t="n">
        <f aca="false">IF(A941&gt;$B$6,"",SMALL(BTC_Data!$C$3:$C$1002,A941))</f>
        <v>0.00147221786086948</v>
      </c>
      <c r="C941" s="21" t="n">
        <f aca="false">IF(B941="","",A941/$B$6)</f>
        <v>0.905</v>
      </c>
      <c r="D941" s="21" t="n">
        <f aca="false">IF(B941="","",NORMDIST(B941,$B$15,$B$16,TRUE()))</f>
        <v>0.87808751567913</v>
      </c>
      <c r="E941" s="21" t="n">
        <f aca="false">IF(B941="","",IF(B941&gt;=$B$15,1-TDIST((B941-$B$15)/$B$18,$B$17,1),TDIST(($B$15-B941)/$B$18,$B$17,1)))</f>
        <v>0.894829934276076</v>
      </c>
      <c r="F941" s="21" t="n">
        <f aca="false">IF(B941="","",IF(B941&lt;$B$19,0.5*EXP((B941-$B$19)/$B$20),1-0.5*EXP(-(B941-$B$19)/$B$20)))</f>
        <v>0.901649291558241</v>
      </c>
      <c r="G941" s="21" t="n">
        <f aca="false">IF(B941="","",1/(1+EXP(-(B941-$B$15)/$B$21)))</f>
        <v>0.892251276254265</v>
      </c>
      <c r="H941" s="21" t="n">
        <f aca="false">IF(B941="","",MAX(ABS($A941/$B$6-D941),ABS(($A941-1)/$B$6-D941)))</f>
        <v>0.0269124843208697</v>
      </c>
      <c r="I941" s="21" t="n">
        <f aca="false">IF(B941="","",MAX(ABS($A941/$B$6-E941),ABS(($A941-1)/$B$6-E941)))</f>
        <v>0.0101700657239245</v>
      </c>
      <c r="J941" s="21" t="n">
        <f aca="false">IF(B941="","",MAX(ABS($A941/$B$6-F941),ABS(($A941-1)/$B$6-F941)))</f>
        <v>0.00335070844175889</v>
      </c>
      <c r="K941" s="21" t="n">
        <f aca="false">IF(B941="","",MAX(ABS($A941/$B$6-G941),ABS(($A941-1)/$B$6-G941)))</f>
        <v>0.0127487237457353</v>
      </c>
    </row>
    <row r="942" customFormat="false" ht="15" hidden="false" customHeight="false" outlineLevel="0" collapsed="false">
      <c r="A942" s="11" t="n">
        <v>906</v>
      </c>
      <c r="B942" s="9" t="n">
        <f aca="false">IF(A942&gt;$B$6,"",SMALL(BTC_Data!$C$3:$C$1002,A942))</f>
        <v>0.00147268899233399</v>
      </c>
      <c r="C942" s="21" t="n">
        <f aca="false">IF(B942="","",A942/$B$6)</f>
        <v>0.906</v>
      </c>
      <c r="D942" s="21" t="n">
        <f aca="false">IF(B942="","",NORMDIST(B942,$B$15,$B$16,TRUE()))</f>
        <v>0.878162347359803</v>
      </c>
      <c r="E942" s="21" t="n">
        <f aca="false">IF(B942="","",IF(B942&gt;=$B$15,1-TDIST((B942-$B$15)/$B$18,$B$17,1),TDIST(($B$15-B942)/$B$18,$B$17,1)))</f>
        <v>0.89489437064236</v>
      </c>
      <c r="F942" s="21" t="n">
        <f aca="false">IF(B942="","",IF(B942&lt;$B$19,0.5*EXP((B942-$B$19)/$B$20),1-0.5*EXP(-(B942-$B$19)/$B$20)))</f>
        <v>0.901700133331149</v>
      </c>
      <c r="G942" s="21" t="n">
        <f aca="false">IF(B942="","",1/(1+EXP(-(B942-$B$15)/$B$21)))</f>
        <v>0.892315782773832</v>
      </c>
      <c r="H942" s="21" t="n">
        <f aca="false">IF(B942="","",MAX(ABS($A942/$B$6-D942),ABS(($A942-1)/$B$6-D942)))</f>
        <v>0.0278376526401972</v>
      </c>
      <c r="I942" s="21" t="n">
        <f aca="false">IF(B942="","",MAX(ABS($A942/$B$6-E942),ABS(($A942-1)/$B$6-E942)))</f>
        <v>0.0111056293576405</v>
      </c>
      <c r="J942" s="21" t="n">
        <f aca="false">IF(B942="","",MAX(ABS($A942/$B$6-F942),ABS(($A942-1)/$B$6-F942)))</f>
        <v>0.00429986666885152</v>
      </c>
      <c r="K942" s="21" t="n">
        <f aca="false">IF(B942="","",MAX(ABS($A942/$B$6-G942),ABS(($A942-1)/$B$6-G942)))</f>
        <v>0.0136842172261679</v>
      </c>
    </row>
    <row r="943" customFormat="false" ht="15" hidden="false" customHeight="false" outlineLevel="0" collapsed="false">
      <c r="A943" s="11" t="n">
        <v>907</v>
      </c>
      <c r="B943" s="9" t="n">
        <f aca="false">IF(A943&gt;$B$6,"",SMALL(BTC_Data!$C$3:$C$1002,A943))</f>
        <v>0.00147895693066413</v>
      </c>
      <c r="C943" s="21" t="n">
        <f aca="false">IF(B943="","",A943/$B$6)</f>
        <v>0.907</v>
      </c>
      <c r="D943" s="21" t="n">
        <f aca="false">IF(B943="","",NORMDIST(B943,$B$15,$B$16,TRUE()))</f>
        <v>0.879154839370867</v>
      </c>
      <c r="E943" s="21" t="n">
        <f aca="false">IF(B943="","",IF(B943&gt;=$B$15,1-TDIST((B943-$B$15)/$B$18,$B$17,1),TDIST(($B$15-B943)/$B$18,$B$17,1)))</f>
        <v>0.895748311254174</v>
      </c>
      <c r="F943" s="21" t="n">
        <f aca="false">IF(B943="","",IF(B943&lt;$B$19,0.5*EXP((B943-$B$19)/$B$20),1-0.5*EXP(-(B943-$B$19)/$B$20)))</f>
        <v>0.902374037373636</v>
      </c>
      <c r="G943" s="21" t="n">
        <f aca="false">IF(B943="","",1/(1+EXP(-(B943-$B$15)/$B$21)))</f>
        <v>0.893170751692037</v>
      </c>
      <c r="H943" s="21" t="n">
        <f aca="false">IF(B943="","",MAX(ABS($A943/$B$6-D943),ABS(($A943-1)/$B$6-D943)))</f>
        <v>0.0278451606291333</v>
      </c>
      <c r="I943" s="21" t="n">
        <f aca="false">IF(B943="","",MAX(ABS($A943/$B$6-E943),ABS(($A943-1)/$B$6-E943)))</f>
        <v>0.0112516887458261</v>
      </c>
      <c r="J943" s="21" t="n">
        <f aca="false">IF(B943="","",MAX(ABS($A943/$B$6-F943),ABS(($A943-1)/$B$6-F943)))</f>
        <v>0.00462596262636439</v>
      </c>
      <c r="K943" s="21" t="n">
        <f aca="false">IF(B943="","",MAX(ABS($A943/$B$6-G943),ABS(($A943-1)/$B$6-G943)))</f>
        <v>0.0138292483079629</v>
      </c>
    </row>
    <row r="944" customFormat="false" ht="15" hidden="false" customHeight="false" outlineLevel="0" collapsed="false">
      <c r="A944" s="11" t="n">
        <v>908</v>
      </c>
      <c r="B944" s="9" t="n">
        <f aca="false">IF(A944&gt;$B$6,"",SMALL(BTC_Data!$C$3:$C$1002,A944))</f>
        <v>0.00148498607952785</v>
      </c>
      <c r="C944" s="21" t="n">
        <f aca="false">IF(B944="","",A944/$B$6)</f>
        <v>0.908</v>
      </c>
      <c r="D944" s="21" t="n">
        <f aca="false">IF(B944="","",NORMDIST(B944,$B$15,$B$16,TRUE()))</f>
        <v>0.880104138399724</v>
      </c>
      <c r="E944" s="21" t="n">
        <f aca="false">IF(B944="","",IF(B944&gt;=$B$15,1-TDIST((B944-$B$15)/$B$18,$B$17,1),TDIST(($B$15-B944)/$B$18,$B$17,1)))</f>
        <v>0.89656390835225</v>
      </c>
      <c r="F944" s="21" t="n">
        <f aca="false">IF(B944="","",IF(B944&lt;$B$19,0.5*EXP((B944-$B$19)/$B$20),1-0.5*EXP(-(B944-$B$19)/$B$20)))</f>
        <v>0.903017907980077</v>
      </c>
      <c r="G944" s="21" t="n">
        <f aca="false">IF(B944="","",1/(1+EXP(-(B944-$B$15)/$B$21)))</f>
        <v>0.8939875041492</v>
      </c>
      <c r="H944" s="21" t="n">
        <f aca="false">IF(B944="","",MAX(ABS($A944/$B$6-D944),ABS(($A944-1)/$B$6-D944)))</f>
        <v>0.0278958616002761</v>
      </c>
      <c r="I944" s="21" t="n">
        <f aca="false">IF(B944="","",MAX(ABS($A944/$B$6-E944),ABS(($A944-1)/$B$6-E944)))</f>
        <v>0.0114360916477499</v>
      </c>
      <c r="J944" s="21" t="n">
        <f aca="false">IF(B944="","",MAX(ABS($A944/$B$6-F944),ABS(($A944-1)/$B$6-F944)))</f>
        <v>0.00498209201992328</v>
      </c>
      <c r="K944" s="21" t="n">
        <f aca="false">IF(B944="","",MAX(ABS($A944/$B$6-G944),ABS(($A944-1)/$B$6-G944)))</f>
        <v>0.0140124958508001</v>
      </c>
    </row>
    <row r="945" customFormat="false" ht="15" hidden="false" customHeight="false" outlineLevel="0" collapsed="false">
      <c r="A945" s="11" t="n">
        <v>909</v>
      </c>
      <c r="B945" s="9" t="n">
        <f aca="false">IF(A945&gt;$B$6,"",SMALL(BTC_Data!$C$3:$C$1002,A945))</f>
        <v>0.00151481891002359</v>
      </c>
      <c r="C945" s="21" t="n">
        <f aca="false">IF(B945="","",A945/$B$6)</f>
        <v>0.909</v>
      </c>
      <c r="D945" s="21" t="n">
        <f aca="false">IF(B945="","",NORMDIST(B945,$B$15,$B$16,TRUE()))</f>
        <v>0.884723982039805</v>
      </c>
      <c r="E945" s="21" t="n">
        <f aca="false">IF(B945="","",IF(B945&gt;=$B$15,1-TDIST((B945-$B$15)/$B$18,$B$17,1),TDIST(($B$15-B945)/$B$18,$B$17,1)))</f>
        <v>0.900516624880475</v>
      </c>
      <c r="F945" s="21" t="n">
        <f aca="false">IF(B945="","",IF(B945&lt;$B$19,0.5*EXP((B945-$B$19)/$B$20),1-0.5*EXP(-(B945-$B$19)/$B$20)))</f>
        <v>0.90614189263177</v>
      </c>
      <c r="G945" s="21" t="n">
        <f aca="false">IF(B945="","",1/(1+EXP(-(B945-$B$15)/$B$21)))</f>
        <v>0.897948311183733</v>
      </c>
      <c r="H945" s="21" t="n">
        <f aca="false">IF(B945="","",MAX(ABS($A945/$B$6-D945),ABS(($A945-1)/$B$6-D945)))</f>
        <v>0.0242760179601954</v>
      </c>
      <c r="I945" s="21" t="n">
        <f aca="false">IF(B945="","",MAX(ABS($A945/$B$6-E945),ABS(($A945-1)/$B$6-E945)))</f>
        <v>0.00848337511952524</v>
      </c>
      <c r="J945" s="21" t="n">
        <f aca="false">IF(B945="","",MAX(ABS($A945/$B$6-F945),ABS(($A945-1)/$B$6-F945)))</f>
        <v>0.00285810736823033</v>
      </c>
      <c r="K945" s="21" t="n">
        <f aca="false">IF(B945="","",MAX(ABS($A945/$B$6-G945),ABS(($A945-1)/$B$6-G945)))</f>
        <v>0.0110516888162666</v>
      </c>
    </row>
    <row r="946" customFormat="false" ht="15" hidden="false" customHeight="false" outlineLevel="0" collapsed="false">
      <c r="A946" s="11" t="n">
        <v>910</v>
      </c>
      <c r="B946" s="9" t="n">
        <f aca="false">IF(A946&gt;$B$6,"",SMALL(BTC_Data!$C$3:$C$1002,A946))</f>
        <v>0.0015292391887618</v>
      </c>
      <c r="C946" s="21" t="n">
        <f aca="false">IF(B946="","",A946/$B$6)</f>
        <v>0.91</v>
      </c>
      <c r="D946" s="21" t="n">
        <f aca="false">IF(B946="","",NORMDIST(B946,$B$15,$B$16,TRUE()))</f>
        <v>0.886911127537586</v>
      </c>
      <c r="E946" s="21" t="n">
        <f aca="false">IF(B946="","",IF(B946&gt;=$B$15,1-TDIST((B946-$B$15)/$B$18,$B$17,1),TDIST(($B$15-B946)/$B$18,$B$17,1)))</f>
        <v>0.902378431042271</v>
      </c>
      <c r="F946" s="21" t="n">
        <f aca="false">IF(B946="","",IF(B946&lt;$B$19,0.5*EXP((B946-$B$19)/$B$20),1-0.5*EXP(-(B946-$B$19)/$B$20)))</f>
        <v>0.907615652221217</v>
      </c>
      <c r="G946" s="21" t="n">
        <f aca="false">IF(B946="","",1/(1+EXP(-(B946-$B$15)/$B$21)))</f>
        <v>0.899815424718176</v>
      </c>
      <c r="H946" s="21" t="n">
        <f aca="false">IF(B946="","",MAX(ABS($A946/$B$6-D946),ABS(($A946-1)/$B$6-D946)))</f>
        <v>0.0230888724624141</v>
      </c>
      <c r="I946" s="21" t="n">
        <f aca="false">IF(B946="","",MAX(ABS($A946/$B$6-E946),ABS(($A946-1)/$B$6-E946)))</f>
        <v>0.00762156895772925</v>
      </c>
      <c r="J946" s="21" t="n">
        <f aca="false">IF(B946="","",MAX(ABS($A946/$B$6-F946),ABS(($A946-1)/$B$6-F946)))</f>
        <v>0.00238434777878271</v>
      </c>
      <c r="K946" s="21" t="n">
        <f aca="false">IF(B946="","",MAX(ABS($A946/$B$6-G946),ABS(($A946-1)/$B$6-G946)))</f>
        <v>0.0101845752818243</v>
      </c>
    </row>
    <row r="947" customFormat="false" ht="15" hidden="false" customHeight="false" outlineLevel="0" collapsed="false">
      <c r="A947" s="11" t="n">
        <v>911</v>
      </c>
      <c r="B947" s="9" t="n">
        <f aca="false">IF(A947&gt;$B$6,"",SMALL(BTC_Data!$C$3:$C$1002,A947))</f>
        <v>0.00153402354249188</v>
      </c>
      <c r="C947" s="21" t="n">
        <f aca="false">IF(B947="","",A947/$B$6)</f>
        <v>0.911</v>
      </c>
      <c r="D947" s="21" t="n">
        <f aca="false">IF(B947="","",NORMDIST(B947,$B$15,$B$16,TRUE()))</f>
        <v>0.887630193326241</v>
      </c>
      <c r="E947" s="21" t="n">
        <f aca="false">IF(B947="","",IF(B947&gt;=$B$15,1-TDIST((B947-$B$15)/$B$18,$B$17,1),TDIST(($B$15-B947)/$B$18,$B$17,1)))</f>
        <v>0.902989203985763</v>
      </c>
      <c r="F947" s="21" t="n">
        <f aca="false">IF(B947="","",IF(B947&lt;$B$19,0.5*EXP((B947-$B$19)/$B$20),1-0.5*EXP(-(B947-$B$19)/$B$20)))</f>
        <v>0.908099485028216</v>
      </c>
      <c r="G947" s="21" t="n">
        <f aca="false">IF(B947="","",1/(1+EXP(-(B947-$B$15)/$B$21)))</f>
        <v>0.900428156768736</v>
      </c>
      <c r="H947" s="21" t="n">
        <f aca="false">IF(B947="","",MAX(ABS($A947/$B$6-D947),ABS(($A947-1)/$B$6-D947)))</f>
        <v>0.0233698066737592</v>
      </c>
      <c r="I947" s="21" t="n">
        <f aca="false">IF(B947="","",MAX(ABS($A947/$B$6-E947),ABS(($A947-1)/$B$6-E947)))</f>
        <v>0.00801079601423715</v>
      </c>
      <c r="J947" s="21" t="n">
        <f aca="false">IF(B947="","",MAX(ABS($A947/$B$6-F947),ABS(($A947-1)/$B$6-F947)))</f>
        <v>0.00290051497178456</v>
      </c>
      <c r="K947" s="21" t="n">
        <f aca="false">IF(B947="","",MAX(ABS($A947/$B$6-G947),ABS(($A947-1)/$B$6-G947)))</f>
        <v>0.0105718432312636</v>
      </c>
    </row>
    <row r="948" customFormat="false" ht="15" hidden="false" customHeight="false" outlineLevel="0" collapsed="false">
      <c r="A948" s="11" t="n">
        <v>912</v>
      </c>
      <c r="B948" s="9" t="n">
        <f aca="false">IF(A948&gt;$B$6,"",SMALL(BTC_Data!$C$3:$C$1002,A948))</f>
        <v>0.00153884817296013</v>
      </c>
      <c r="C948" s="21" t="n">
        <f aca="false">IF(B948="","",A948/$B$6)</f>
        <v>0.912</v>
      </c>
      <c r="D948" s="21" t="n">
        <f aca="false">IF(B948="","",NORMDIST(B948,$B$15,$B$16,TRUE()))</f>
        <v>0.888351998324526</v>
      </c>
      <c r="E948" s="21" t="n">
        <f aca="false">IF(B948="","",IF(B948&gt;=$B$15,1-TDIST((B948-$B$15)/$B$18,$B$17,1),TDIST(($B$15-B948)/$B$18,$B$17,1)))</f>
        <v>0.90360164187422</v>
      </c>
      <c r="F948" s="21" t="n">
        <f aca="false">IF(B948="","",IF(B948&lt;$B$19,0.5*EXP((B948-$B$19)/$B$20),1-0.5*EXP(-(B948-$B$19)/$B$20)))</f>
        <v>0.908584824981437</v>
      </c>
      <c r="G948" s="21" t="n">
        <f aca="false">IF(B948="","",1/(1+EXP(-(B948-$B$15)/$B$21)))</f>
        <v>0.901042669524893</v>
      </c>
      <c r="H948" s="21" t="n">
        <f aca="false">IF(B948="","",MAX(ABS($A948/$B$6-D948),ABS(($A948-1)/$B$6-D948)))</f>
        <v>0.0236480016754743</v>
      </c>
      <c r="I948" s="21" t="n">
        <f aca="false">IF(B948="","",MAX(ABS($A948/$B$6-E948),ABS(($A948-1)/$B$6-E948)))</f>
        <v>0.00839835812578038</v>
      </c>
      <c r="J948" s="21" t="n">
        <f aca="false">IF(B948="","",MAX(ABS($A948/$B$6-F948),ABS(($A948-1)/$B$6-F948)))</f>
        <v>0.00341517501856292</v>
      </c>
      <c r="K948" s="21" t="n">
        <f aca="false">IF(B948="","",MAX(ABS($A948/$B$6-G948),ABS(($A948-1)/$B$6-G948)))</f>
        <v>0.0109573304751068</v>
      </c>
    </row>
    <row r="949" customFormat="false" ht="15" hidden="false" customHeight="false" outlineLevel="0" collapsed="false">
      <c r="A949" s="11" t="n">
        <v>913</v>
      </c>
      <c r="B949" s="9" t="n">
        <f aca="false">IF(A949&gt;$B$6,"",SMALL(BTC_Data!$C$3:$C$1002,A949))</f>
        <v>0.0015497255138357</v>
      </c>
      <c r="C949" s="21" t="n">
        <f aca="false">IF(B949="","",A949/$B$6)</f>
        <v>0.913</v>
      </c>
      <c r="D949" s="21" t="n">
        <f aca="false">IF(B949="","",NORMDIST(B949,$B$15,$B$16,TRUE()))</f>
        <v>0.889967155266118</v>
      </c>
      <c r="E949" s="21" t="n">
        <f aca="false">IF(B949="","",IF(B949&gt;=$B$15,1-TDIST((B949-$B$15)/$B$18,$B$17,1),TDIST(($B$15-B949)/$B$18,$B$17,1)))</f>
        <v>0.90496967325754</v>
      </c>
      <c r="F949" s="21" t="n">
        <f aca="false">IF(B949="","",IF(B949&lt;$B$19,0.5*EXP((B949-$B$19)/$B$20),1-0.5*EXP(-(B949-$B$19)/$B$20)))</f>
        <v>0.909669662366949</v>
      </c>
      <c r="G949" s="21" t="n">
        <f aca="false">IF(B949="","",1/(1+EXP(-(B949-$B$15)/$B$21)))</f>
        <v>0.902415742067115</v>
      </c>
      <c r="H949" s="21" t="n">
        <f aca="false">IF(B949="","",MAX(ABS($A949/$B$6-D949),ABS(($A949-1)/$B$6-D949)))</f>
        <v>0.0230328447338819</v>
      </c>
      <c r="I949" s="21" t="n">
        <f aca="false">IF(B949="","",MAX(ABS($A949/$B$6-E949),ABS(($A949-1)/$B$6-E949)))</f>
        <v>0.00803032674245985</v>
      </c>
      <c r="J949" s="21" t="n">
        <f aca="false">IF(B949="","",MAX(ABS($A949/$B$6-F949),ABS(($A949-1)/$B$6-F949)))</f>
        <v>0.00333033763305091</v>
      </c>
      <c r="K949" s="21" t="n">
        <f aca="false">IF(B949="","",MAX(ABS($A949/$B$6-G949),ABS(($A949-1)/$B$6-G949)))</f>
        <v>0.0105842579328846</v>
      </c>
    </row>
    <row r="950" customFormat="false" ht="15" hidden="false" customHeight="false" outlineLevel="0" collapsed="false">
      <c r="A950" s="11" t="n">
        <v>914</v>
      </c>
      <c r="B950" s="9" t="n">
        <f aca="false">IF(A950&gt;$B$6,"",SMALL(BTC_Data!$C$3:$C$1002,A950))</f>
        <v>0.00156951762307078</v>
      </c>
      <c r="C950" s="21" t="n">
        <f aca="false">IF(B950="","",A950/$B$6)</f>
        <v>0.914</v>
      </c>
      <c r="D950" s="21" t="n">
        <f aca="false">IF(B950="","",NORMDIST(B950,$B$15,$B$16,TRUE()))</f>
        <v>0.892862911781084</v>
      </c>
      <c r="E950" s="21" t="n">
        <f aca="false">IF(B950="","",IF(B950&gt;=$B$15,1-TDIST((B950-$B$15)/$B$18,$B$17,1),TDIST(($B$15-B950)/$B$18,$B$17,1)))</f>
        <v>0.907414085429266</v>
      </c>
      <c r="F950" s="21" t="n">
        <f aca="false">IF(B950="","",IF(B950&lt;$B$19,0.5*EXP((B950-$B$19)/$B$20),1-0.5*EXP(-(B950-$B$19)/$B$20)))</f>
        <v>0.91161068535603</v>
      </c>
      <c r="G950" s="21" t="n">
        <f aca="false">IF(B950="","",1/(1+EXP(-(B950-$B$15)/$B$21)))</f>
        <v>0.904870602529353</v>
      </c>
      <c r="H950" s="21" t="n">
        <f aca="false">IF(B950="","",MAX(ABS($A950/$B$6-D950),ABS(($A950-1)/$B$6-D950)))</f>
        <v>0.0211370882189159</v>
      </c>
      <c r="I950" s="21" t="n">
        <f aca="false">IF(B950="","",MAX(ABS($A950/$B$6-E950),ABS(($A950-1)/$B$6-E950)))</f>
        <v>0.00658591457073388</v>
      </c>
      <c r="J950" s="21" t="n">
        <f aca="false">IF(B950="","",MAX(ABS($A950/$B$6-F950),ABS(($A950-1)/$B$6-F950)))</f>
        <v>0.00238931464396985</v>
      </c>
      <c r="K950" s="21" t="n">
        <f aca="false">IF(B950="","",MAX(ABS($A950/$B$6-G950),ABS(($A950-1)/$B$6-G950)))</f>
        <v>0.00912939747064689</v>
      </c>
    </row>
    <row r="951" customFormat="false" ht="15" hidden="false" customHeight="false" outlineLevel="0" collapsed="false">
      <c r="A951" s="11" t="n">
        <v>915</v>
      </c>
      <c r="B951" s="9" t="n">
        <f aca="false">IF(A951&gt;$B$6,"",SMALL(BTC_Data!$C$3:$C$1002,A951))</f>
        <v>0.00159793161026034</v>
      </c>
      <c r="C951" s="21" t="n">
        <f aca="false">IF(B951="","",A951/$B$6)</f>
        <v>0.915</v>
      </c>
      <c r="D951" s="21" t="n">
        <f aca="false">IF(B951="","",NORMDIST(B951,$B$15,$B$16,TRUE()))</f>
        <v>0.89692342555149</v>
      </c>
      <c r="E951" s="21" t="n">
        <f aca="false">IF(B951="","",IF(B951&gt;=$B$15,1-TDIST((B951-$B$15)/$B$18,$B$17,1),TDIST(($B$15-B951)/$B$18,$B$17,1)))</f>
        <v>0.910823884361737</v>
      </c>
      <c r="F951" s="21" t="n">
        <f aca="false">IF(B951="","",IF(B951&lt;$B$19,0.5*EXP((B951-$B$19)/$B$20),1-0.5*EXP(-(B951-$B$19)/$B$20)))</f>
        <v>0.914324568681054</v>
      </c>
      <c r="G951" s="21" t="n">
        <f aca="false">IF(B951="","",1/(1+EXP(-(B951-$B$15)/$B$21)))</f>
        <v>0.908298217888892</v>
      </c>
      <c r="H951" s="21" t="n">
        <f aca="false">IF(B951="","",MAX(ABS($A951/$B$6-D951),ABS(($A951-1)/$B$6-D951)))</f>
        <v>0.0180765744485102</v>
      </c>
      <c r="I951" s="21" t="n">
        <f aca="false">IF(B951="","",MAX(ABS($A951/$B$6-E951),ABS(($A951-1)/$B$6-E951)))</f>
        <v>0.00417611563826259</v>
      </c>
      <c r="J951" s="21" t="n">
        <f aca="false">IF(B951="","",MAX(ABS($A951/$B$6-F951),ABS(($A951-1)/$B$6-F951)))</f>
        <v>0.000675431318945874</v>
      </c>
      <c r="K951" s="21" t="n">
        <f aca="false">IF(B951="","",MAX(ABS($A951/$B$6-G951),ABS(($A951-1)/$B$6-G951)))</f>
        <v>0.00670178211110806</v>
      </c>
    </row>
    <row r="952" customFormat="false" ht="15" hidden="false" customHeight="false" outlineLevel="0" collapsed="false">
      <c r="A952" s="11" t="n">
        <v>916</v>
      </c>
      <c r="B952" s="9" t="n">
        <f aca="false">IF(A952&gt;$B$6,"",SMALL(BTC_Data!$C$3:$C$1002,A952))</f>
        <v>0.00160553967560806</v>
      </c>
      <c r="C952" s="21" t="n">
        <f aca="false">IF(B952="","",A952/$B$6)</f>
        <v>0.916</v>
      </c>
      <c r="D952" s="21" t="n">
        <f aca="false">IF(B952="","",NORMDIST(B952,$B$15,$B$16,TRUE()))</f>
        <v>0.897991439183999</v>
      </c>
      <c r="E952" s="21" t="n">
        <f aca="false">IF(B952="","",IF(B952&gt;=$B$15,1-TDIST((B952-$B$15)/$B$18,$B$17,1),TDIST(($B$15-B952)/$B$18,$B$17,1)))</f>
        <v>0.91171730485166</v>
      </c>
      <c r="F952" s="21" t="n">
        <f aca="false">IF(B952="","",IF(B952&lt;$B$19,0.5*EXP((B952-$B$19)/$B$20),1-0.5*EXP(-(B952-$B$19)/$B$20)))</f>
        <v>0.915036981905521</v>
      </c>
      <c r="G952" s="21" t="n">
        <f aca="false">IF(B952="","",1/(1+EXP(-(B952-$B$15)/$B$21)))</f>
        <v>0.909196960186202</v>
      </c>
      <c r="H952" s="21" t="n">
        <f aca="false">IF(B952="","",MAX(ABS($A952/$B$6-D952),ABS(($A952-1)/$B$6-D952)))</f>
        <v>0.0180085608160008</v>
      </c>
      <c r="I952" s="21" t="n">
        <f aca="false">IF(B952="","",MAX(ABS($A952/$B$6-E952),ABS(($A952-1)/$B$6-E952)))</f>
        <v>0.0042826951483399</v>
      </c>
      <c r="J952" s="21" t="n">
        <f aca="false">IF(B952="","",MAX(ABS($A952/$B$6-F952),ABS(($A952-1)/$B$6-F952)))</f>
        <v>0.000963018094478851</v>
      </c>
      <c r="K952" s="21" t="n">
        <f aca="false">IF(B952="","",MAX(ABS($A952/$B$6-G952),ABS(($A952-1)/$B$6-G952)))</f>
        <v>0.0068030398137976</v>
      </c>
    </row>
    <row r="953" customFormat="false" ht="15" hidden="false" customHeight="false" outlineLevel="0" collapsed="false">
      <c r="A953" s="11" t="n">
        <v>917</v>
      </c>
      <c r="B953" s="9" t="n">
        <f aca="false">IF(A953&gt;$B$6,"",SMALL(BTC_Data!$C$3:$C$1002,A953))</f>
        <v>0.00160914664534606</v>
      </c>
      <c r="C953" s="21" t="n">
        <f aca="false">IF(B953="","",A953/$B$6)</f>
        <v>0.917</v>
      </c>
      <c r="D953" s="21" t="n">
        <f aca="false">IF(B953="","",NORMDIST(B953,$B$15,$B$16,TRUE()))</f>
        <v>0.898494959265466</v>
      </c>
      <c r="E953" s="21" t="n">
        <f aca="false">IF(B953="","",IF(B953&gt;=$B$15,1-TDIST((B953-$B$15)/$B$18,$B$17,1),TDIST(($B$15-B953)/$B$18,$B$17,1)))</f>
        <v>0.91213801732793</v>
      </c>
      <c r="F953" s="21" t="n">
        <f aca="false">IF(B953="","",IF(B953&lt;$B$19,0.5*EXP((B953-$B$19)/$B$20),1-0.5*EXP(-(B953-$B$19)/$B$20)))</f>
        <v>0.915372662663834</v>
      </c>
      <c r="G953" s="21" t="n">
        <f aca="false">IF(B953="","",1/(1+EXP(-(B953-$B$15)/$B$21)))</f>
        <v>0.909620275764538</v>
      </c>
      <c r="H953" s="21" t="n">
        <f aca="false">IF(B953="","",MAX(ABS($A953/$B$6-D953),ABS(($A953-1)/$B$6-D953)))</f>
        <v>0.0185050407345342</v>
      </c>
      <c r="I953" s="21" t="n">
        <f aca="false">IF(B953="","",MAX(ABS($A953/$B$6-E953),ABS(($A953-1)/$B$6-E953)))</f>
        <v>0.00486198267207039</v>
      </c>
      <c r="J953" s="21" t="n">
        <f aca="false">IF(B953="","",MAX(ABS($A953/$B$6-F953),ABS(($A953-1)/$B$6-F953)))</f>
        <v>0.00162733733616594</v>
      </c>
      <c r="K953" s="21" t="n">
        <f aca="false">IF(B953="","",MAX(ABS($A953/$B$6-G953),ABS(($A953-1)/$B$6-G953)))</f>
        <v>0.00737972423546174</v>
      </c>
    </row>
    <row r="954" customFormat="false" ht="15" hidden="false" customHeight="false" outlineLevel="0" collapsed="false">
      <c r="A954" s="11" t="n">
        <v>918</v>
      </c>
      <c r="B954" s="9" t="n">
        <f aca="false">IF(A954&gt;$B$6,"",SMALL(BTC_Data!$C$3:$C$1002,A954))</f>
        <v>0.00161454536912475</v>
      </c>
      <c r="C954" s="21" t="n">
        <f aca="false">IF(B954="","",A954/$B$6)</f>
        <v>0.918</v>
      </c>
      <c r="D954" s="21" t="n">
        <f aca="false">IF(B954="","",NORMDIST(B954,$B$15,$B$16,TRUE()))</f>
        <v>0.899245215757845</v>
      </c>
      <c r="E954" s="21" t="n">
        <f aca="false">IF(B954="","",IF(B954&gt;=$B$15,1-TDIST((B954-$B$15)/$B$18,$B$17,1),TDIST(($B$15-B954)/$B$18,$B$17,1)))</f>
        <v>0.912764301441597</v>
      </c>
      <c r="F954" s="21" t="n">
        <f aca="false">IF(B954="","",IF(B954&lt;$B$19,0.5*EXP((B954-$B$19)/$B$20),1-0.5*EXP(-(B954-$B$19)/$B$20)))</f>
        <v>0.915872615614611</v>
      </c>
      <c r="G954" s="21" t="n">
        <f aca="false">IF(B954="","",1/(1+EXP(-(B954-$B$15)/$B$21)))</f>
        <v>0.910250551576962</v>
      </c>
      <c r="H954" s="21" t="n">
        <f aca="false">IF(B954="","",MAX(ABS($A954/$B$6-D954),ABS(($A954-1)/$B$6-D954)))</f>
        <v>0.018754784242155</v>
      </c>
      <c r="I954" s="21" t="n">
        <f aca="false">IF(B954="","",MAX(ABS($A954/$B$6-E954),ABS(($A954-1)/$B$6-E954)))</f>
        <v>0.00523569855840333</v>
      </c>
      <c r="J954" s="21" t="n">
        <f aca="false">IF(B954="","",MAX(ABS($A954/$B$6-F954),ABS(($A954-1)/$B$6-F954)))</f>
        <v>0.00212738438538895</v>
      </c>
      <c r="K954" s="21" t="n">
        <f aca="false">IF(B954="","",MAX(ABS($A954/$B$6-G954),ABS(($A954-1)/$B$6-G954)))</f>
        <v>0.00774944842303837</v>
      </c>
    </row>
    <row r="955" customFormat="false" ht="15" hidden="false" customHeight="false" outlineLevel="0" collapsed="false">
      <c r="A955" s="11" t="n">
        <v>919</v>
      </c>
      <c r="B955" s="9" t="n">
        <f aca="false">IF(A955&gt;$B$6,"",SMALL(BTC_Data!$C$3:$C$1002,A955))</f>
        <v>0.00161985881505289</v>
      </c>
      <c r="C955" s="21" t="n">
        <f aca="false">IF(B955="","",A955/$B$6)</f>
        <v>0.919</v>
      </c>
      <c r="D955" s="21" t="n">
        <f aca="false">IF(B955="","",NORMDIST(B955,$B$15,$B$16,TRUE()))</f>
        <v>0.899979664503927</v>
      </c>
      <c r="E955" s="21" t="n">
        <f aca="false">IF(B955="","",IF(B955&gt;=$B$15,1-TDIST((B955-$B$15)/$B$18,$B$17,1),TDIST(($B$15-B955)/$B$18,$B$17,1)))</f>
        <v>0.913376710382685</v>
      </c>
      <c r="F955" s="21" t="n">
        <f aca="false">IF(B955="","",IF(B955&lt;$B$19,0.5*EXP((B955-$B$19)/$B$20),1-0.5*EXP(-(B955-$B$19)/$B$20)))</f>
        <v>0.916361787295795</v>
      </c>
      <c r="G955" s="21" t="n">
        <f aca="false">IF(B955="","",1/(1+EXP(-(B955-$B$15)/$B$21)))</f>
        <v>0.910867000273198</v>
      </c>
      <c r="H955" s="21" t="n">
        <f aca="false">IF(B955="","",MAX(ABS($A955/$B$6-D955),ABS(($A955-1)/$B$6-D955)))</f>
        <v>0.0190203354960734</v>
      </c>
      <c r="I955" s="21" t="n">
        <f aca="false">IF(B955="","",MAX(ABS($A955/$B$6-E955),ABS(($A955-1)/$B$6-E955)))</f>
        <v>0.0056232896173154</v>
      </c>
      <c r="J955" s="21" t="n">
        <f aca="false">IF(B955="","",MAX(ABS($A955/$B$6-F955),ABS(($A955-1)/$B$6-F955)))</f>
        <v>0.0026382127042055</v>
      </c>
      <c r="K955" s="21" t="n">
        <f aca="false">IF(B955="","",MAX(ABS($A955/$B$6-G955),ABS(($A955-1)/$B$6-G955)))</f>
        <v>0.0081329997268017</v>
      </c>
    </row>
    <row r="956" customFormat="false" ht="15" hidden="false" customHeight="false" outlineLevel="0" collapsed="false">
      <c r="A956" s="11" t="n">
        <v>920</v>
      </c>
      <c r="B956" s="9" t="n">
        <f aca="false">IF(A956&gt;$B$6,"",SMALL(BTC_Data!$C$3:$C$1002,A956))</f>
        <v>0.00163196611083638</v>
      </c>
      <c r="C956" s="21" t="n">
        <f aca="false">IF(B956="","",A956/$B$6)</f>
        <v>0.92</v>
      </c>
      <c r="D956" s="21" t="n">
        <f aca="false">IF(B956="","",NORMDIST(B956,$B$15,$B$16,TRUE()))</f>
        <v>0.901638571707454</v>
      </c>
      <c r="E956" s="21" t="n">
        <f aca="false">IF(B956="","",IF(B956&gt;=$B$15,1-TDIST((B956-$B$15)/$B$18,$B$17,1),TDIST(($B$15-B956)/$B$18,$B$17,1)))</f>
        <v>0.914757497810559</v>
      </c>
      <c r="F956" s="21" t="n">
        <f aca="false">IF(B956="","",IF(B956&lt;$B$19,0.5*EXP((B956-$B$19)/$B$20),1-0.5*EXP(-(B956-$B$19)/$B$20)))</f>
        <v>0.917465822683701</v>
      </c>
      <c r="G956" s="21" t="n">
        <f aca="false">IF(B956="","",1/(1+EXP(-(B956-$B$15)/$B$21)))</f>
        <v>0.912257400240068</v>
      </c>
      <c r="H956" s="21" t="n">
        <f aca="false">IF(B956="","",MAX(ABS($A956/$B$6-D956),ABS(($A956-1)/$B$6-D956)))</f>
        <v>0.0183614282925465</v>
      </c>
      <c r="I956" s="21" t="n">
        <f aca="false">IF(B956="","",MAX(ABS($A956/$B$6-E956),ABS(($A956-1)/$B$6-E956)))</f>
        <v>0.00524250218944145</v>
      </c>
      <c r="J956" s="21" t="n">
        <f aca="false">IF(B956="","",MAX(ABS($A956/$B$6-F956),ABS(($A956-1)/$B$6-F956)))</f>
        <v>0.00253417731629957</v>
      </c>
      <c r="K956" s="21" t="n">
        <f aca="false">IF(B956="","",MAX(ABS($A956/$B$6-G956),ABS(($A956-1)/$B$6-G956)))</f>
        <v>0.00774259975993208</v>
      </c>
    </row>
    <row r="957" customFormat="false" ht="15" hidden="false" customHeight="false" outlineLevel="0" collapsed="false">
      <c r="A957" s="11" t="n">
        <v>921</v>
      </c>
      <c r="B957" s="9" t="n">
        <f aca="false">IF(A957&gt;$B$6,"",SMALL(BTC_Data!$C$3:$C$1002,A957))</f>
        <v>0.00163585038392999</v>
      </c>
      <c r="C957" s="21" t="n">
        <f aca="false">IF(B957="","",A957/$B$6)</f>
        <v>0.921</v>
      </c>
      <c r="D957" s="21" t="n">
        <f aca="false">IF(B957="","",NORMDIST(B957,$B$15,$B$16,TRUE()))</f>
        <v>0.902166490778804</v>
      </c>
      <c r="E957" s="21" t="n">
        <f aca="false">IF(B957="","",IF(B957&gt;=$B$15,1-TDIST((B957-$B$15)/$B$18,$B$17,1),TDIST(($B$15-B957)/$B$18,$B$17,1)))</f>
        <v>0.915196194571006</v>
      </c>
      <c r="F957" s="21" t="n">
        <f aca="false">IF(B957="","",IF(B957&lt;$B$19,0.5*EXP((B957-$B$19)/$B$20),1-0.5*EXP(-(B957-$B$19)/$B$20)))</f>
        <v>0.917816923272787</v>
      </c>
      <c r="G957" s="21" t="n">
        <f aca="false">IF(B957="","",1/(1+EXP(-(B957-$B$15)/$B$21)))</f>
        <v>0.912699299730436</v>
      </c>
      <c r="H957" s="21" t="n">
        <f aca="false">IF(B957="","",MAX(ABS($A957/$B$6-D957),ABS(($A957-1)/$B$6-D957)))</f>
        <v>0.0188335092211964</v>
      </c>
      <c r="I957" s="21" t="n">
        <f aca="false">IF(B957="","",MAX(ABS($A957/$B$6-E957),ABS(($A957-1)/$B$6-E957)))</f>
        <v>0.00580380542899428</v>
      </c>
      <c r="J957" s="21" t="n">
        <f aca="false">IF(B957="","",MAX(ABS($A957/$B$6-F957),ABS(($A957-1)/$B$6-F957)))</f>
        <v>0.00318307672721263</v>
      </c>
      <c r="K957" s="21" t="n">
        <f aca="false">IF(B957="","",MAX(ABS($A957/$B$6-G957),ABS(($A957-1)/$B$6-G957)))</f>
        <v>0.00830070026956453</v>
      </c>
    </row>
    <row r="958" customFormat="false" ht="15" hidden="false" customHeight="false" outlineLevel="0" collapsed="false">
      <c r="A958" s="11" t="n">
        <v>922</v>
      </c>
      <c r="B958" s="9" t="n">
        <f aca="false">IF(A958&gt;$B$6,"",SMALL(BTC_Data!$C$3:$C$1002,A958))</f>
        <v>0.00163617780776937</v>
      </c>
      <c r="C958" s="21" t="n">
        <f aca="false">IF(B958="","",A958/$B$6)</f>
        <v>0.922</v>
      </c>
      <c r="D958" s="21" t="n">
        <f aca="false">IF(B958="","",NORMDIST(B958,$B$15,$B$16,TRUE()))</f>
        <v>0.902210896488935</v>
      </c>
      <c r="E958" s="21" t="n">
        <f aca="false">IF(B958="","",IF(B958&gt;=$B$15,1-TDIST((B958-$B$15)/$B$18,$B$17,1),TDIST(($B$15-B958)/$B$18,$B$17,1)))</f>
        <v>0.915233079666168</v>
      </c>
      <c r="F958" s="21" t="n">
        <f aca="false">IF(B958="","",IF(B958&lt;$B$19,0.5*EXP((B958-$B$19)/$B$20),1-0.5*EXP(-(B958-$B$19)/$B$20)))</f>
        <v>0.917846450864265</v>
      </c>
      <c r="G958" s="21" t="n">
        <f aca="false">IF(B958="","",1/(1+EXP(-(B958-$B$15)/$B$21)))</f>
        <v>0.912736457416665</v>
      </c>
      <c r="H958" s="21" t="n">
        <f aca="false">IF(B958="","",MAX(ABS($A958/$B$6-D958),ABS(($A958-1)/$B$6-D958)))</f>
        <v>0.0197891035110654</v>
      </c>
      <c r="I958" s="21" t="n">
        <f aca="false">IF(B958="","",MAX(ABS($A958/$B$6-E958),ABS(($A958-1)/$B$6-E958)))</f>
        <v>0.00676692033383242</v>
      </c>
      <c r="J958" s="21" t="n">
        <f aca="false">IF(B958="","",MAX(ABS($A958/$B$6-F958),ABS(($A958-1)/$B$6-F958)))</f>
        <v>0.00415354913573496</v>
      </c>
      <c r="K958" s="21" t="n">
        <f aca="false">IF(B958="","",MAX(ABS($A958/$B$6-G958),ABS(($A958-1)/$B$6-G958)))</f>
        <v>0.00926354258333528</v>
      </c>
    </row>
    <row r="959" customFormat="false" ht="15" hidden="false" customHeight="false" outlineLevel="0" collapsed="false">
      <c r="A959" s="11" t="n">
        <v>923</v>
      </c>
      <c r="B959" s="9" t="n">
        <f aca="false">IF(A959&gt;$B$6,"",SMALL(BTC_Data!$C$3:$C$1002,A959))</f>
        <v>0.00165685127325887</v>
      </c>
      <c r="C959" s="21" t="n">
        <f aca="false">IF(B959="","",A959/$B$6)</f>
        <v>0.923</v>
      </c>
      <c r="D959" s="21" t="n">
        <f aca="false">IF(B959="","",NORMDIST(B959,$B$15,$B$16,TRUE()))</f>
        <v>0.90498482522797</v>
      </c>
      <c r="E959" s="21" t="n">
        <f aca="false">IF(B959="","",IF(B959&gt;=$B$15,1-TDIST((B959-$B$15)/$B$18,$B$17,1),TDIST(($B$15-B959)/$B$18,$B$17,1)))</f>
        <v>0.917532394926139</v>
      </c>
      <c r="F959" s="21" t="n">
        <f aca="false">IF(B959="","",IF(B959&lt;$B$19,0.5*EXP((B959-$B$19)/$B$20),1-0.5*EXP(-(B959-$B$19)/$B$20)))</f>
        <v>0.919689493190704</v>
      </c>
      <c r="G959" s="21" t="n">
        <f aca="false">IF(B959="","",1/(1+EXP(-(B959-$B$15)/$B$21)))</f>
        <v>0.915053798251117</v>
      </c>
      <c r="H959" s="21" t="n">
        <f aca="false">IF(B959="","",MAX(ABS($A959/$B$6-D959),ABS(($A959-1)/$B$6-D959)))</f>
        <v>0.0180151747720305</v>
      </c>
      <c r="I959" s="21" t="n">
        <f aca="false">IF(B959="","",MAX(ABS($A959/$B$6-E959),ABS(($A959-1)/$B$6-E959)))</f>
        <v>0.0054676050738609</v>
      </c>
      <c r="J959" s="21" t="n">
        <f aca="false">IF(B959="","",MAX(ABS($A959/$B$6-F959),ABS(($A959-1)/$B$6-F959)))</f>
        <v>0.00331050680929657</v>
      </c>
      <c r="K959" s="21" t="n">
        <f aca="false">IF(B959="","",MAX(ABS($A959/$B$6-G959),ABS(($A959-1)/$B$6-G959)))</f>
        <v>0.00794620174888339</v>
      </c>
    </row>
    <row r="960" customFormat="false" ht="15" hidden="false" customHeight="false" outlineLevel="0" collapsed="false">
      <c r="A960" s="11" t="n">
        <v>924</v>
      </c>
      <c r="B960" s="9" t="n">
        <f aca="false">IF(A960&gt;$B$6,"",SMALL(BTC_Data!$C$3:$C$1002,A960))</f>
        <v>0.00166030605603296</v>
      </c>
      <c r="C960" s="21" t="n">
        <f aca="false">IF(B960="","",A960/$B$6)</f>
        <v>0.924</v>
      </c>
      <c r="D960" s="21" t="n">
        <f aca="false">IF(B960="","",NORMDIST(B960,$B$15,$B$16,TRUE()))</f>
        <v>0.905442672695256</v>
      </c>
      <c r="E960" s="21" t="n">
        <f aca="false">IF(B960="","",IF(B960&gt;=$B$15,1-TDIST((B960-$B$15)/$B$18,$B$17,1),TDIST(($B$15-B960)/$B$18,$B$17,1)))</f>
        <v>0.917910997291651</v>
      </c>
      <c r="F960" s="21" t="n">
        <f aca="false">IF(B960="","",IF(B960&lt;$B$19,0.5*EXP((B960-$B$19)/$B$20),1-0.5*EXP(-(B960-$B$19)/$B$20)))</f>
        <v>0.919993430053329</v>
      </c>
      <c r="G960" s="21" t="n">
        <f aca="false">IF(B960="","",1/(1+EXP(-(B960-$B$15)/$B$21)))</f>
        <v>0.915435567340656</v>
      </c>
      <c r="H960" s="21" t="n">
        <f aca="false">IF(B960="","",MAX(ABS($A960/$B$6-D960),ABS(($A960-1)/$B$6-D960)))</f>
        <v>0.0185573273047438</v>
      </c>
      <c r="I960" s="21" t="n">
        <f aca="false">IF(B960="","",MAX(ABS($A960/$B$6-E960),ABS(($A960-1)/$B$6-E960)))</f>
        <v>0.00608900270834956</v>
      </c>
      <c r="J960" s="21" t="n">
        <f aca="false">IF(B960="","",MAX(ABS($A960/$B$6-F960),ABS(($A960-1)/$B$6-F960)))</f>
        <v>0.0040065699466707</v>
      </c>
      <c r="K960" s="21" t="n">
        <f aca="false">IF(B960="","",MAX(ABS($A960/$B$6-G960),ABS(($A960-1)/$B$6-G960)))</f>
        <v>0.0085644326593437</v>
      </c>
    </row>
    <row r="961" customFormat="false" ht="15" hidden="false" customHeight="false" outlineLevel="0" collapsed="false">
      <c r="A961" s="11" t="n">
        <v>925</v>
      </c>
      <c r="B961" s="9" t="n">
        <f aca="false">IF(A961&gt;$B$6,"",SMALL(BTC_Data!$C$3:$C$1002,A961))</f>
        <v>0.00166130162567457</v>
      </c>
      <c r="C961" s="21" t="n">
        <f aca="false">IF(B961="","",A961/$B$6)</f>
        <v>0.925</v>
      </c>
      <c r="D961" s="21" t="n">
        <f aca="false">IF(B961="","",NORMDIST(B961,$B$15,$B$16,TRUE()))</f>
        <v>0.905574308879996</v>
      </c>
      <c r="E961" s="21" t="n">
        <f aca="false">IF(B961="","",IF(B961&gt;=$B$15,1-TDIST((B961-$B$15)/$B$18,$B$17,1),TDIST(($B$15-B961)/$B$18,$B$17,1)))</f>
        <v>0.918019802189589</v>
      </c>
      <c r="F961" s="21" t="n">
        <f aca="false">IF(B961="","",IF(B961&lt;$B$19,0.5*EXP((B961-$B$19)/$B$20),1-0.5*EXP(-(B961-$B$19)/$B$20)))</f>
        <v>0.920080802281565</v>
      </c>
      <c r="G961" s="21" t="n">
        <f aca="false">IF(B961="","",1/(1+EXP(-(B961-$B$15)/$B$21)))</f>
        <v>0.915545292901795</v>
      </c>
      <c r="H961" s="21" t="n">
        <f aca="false">IF(B961="","",MAX(ABS($A961/$B$6-D961),ABS(($A961-1)/$B$6-D961)))</f>
        <v>0.0194256911200039</v>
      </c>
      <c r="I961" s="21" t="n">
        <f aca="false">IF(B961="","",MAX(ABS($A961/$B$6-E961),ABS(($A961-1)/$B$6-E961)))</f>
        <v>0.00698019781041115</v>
      </c>
      <c r="J961" s="21" t="n">
        <f aca="false">IF(B961="","",MAX(ABS($A961/$B$6-F961),ABS(($A961-1)/$B$6-F961)))</f>
        <v>0.00491919771843552</v>
      </c>
      <c r="K961" s="21" t="n">
        <f aca="false">IF(B961="","",MAX(ABS($A961/$B$6-G961),ABS(($A961-1)/$B$6-G961)))</f>
        <v>0.00945470709820462</v>
      </c>
    </row>
    <row r="962" customFormat="false" ht="15" hidden="false" customHeight="false" outlineLevel="0" collapsed="false">
      <c r="A962" s="11" t="n">
        <v>926</v>
      </c>
      <c r="B962" s="9" t="n">
        <f aca="false">IF(A962&gt;$B$6,"",SMALL(BTC_Data!$C$3:$C$1002,A962))</f>
        <v>0.00169293007275262</v>
      </c>
      <c r="C962" s="21" t="n">
        <f aca="false">IF(B962="","",A962/$B$6)</f>
        <v>0.926</v>
      </c>
      <c r="D962" s="21" t="n">
        <f aca="false">IF(B962="","",NORMDIST(B962,$B$15,$B$16,TRUE()))</f>
        <v>0.909686238207722</v>
      </c>
      <c r="E962" s="21" t="n">
        <f aca="false">IF(B962="","",IF(B962&gt;=$B$15,1-TDIST((B962-$B$15)/$B$18,$B$17,1),TDIST(($B$15-B962)/$B$18,$B$17,1)))</f>
        <v>0.921407944547112</v>
      </c>
      <c r="F962" s="21" t="n">
        <f aca="false">IF(B962="","",IF(B962&lt;$B$19,0.5*EXP((B962-$B$19)/$B$20),1-0.5*EXP(-(B962-$B$19)/$B$20)))</f>
        <v>0.922807433070723</v>
      </c>
      <c r="G962" s="21" t="n">
        <f aca="false">IF(B962="","",1/(1+EXP(-(B962-$B$15)/$B$21)))</f>
        <v>0.918964535462623</v>
      </c>
      <c r="H962" s="21" t="n">
        <f aca="false">IF(B962="","",MAX(ABS($A962/$B$6-D962),ABS(($A962-1)/$B$6-D962)))</f>
        <v>0.0163137617922785</v>
      </c>
      <c r="I962" s="21" t="n">
        <f aca="false">IF(B962="","",MAX(ABS($A962/$B$6-E962),ABS(($A962-1)/$B$6-E962)))</f>
        <v>0.00459205545288766</v>
      </c>
      <c r="J962" s="21" t="n">
        <f aca="false">IF(B962="","",MAX(ABS($A962/$B$6-F962),ABS(($A962-1)/$B$6-F962)))</f>
        <v>0.00319256692927727</v>
      </c>
      <c r="K962" s="21" t="n">
        <f aca="false">IF(B962="","",MAX(ABS($A962/$B$6-G962),ABS(($A962-1)/$B$6-G962)))</f>
        <v>0.00703546453737736</v>
      </c>
    </row>
    <row r="963" customFormat="false" ht="15" hidden="false" customHeight="false" outlineLevel="0" collapsed="false">
      <c r="A963" s="11" t="n">
        <v>927</v>
      </c>
      <c r="B963" s="9" t="n">
        <f aca="false">IF(A963&gt;$B$6,"",SMALL(BTC_Data!$C$3:$C$1002,A963))</f>
        <v>0.00170383272463503</v>
      </c>
      <c r="C963" s="21" t="n">
        <f aca="false">IF(B963="","",A963/$B$6)</f>
        <v>0.927</v>
      </c>
      <c r="D963" s="21" t="n">
        <f aca="false">IF(B963="","",NORMDIST(B963,$B$15,$B$16,TRUE()))</f>
        <v>0.911072390161146</v>
      </c>
      <c r="E963" s="21" t="n">
        <f aca="false">IF(B963="","",IF(B963&gt;=$B$15,1-TDIST((B963-$B$15)/$B$18,$B$17,1),TDIST(($B$15-B963)/$B$18,$B$17,1)))</f>
        <v>0.922545509632042</v>
      </c>
      <c r="F963" s="21" t="n">
        <f aca="false">IF(B963="","",IF(B963&lt;$B$19,0.5*EXP((B963-$B$19)/$B$20),1-0.5*EXP(-(B963-$B$19)/$B$20)))</f>
        <v>0.923725607551024</v>
      </c>
      <c r="G963" s="21" t="n">
        <f aca="false">IF(B963="","",1/(1+EXP(-(B963-$B$15)/$B$21)))</f>
        <v>0.920113633381031</v>
      </c>
      <c r="H963" s="21" t="n">
        <f aca="false">IF(B963="","",MAX(ABS($A963/$B$6-D963),ABS(($A963-1)/$B$6-D963)))</f>
        <v>0.0159276098388539</v>
      </c>
      <c r="I963" s="21" t="n">
        <f aca="false">IF(B963="","",MAX(ABS($A963/$B$6-E963),ABS(($A963-1)/$B$6-E963)))</f>
        <v>0.00445449036795842</v>
      </c>
      <c r="J963" s="21" t="n">
        <f aca="false">IF(B963="","",MAX(ABS($A963/$B$6-F963),ABS(($A963-1)/$B$6-F963)))</f>
        <v>0.00327439244897587</v>
      </c>
      <c r="K963" s="21" t="n">
        <f aca="false">IF(B963="","",MAX(ABS($A963/$B$6-G963),ABS(($A963-1)/$B$6-G963)))</f>
        <v>0.00688636661896958</v>
      </c>
    </row>
    <row r="964" customFormat="false" ht="15" hidden="false" customHeight="false" outlineLevel="0" collapsed="false">
      <c r="A964" s="11" t="n">
        <v>928</v>
      </c>
      <c r="B964" s="9" t="n">
        <f aca="false">IF(A964&gt;$B$6,"",SMALL(BTC_Data!$C$3:$C$1002,A964))</f>
        <v>0.00170510998312534</v>
      </c>
      <c r="C964" s="21" t="n">
        <f aca="false">IF(B964="","",A964/$B$6)</f>
        <v>0.928</v>
      </c>
      <c r="D964" s="21" t="n">
        <f aca="false">IF(B964="","",NORMDIST(B964,$B$15,$B$16,TRUE()))</f>
        <v>0.911233737395569</v>
      </c>
      <c r="E964" s="21" t="n">
        <f aca="false">IF(B964="","",IF(B964&gt;=$B$15,1-TDIST((B964-$B$15)/$B$18,$B$17,1),TDIST(($B$15-B964)/$B$18,$B$17,1)))</f>
        <v>0.922677772286783</v>
      </c>
      <c r="F964" s="21" t="n">
        <f aca="false">IF(B964="","",IF(B964&lt;$B$19,0.5*EXP((B964-$B$19)/$B$20),1-0.5*EXP(-(B964-$B$19)/$B$20)))</f>
        <v>0.923832455588806</v>
      </c>
      <c r="G964" s="21" t="n">
        <f aca="false">IF(B964="","",1/(1+EXP(-(B964-$B$15)/$B$21)))</f>
        <v>0.920247273694484</v>
      </c>
      <c r="H964" s="21" t="n">
        <f aca="false">IF(B964="","",MAX(ABS($A964/$B$6-D964),ABS(($A964-1)/$B$6-D964)))</f>
        <v>0.016766262604431</v>
      </c>
      <c r="I964" s="21" t="n">
        <f aca="false">IF(B964="","",MAX(ABS($A964/$B$6-E964),ABS(($A964-1)/$B$6-E964)))</f>
        <v>0.00532222771321722</v>
      </c>
      <c r="J964" s="21" t="n">
        <f aca="false">IF(B964="","",MAX(ABS($A964/$B$6-F964),ABS(($A964-1)/$B$6-F964)))</f>
        <v>0.00416754441119405</v>
      </c>
      <c r="K964" s="21" t="n">
        <f aca="false">IF(B964="","",MAX(ABS($A964/$B$6-G964),ABS(($A964-1)/$B$6-G964)))</f>
        <v>0.00775272630551649</v>
      </c>
    </row>
    <row r="965" customFormat="false" ht="15" hidden="false" customHeight="false" outlineLevel="0" collapsed="false">
      <c r="A965" s="11" t="n">
        <v>929</v>
      </c>
      <c r="B965" s="9" t="n">
        <f aca="false">IF(A965&gt;$B$6,"",SMALL(BTC_Data!$C$3:$C$1002,A965))</f>
        <v>0.00170550980067086</v>
      </c>
      <c r="C965" s="21" t="n">
        <f aca="false">IF(B965="","",A965/$B$6)</f>
        <v>0.929</v>
      </c>
      <c r="D965" s="21" t="n">
        <f aca="false">IF(B965="","",NORMDIST(B965,$B$15,$B$16,TRUE()))</f>
        <v>0.911284198755087</v>
      </c>
      <c r="E965" s="21" t="n">
        <f aca="false">IF(B965="","",IF(B965&gt;=$B$15,1-TDIST((B965-$B$15)/$B$18,$B$17,1),TDIST(($B$15-B965)/$B$18,$B$17,1)))</f>
        <v>0.922719131071181</v>
      </c>
      <c r="F965" s="21" t="n">
        <f aca="false">IF(B965="","",IF(B965&lt;$B$19,0.5*EXP((B965-$B$19)/$B$20),1-0.5*EXP(-(B965-$B$19)/$B$20)))</f>
        <v>0.923865871236384</v>
      </c>
      <c r="G965" s="21" t="n">
        <f aca="false">IF(B965="","",1/(1+EXP(-(B965-$B$15)/$B$21)))</f>
        <v>0.92028906486136</v>
      </c>
      <c r="H965" s="21" t="n">
        <f aca="false">IF(B965="","",MAX(ABS($A965/$B$6-D965),ABS(($A965-1)/$B$6-D965)))</f>
        <v>0.0177158012449135</v>
      </c>
      <c r="I965" s="21" t="n">
        <f aca="false">IF(B965="","",MAX(ABS($A965/$B$6-E965),ABS(($A965-1)/$B$6-E965)))</f>
        <v>0.00628086892881874</v>
      </c>
      <c r="J965" s="21" t="n">
        <f aca="false">IF(B965="","",MAX(ABS($A965/$B$6-F965),ABS(($A965-1)/$B$6-F965)))</f>
        <v>0.0051341287636163</v>
      </c>
      <c r="K965" s="21" t="n">
        <f aca="false">IF(B965="","",MAX(ABS($A965/$B$6-G965),ABS(($A965-1)/$B$6-G965)))</f>
        <v>0.00871093513864052</v>
      </c>
    </row>
    <row r="966" customFormat="false" ht="15" hidden="false" customHeight="false" outlineLevel="0" collapsed="false">
      <c r="A966" s="11" t="n">
        <v>930</v>
      </c>
      <c r="B966" s="9" t="n">
        <f aca="false">IF(A966&gt;$B$6,"",SMALL(BTC_Data!$C$3:$C$1002,A966))</f>
        <v>0.00170885102237928</v>
      </c>
      <c r="C966" s="21" t="n">
        <f aca="false">IF(B966="","",A966/$B$6)</f>
        <v>0.93</v>
      </c>
      <c r="D966" s="21" t="n">
        <f aca="false">IF(B966="","",NORMDIST(B966,$B$15,$B$16,TRUE()))</f>
        <v>0.91170506260642</v>
      </c>
      <c r="E966" s="21" t="n">
        <f aca="false">IF(B966="","",IF(B966&gt;=$B$15,1-TDIST((B966-$B$15)/$B$18,$B$17,1),TDIST(($B$15-B966)/$B$18,$B$17,1)))</f>
        <v>0.923063958432716</v>
      </c>
      <c r="F966" s="21" t="n">
        <f aca="false">IF(B966="","",IF(B966&lt;$B$19,0.5*EXP((B966-$B$19)/$B$20),1-0.5*EXP(-(B966-$B$19)/$B$20)))</f>
        <v>0.924144548789285</v>
      </c>
      <c r="G966" s="21" t="n">
        <f aca="false">IF(B966="","",1/(1+EXP(-(B966-$B$15)/$B$21)))</f>
        <v>0.920637526714746</v>
      </c>
      <c r="H966" s="21" t="n">
        <f aca="false">IF(B966="","",MAX(ABS($A966/$B$6-D966),ABS(($A966-1)/$B$6-D966)))</f>
        <v>0.0182949373935797</v>
      </c>
      <c r="I966" s="21" t="n">
        <f aca="false">IF(B966="","",MAX(ABS($A966/$B$6-E966),ABS(($A966-1)/$B$6-E966)))</f>
        <v>0.00693604156728422</v>
      </c>
      <c r="J966" s="21" t="n">
        <f aca="false">IF(B966="","",MAX(ABS($A966/$B$6-F966),ABS(($A966-1)/$B$6-F966)))</f>
        <v>0.00585545121071474</v>
      </c>
      <c r="K966" s="21" t="n">
        <f aca="false">IF(B966="","",MAX(ABS($A966/$B$6-G966),ABS(($A966-1)/$B$6-G966)))</f>
        <v>0.00936247328525419</v>
      </c>
    </row>
    <row r="967" customFormat="false" ht="15" hidden="false" customHeight="false" outlineLevel="0" collapsed="false">
      <c r="A967" s="11" t="n">
        <v>931</v>
      </c>
      <c r="B967" s="9" t="n">
        <f aca="false">IF(A967&gt;$B$6,"",SMALL(BTC_Data!$C$3:$C$1002,A967))</f>
        <v>0.00172883777035859</v>
      </c>
      <c r="C967" s="21" t="n">
        <f aca="false">IF(B967="","",A967/$B$6)</f>
        <v>0.931</v>
      </c>
      <c r="D967" s="21" t="n">
        <f aca="false">IF(B967="","",NORMDIST(B967,$B$15,$B$16,TRUE()))</f>
        <v>0.91419158792224</v>
      </c>
      <c r="E967" s="21" t="n">
        <f aca="false">IF(B967="","",IF(B967&gt;=$B$15,1-TDIST((B967-$B$15)/$B$18,$B$17,1),TDIST(($B$15-B967)/$B$18,$B$17,1)))</f>
        <v>0.925096967327399</v>
      </c>
      <c r="F967" s="21" t="n">
        <f aca="false">IF(B967="","",IF(B967&lt;$B$19,0.5*EXP((B967-$B$19)/$B$20),1-0.5*EXP(-(B967-$B$19)/$B$20)))</f>
        <v>0.925790389044356</v>
      </c>
      <c r="G967" s="21" t="n">
        <f aca="false">IF(B967="","",1/(1+EXP(-(B967-$B$15)/$B$21)))</f>
        <v>0.922693053525533</v>
      </c>
      <c r="H967" s="21" t="n">
        <f aca="false">IF(B967="","",MAX(ABS($A967/$B$6-D967),ABS(($A967-1)/$B$6-D967)))</f>
        <v>0.0168084120777601</v>
      </c>
      <c r="I967" s="21" t="n">
        <f aca="false">IF(B967="","",MAX(ABS($A967/$B$6-E967),ABS(($A967-1)/$B$6-E967)))</f>
        <v>0.00590303267260128</v>
      </c>
      <c r="J967" s="21" t="n">
        <f aca="false">IF(B967="","",MAX(ABS($A967/$B$6-F967),ABS(($A967-1)/$B$6-F967)))</f>
        <v>0.0052096109556441</v>
      </c>
      <c r="K967" s="21" t="n">
        <f aca="false">IF(B967="","",MAX(ABS($A967/$B$6-G967),ABS(($A967-1)/$B$6-G967)))</f>
        <v>0.0083069464744675</v>
      </c>
    </row>
    <row r="968" customFormat="false" ht="15" hidden="false" customHeight="false" outlineLevel="0" collapsed="false">
      <c r="A968" s="11" t="n">
        <v>932</v>
      </c>
      <c r="B968" s="9" t="n">
        <f aca="false">IF(A968&gt;$B$6,"",SMALL(BTC_Data!$C$3:$C$1002,A968))</f>
        <v>0.00173743183434705</v>
      </c>
      <c r="C968" s="21" t="n">
        <f aca="false">IF(B968="","",A968/$B$6)</f>
        <v>0.932</v>
      </c>
      <c r="D968" s="21" t="n">
        <f aca="false">IF(B968="","",NORMDIST(B968,$B$15,$B$16,TRUE()))</f>
        <v>0.915244504154958</v>
      </c>
      <c r="E968" s="21" t="n">
        <f aca="false">IF(B968="","",IF(B968&gt;=$B$15,1-TDIST((B968-$B$15)/$B$18,$B$17,1),TDIST(($B$15-B968)/$B$18,$B$17,1)))</f>
        <v>0.92595565176866</v>
      </c>
      <c r="F968" s="21" t="n">
        <f aca="false">IF(B968="","",IF(B968&lt;$B$19,0.5*EXP((B968-$B$19)/$B$20),1-0.5*EXP(-(B968-$B$19)/$B$20)))</f>
        <v>0.926487056523419</v>
      </c>
      <c r="G968" s="21" t="n">
        <f aca="false">IF(B968="","",1/(1+EXP(-(B968-$B$15)/$B$21)))</f>
        <v>0.92356182159779</v>
      </c>
      <c r="H968" s="21" t="n">
        <f aca="false">IF(B968="","",MAX(ABS($A968/$B$6-D968),ABS(($A968-1)/$B$6-D968)))</f>
        <v>0.0167554958450424</v>
      </c>
      <c r="I968" s="21" t="n">
        <f aca="false">IF(B968="","",MAX(ABS($A968/$B$6-E968),ABS(($A968-1)/$B$6-E968)))</f>
        <v>0.00604434823134026</v>
      </c>
      <c r="J968" s="21" t="n">
        <f aca="false">IF(B968="","",MAX(ABS($A968/$B$6-F968),ABS(($A968-1)/$B$6-F968)))</f>
        <v>0.00551294347658116</v>
      </c>
      <c r="K968" s="21" t="n">
        <f aca="false">IF(B968="","",MAX(ABS($A968/$B$6-G968),ABS(($A968-1)/$B$6-G968)))</f>
        <v>0.00843817840220962</v>
      </c>
    </row>
    <row r="969" customFormat="false" ht="15" hidden="false" customHeight="false" outlineLevel="0" collapsed="false">
      <c r="A969" s="11" t="n">
        <v>933</v>
      </c>
      <c r="B969" s="9" t="n">
        <f aca="false">IF(A969&gt;$B$6,"",SMALL(BTC_Data!$C$3:$C$1002,A969))</f>
        <v>0.00173869339187061</v>
      </c>
      <c r="C969" s="21" t="n">
        <f aca="false">IF(B969="","",A969/$B$6)</f>
        <v>0.933</v>
      </c>
      <c r="D969" s="21" t="n">
        <f aca="false">IF(B969="","",NORMDIST(B969,$B$15,$B$16,TRUE()))</f>
        <v>0.915398246999888</v>
      </c>
      <c r="E969" s="21" t="n">
        <f aca="false">IF(B969="","",IF(B969&gt;=$B$15,1-TDIST((B969-$B$15)/$B$18,$B$17,1),TDIST(($B$15-B969)/$B$18,$B$17,1)))</f>
        <v>0.926080925367981</v>
      </c>
      <c r="F969" s="21" t="n">
        <f aca="false">IF(B969="","",IF(B969&lt;$B$19,0.5*EXP((B969-$B$19)/$B$20),1-0.5*EXP(-(B969-$B$19)/$B$20)))</f>
        <v>0.926588771196368</v>
      </c>
      <c r="G969" s="21" t="n">
        <f aca="false">IF(B969="","",1/(1+EXP(-(B969-$B$15)/$B$21)))</f>
        <v>0.923688595337689</v>
      </c>
      <c r="H969" s="21" t="n">
        <f aca="false">IF(B969="","",MAX(ABS($A969/$B$6-D969),ABS(($A969-1)/$B$6-D969)))</f>
        <v>0.0176017530001118</v>
      </c>
      <c r="I969" s="21" t="n">
        <f aca="false">IF(B969="","",MAX(ABS($A969/$B$6-E969),ABS(($A969-1)/$B$6-E969)))</f>
        <v>0.00691907463201957</v>
      </c>
      <c r="J969" s="21" t="n">
        <f aca="false">IF(B969="","",MAX(ABS($A969/$B$6-F969),ABS(($A969-1)/$B$6-F969)))</f>
        <v>0.0064112288036321</v>
      </c>
      <c r="K969" s="21" t="n">
        <f aca="false">IF(B969="","",MAX(ABS($A969/$B$6-G969),ABS(($A969-1)/$B$6-G969)))</f>
        <v>0.00931140466231062</v>
      </c>
    </row>
    <row r="970" customFormat="false" ht="15" hidden="false" customHeight="false" outlineLevel="0" collapsed="false">
      <c r="A970" s="11" t="n">
        <v>934</v>
      </c>
      <c r="B970" s="9" t="n">
        <f aca="false">IF(A970&gt;$B$6,"",SMALL(BTC_Data!$C$3:$C$1002,A970))</f>
        <v>0.0017415944134096</v>
      </c>
      <c r="C970" s="21" t="n">
        <f aca="false">IF(B970="","",A970/$B$6)</f>
        <v>0.934</v>
      </c>
      <c r="D970" s="21" t="n">
        <f aca="false">IF(B970="","",NORMDIST(B970,$B$15,$B$16,TRUE()))</f>
        <v>0.915750993476957</v>
      </c>
      <c r="E970" s="21" t="n">
        <f aca="false">IF(B970="","",IF(B970&gt;=$B$15,1-TDIST((B970-$B$15)/$B$18,$B$17,1),TDIST(($B$15-B970)/$B$18,$B$17,1)))</f>
        <v>0.926368248300123</v>
      </c>
      <c r="F970" s="21" t="n">
        <f aca="false">IF(B970="","",IF(B970&lt;$B$19,0.5*EXP((B970-$B$19)/$B$20),1-0.5*EXP(-(B970-$B$19)/$B$20)))</f>
        <v>0.926822136135968</v>
      </c>
      <c r="G970" s="21" t="n">
        <f aca="false">IF(B970="","",1/(1+EXP(-(B970-$B$15)/$B$21)))</f>
        <v>0.923979387115649</v>
      </c>
      <c r="H970" s="21" t="n">
        <f aca="false">IF(B970="","",MAX(ABS($A970/$B$6-D970),ABS(($A970-1)/$B$6-D970)))</f>
        <v>0.0182490065230427</v>
      </c>
      <c r="I970" s="21" t="n">
        <f aca="false">IF(B970="","",MAX(ABS($A970/$B$6-E970),ABS(($A970-1)/$B$6-E970)))</f>
        <v>0.00763175169987718</v>
      </c>
      <c r="J970" s="21" t="n">
        <f aca="false">IF(B970="","",MAX(ABS($A970/$B$6-F970),ABS(($A970-1)/$B$6-F970)))</f>
        <v>0.0071778638640323</v>
      </c>
      <c r="K970" s="21" t="n">
        <f aca="false">IF(B970="","",MAX(ABS($A970/$B$6-G970),ABS(($A970-1)/$B$6-G970)))</f>
        <v>0.0100206128843511</v>
      </c>
    </row>
    <row r="971" customFormat="false" ht="15" hidden="false" customHeight="false" outlineLevel="0" collapsed="false">
      <c r="A971" s="11" t="n">
        <v>935</v>
      </c>
      <c r="B971" s="9" t="n">
        <f aca="false">IF(A971&gt;$B$6,"",SMALL(BTC_Data!$C$3:$C$1002,A971))</f>
        <v>0.00177446162274442</v>
      </c>
      <c r="C971" s="21" t="n">
        <f aca="false">IF(B971="","",A971/$B$6)</f>
        <v>0.935</v>
      </c>
      <c r="D971" s="21" t="n">
        <f aca="false">IF(B971="","",NORMDIST(B971,$B$15,$B$16,TRUE()))</f>
        <v>0.919670664917956</v>
      </c>
      <c r="E971" s="21" t="n">
        <f aca="false">IF(B971="","",IF(B971&gt;=$B$15,1-TDIST((B971-$B$15)/$B$18,$B$17,1),TDIST(($B$15-B971)/$B$18,$B$17,1)))</f>
        <v>0.929551299604845</v>
      </c>
      <c r="F971" s="21" t="n">
        <f aca="false">IF(B971="","",IF(B971&lt;$B$19,0.5*EXP((B971-$B$19)/$B$20),1-0.5*EXP(-(B971-$B$19)/$B$20)))</f>
        <v>0.929414801246115</v>
      </c>
      <c r="G971" s="21" t="n">
        <f aca="false">IF(B971="","",1/(1+EXP(-(B971-$B$15)/$B$21)))</f>
        <v>0.927203561017143</v>
      </c>
      <c r="H971" s="21" t="n">
        <f aca="false">IF(B971="","",MAX(ABS($A971/$B$6-D971),ABS(($A971-1)/$B$6-D971)))</f>
        <v>0.0153293350820445</v>
      </c>
      <c r="I971" s="21" t="n">
        <f aca="false">IF(B971="","",MAX(ABS($A971/$B$6-E971),ABS(($A971-1)/$B$6-E971)))</f>
        <v>0.00544870039515466</v>
      </c>
      <c r="J971" s="21" t="n">
        <f aca="false">IF(B971="","",MAX(ABS($A971/$B$6-F971),ABS(($A971-1)/$B$6-F971)))</f>
        <v>0.00558519875388486</v>
      </c>
      <c r="K971" s="21" t="n">
        <f aca="false">IF(B971="","",MAX(ABS($A971/$B$6-G971),ABS(($A971-1)/$B$6-G971)))</f>
        <v>0.0077964389828572</v>
      </c>
    </row>
    <row r="972" customFormat="false" ht="15" hidden="false" customHeight="false" outlineLevel="0" collapsed="false">
      <c r="A972" s="11" t="n">
        <v>936</v>
      </c>
      <c r="B972" s="9" t="n">
        <f aca="false">IF(A972&gt;$B$6,"",SMALL(BTC_Data!$C$3:$C$1002,A972))</f>
        <v>0.00178553246571145</v>
      </c>
      <c r="C972" s="21" t="n">
        <f aca="false">IF(B972="","",A972/$B$6)</f>
        <v>0.936</v>
      </c>
      <c r="D972" s="21" t="n">
        <f aca="false">IF(B972="","",NORMDIST(B972,$B$15,$B$16,TRUE()))</f>
        <v>0.920959440872842</v>
      </c>
      <c r="E972" s="21" t="n">
        <f aca="false">IF(B972="","",IF(B972&gt;=$B$15,1-TDIST((B972-$B$15)/$B$18,$B$17,1),TDIST(($B$15-B972)/$B$18,$B$17,1)))</f>
        <v>0.930594064734089</v>
      </c>
      <c r="F972" s="21" t="n">
        <f aca="false">IF(B972="","",IF(B972&lt;$B$19,0.5*EXP((B972-$B$19)/$B$20),1-0.5*EXP(-(B972-$B$19)/$B$20)))</f>
        <v>0.930267257141366</v>
      </c>
      <c r="G972" s="21" t="n">
        <f aca="false">IF(B972="","",1/(1+EXP(-(B972-$B$15)/$B$21)))</f>
        <v>0.928260907428748</v>
      </c>
      <c r="H972" s="21" t="n">
        <f aca="false">IF(B972="","",MAX(ABS($A972/$B$6-D972),ABS(($A972-1)/$B$6-D972)))</f>
        <v>0.0150405591271577</v>
      </c>
      <c r="I972" s="21" t="n">
        <f aca="false">IF(B972="","",MAX(ABS($A972/$B$6-E972),ABS(($A972-1)/$B$6-E972)))</f>
        <v>0.00540593526591138</v>
      </c>
      <c r="J972" s="21" t="n">
        <f aca="false">IF(B972="","",MAX(ABS($A972/$B$6-F972),ABS(($A972-1)/$B$6-F972)))</f>
        <v>0.00573274285863434</v>
      </c>
      <c r="K972" s="21" t="n">
        <f aca="false">IF(B972="","",MAX(ABS($A972/$B$6-G972),ABS(($A972-1)/$B$6-G972)))</f>
        <v>0.0077390925712516</v>
      </c>
    </row>
    <row r="973" customFormat="false" ht="15" hidden="false" customHeight="false" outlineLevel="0" collapsed="false">
      <c r="A973" s="11" t="n">
        <v>937</v>
      </c>
      <c r="B973" s="9" t="n">
        <f aca="false">IF(A973&gt;$B$6,"",SMALL(BTC_Data!$C$3:$C$1002,A973))</f>
        <v>0.00180923491573948</v>
      </c>
      <c r="C973" s="21" t="n">
        <f aca="false">IF(B973="","",A973/$B$6)</f>
        <v>0.937</v>
      </c>
      <c r="D973" s="21" t="n">
        <f aca="false">IF(B973="","",NORMDIST(B973,$B$15,$B$16,TRUE()))</f>
        <v>0.923665947924854</v>
      </c>
      <c r="E973" s="21" t="n">
        <f aca="false">IF(B973="","",IF(B973&gt;=$B$15,1-TDIST((B973-$B$15)/$B$18,$B$17,1),TDIST(($B$15-B973)/$B$18,$B$17,1)))</f>
        <v>0.932777926215974</v>
      </c>
      <c r="F973" s="21" t="n">
        <f aca="false">IF(B973="","",IF(B973&lt;$B$19,0.5*EXP((B973-$B$19)/$B$20),1-0.5*EXP(-(B973-$B$19)/$B$20)))</f>
        <v>0.932057890757475</v>
      </c>
      <c r="G973" s="21" t="n">
        <f aca="false">IF(B973="","",1/(1+EXP(-(B973-$B$15)/$B$21)))</f>
        <v>0.930477163619765</v>
      </c>
      <c r="H973" s="21" t="n">
        <f aca="false">IF(B973="","",MAX(ABS($A973/$B$6-D973),ABS(($A973-1)/$B$6-D973)))</f>
        <v>0.0133340520751466</v>
      </c>
      <c r="I973" s="21" t="n">
        <f aca="false">IF(B973="","",MAX(ABS($A973/$B$6-E973),ABS(($A973-1)/$B$6-E973)))</f>
        <v>0.00422207378402584</v>
      </c>
      <c r="J973" s="21" t="n">
        <f aca="false">IF(B973="","",MAX(ABS($A973/$B$6-F973),ABS(($A973-1)/$B$6-F973)))</f>
        <v>0.00494210924252547</v>
      </c>
      <c r="K973" s="21" t="n">
        <f aca="false">IF(B973="","",MAX(ABS($A973/$B$6-G973),ABS(($A973-1)/$B$6-G973)))</f>
        <v>0.00652283638023488</v>
      </c>
    </row>
    <row r="974" customFormat="false" ht="15" hidden="false" customHeight="false" outlineLevel="0" collapsed="false">
      <c r="A974" s="11" t="n">
        <v>938</v>
      </c>
      <c r="B974" s="9" t="n">
        <f aca="false">IF(A974&gt;$B$6,"",SMALL(BTC_Data!$C$3:$C$1002,A974))</f>
        <v>0.00184150230408009</v>
      </c>
      <c r="C974" s="21" t="n">
        <f aca="false">IF(B974="","",A974/$B$6)</f>
        <v>0.938</v>
      </c>
      <c r="D974" s="21" t="n">
        <f aca="false">IF(B974="","",NORMDIST(B974,$B$15,$B$16,TRUE()))</f>
        <v>0.927236359426257</v>
      </c>
      <c r="E974" s="21" t="n">
        <f aca="false">IF(B974="","",IF(B974&gt;=$B$15,1-TDIST((B974-$B$15)/$B$18,$B$17,1),TDIST(($B$15-B974)/$B$18,$B$17,1)))</f>
        <v>0.93564671736562</v>
      </c>
      <c r="F974" s="21" t="n">
        <f aca="false">IF(B974="","",IF(B974&lt;$B$19,0.5*EXP((B974-$B$19)/$B$20),1-0.5*EXP(-(B974-$B$19)/$B$20)))</f>
        <v>0.934421898017334</v>
      </c>
      <c r="G974" s="21" t="n">
        <f aca="false">IF(B974="","",1/(1+EXP(-(B974-$B$15)/$B$21)))</f>
        <v>0.933392501442626</v>
      </c>
      <c r="H974" s="21" t="n">
        <f aca="false">IF(B974="","",MAX(ABS($A974/$B$6-D974),ABS(($A974-1)/$B$6-D974)))</f>
        <v>0.0107636405737435</v>
      </c>
      <c r="I974" s="21" t="n">
        <f aca="false">IF(B974="","",MAX(ABS($A974/$B$6-E974),ABS(($A974-1)/$B$6-E974)))</f>
        <v>0.00235328263438039</v>
      </c>
      <c r="J974" s="21" t="n">
        <f aca="false">IF(B974="","",MAX(ABS($A974/$B$6-F974),ABS(($A974-1)/$B$6-F974)))</f>
        <v>0.00357810198266595</v>
      </c>
      <c r="K974" s="21" t="n">
        <f aca="false">IF(B974="","",MAX(ABS($A974/$B$6-G974),ABS(($A974-1)/$B$6-G974)))</f>
        <v>0.0046074985573743</v>
      </c>
    </row>
    <row r="975" customFormat="false" ht="15" hidden="false" customHeight="false" outlineLevel="0" collapsed="false">
      <c r="A975" s="11" t="n">
        <v>939</v>
      </c>
      <c r="B975" s="9" t="n">
        <f aca="false">IF(A975&gt;$B$6,"",SMALL(BTC_Data!$C$3:$C$1002,A975))</f>
        <v>0.00184930392200378</v>
      </c>
      <c r="C975" s="21" t="n">
        <f aca="false">IF(B975="","",A975/$B$6)</f>
        <v>0.939</v>
      </c>
      <c r="D975" s="21" t="n">
        <f aca="false">IF(B975="","",NORMDIST(B975,$B$15,$B$16,TRUE()))</f>
        <v>0.928080109352755</v>
      </c>
      <c r="E975" s="21" t="n">
        <f aca="false">IF(B975="","",IF(B975&gt;=$B$15,1-TDIST((B975-$B$15)/$B$18,$B$17,1),TDIST(($B$15-B975)/$B$18,$B$17,1)))</f>
        <v>0.936322695792745</v>
      </c>
      <c r="F975" s="21" t="n">
        <f aca="false">IF(B975="","",IF(B975&lt;$B$19,0.5*EXP((B975-$B$19)/$B$20),1-0.5*EXP(-(B975-$B$19)/$B$20)))</f>
        <v>0.934981010123464</v>
      </c>
      <c r="G975" s="21" t="n">
        <f aca="false">IF(B975="","",1/(1+EXP(-(B975-$B$15)/$B$21)))</f>
        <v>0.934080135487766</v>
      </c>
      <c r="H975" s="21" t="n">
        <f aca="false">IF(B975="","",MAX(ABS($A975/$B$6-D975),ABS(($A975-1)/$B$6-D975)))</f>
        <v>0.0109198906472451</v>
      </c>
      <c r="I975" s="21" t="n">
        <f aca="false">IF(B975="","",MAX(ABS($A975/$B$6-E975),ABS(($A975-1)/$B$6-E975)))</f>
        <v>0.0026773042072552</v>
      </c>
      <c r="J975" s="21" t="n">
        <f aca="false">IF(B975="","",MAX(ABS($A975/$B$6-F975),ABS(($A975-1)/$B$6-F975)))</f>
        <v>0.00401898987653615</v>
      </c>
      <c r="K975" s="21" t="n">
        <f aca="false">IF(B975="","",MAX(ABS($A975/$B$6-G975),ABS(($A975-1)/$B$6-G975)))</f>
        <v>0.00491986451223425</v>
      </c>
    </row>
    <row r="976" customFormat="false" ht="15" hidden="false" customHeight="false" outlineLevel="0" collapsed="false">
      <c r="A976" s="11" t="n">
        <v>940</v>
      </c>
      <c r="B976" s="9" t="n">
        <f aca="false">IF(A976&gt;$B$6,"",SMALL(BTC_Data!$C$3:$C$1002,A976))</f>
        <v>0.00185077071443307</v>
      </c>
      <c r="C976" s="21" t="n">
        <f aca="false">IF(B976="","",A976/$B$6)</f>
        <v>0.94</v>
      </c>
      <c r="D976" s="21" t="n">
        <f aca="false">IF(B976="","",NORMDIST(B976,$B$15,$B$16,TRUE()))</f>
        <v>0.928237902651993</v>
      </c>
      <c r="E976" s="21" t="n">
        <f aca="false">IF(B976="","",IF(B976&gt;=$B$15,1-TDIST((B976-$B$15)/$B$18,$B$17,1),TDIST(($B$15-B976)/$B$18,$B$17,1)))</f>
        <v>0.936449031539477</v>
      </c>
      <c r="F976" s="21" t="n">
        <f aca="false">IF(B976="","",IF(B976&lt;$B$19,0.5*EXP((B976-$B$19)/$B$20),1-0.5*EXP(-(B976-$B$19)/$B$20)))</f>
        <v>0.935085595921436</v>
      </c>
      <c r="G976" s="21" t="n">
        <f aca="false">IF(B976="","",1/(1+EXP(-(B976-$B$15)/$B$21)))</f>
        <v>0.934208679464614</v>
      </c>
      <c r="H976" s="21" t="n">
        <f aca="false">IF(B976="","",MAX(ABS($A976/$B$6-D976),ABS(($A976-1)/$B$6-D976)))</f>
        <v>0.0117620973480066</v>
      </c>
      <c r="I976" s="21" t="n">
        <f aca="false">IF(B976="","",MAX(ABS($A976/$B$6-E976),ABS(($A976-1)/$B$6-E976)))</f>
        <v>0.00355096846052294</v>
      </c>
      <c r="J976" s="21" t="n">
        <f aca="false">IF(B976="","",MAX(ABS($A976/$B$6-F976),ABS(($A976-1)/$B$6-F976)))</f>
        <v>0.00491440407856447</v>
      </c>
      <c r="K976" s="21" t="n">
        <f aca="false">IF(B976="","",MAX(ABS($A976/$B$6-G976),ABS(($A976-1)/$B$6-G976)))</f>
        <v>0.00579132053538578</v>
      </c>
    </row>
    <row r="977" customFormat="false" ht="15" hidden="false" customHeight="false" outlineLevel="0" collapsed="false">
      <c r="A977" s="11" t="n">
        <v>941</v>
      </c>
      <c r="B977" s="9" t="n">
        <f aca="false">IF(A977&gt;$B$6,"",SMALL(BTC_Data!$C$3:$C$1002,A977))</f>
        <v>0.00185194358719287</v>
      </c>
      <c r="C977" s="21" t="n">
        <f aca="false">IF(B977="","",A977/$B$6)</f>
        <v>0.941</v>
      </c>
      <c r="D977" s="21" t="n">
        <f aca="false">IF(B977="","",NORMDIST(B977,$B$15,$B$16,TRUE()))</f>
        <v>0.928363885750869</v>
      </c>
      <c r="E977" s="21" t="n">
        <f aca="false">IF(B977="","",IF(B977&gt;=$B$15,1-TDIST((B977-$B$15)/$B$18,$B$17,1),TDIST(($B$15-B977)/$B$18,$B$17,1)))</f>
        <v>0.936549880311607</v>
      </c>
      <c r="F977" s="21" t="n">
        <f aca="false">IF(B977="","",IF(B977&lt;$B$19,0.5*EXP((B977-$B$19)/$B$20),1-0.5*EXP(-(B977-$B$19)/$B$20)))</f>
        <v>0.935169103490639</v>
      </c>
      <c r="G977" s="21" t="n">
        <f aca="false">IF(B977="","",1/(1+EXP(-(B977-$B$15)/$B$21)))</f>
        <v>0.934311297775869</v>
      </c>
      <c r="H977" s="21" t="n">
        <f aca="false">IF(B977="","",MAX(ABS($A977/$B$6-D977),ABS(($A977-1)/$B$6-D977)))</f>
        <v>0.0126361142491312</v>
      </c>
      <c r="I977" s="21" t="n">
        <f aca="false">IF(B977="","",MAX(ABS($A977/$B$6-E977),ABS(($A977-1)/$B$6-E977)))</f>
        <v>0.00445011968839304</v>
      </c>
      <c r="J977" s="21" t="n">
        <f aca="false">IF(B977="","",MAX(ABS($A977/$B$6-F977),ABS(($A977-1)/$B$6-F977)))</f>
        <v>0.00583089650936142</v>
      </c>
      <c r="K977" s="21" t="n">
        <f aca="false">IF(B977="","",MAX(ABS($A977/$B$6-G977),ABS(($A977-1)/$B$6-G977)))</f>
        <v>0.00668870222413132</v>
      </c>
    </row>
    <row r="978" customFormat="false" ht="15" hidden="false" customHeight="false" outlineLevel="0" collapsed="false">
      <c r="A978" s="11" t="n">
        <v>942</v>
      </c>
      <c r="B978" s="9" t="n">
        <f aca="false">IF(A978&gt;$B$6,"",SMALL(BTC_Data!$C$3:$C$1002,A978))</f>
        <v>0.00185212851340255</v>
      </c>
      <c r="C978" s="21" t="n">
        <f aca="false">IF(B978="","",A978/$B$6)</f>
        <v>0.942</v>
      </c>
      <c r="D978" s="21" t="n">
        <f aca="false">IF(B978="","",NORMDIST(B978,$B$15,$B$16,TRUE()))</f>
        <v>0.928383733942071</v>
      </c>
      <c r="E978" s="21" t="n">
        <f aca="false">IF(B978="","",IF(B978&gt;=$B$15,1-TDIST((B978-$B$15)/$B$18,$B$17,1),TDIST(($B$15-B978)/$B$18,$B$17,1)))</f>
        <v>0.936565767188378</v>
      </c>
      <c r="F978" s="21" t="n">
        <f aca="false">IF(B978="","",IF(B978&lt;$B$19,0.5*EXP((B978-$B$19)/$B$20),1-0.5*EXP(-(B978-$B$19)/$B$20)))</f>
        <v>0.935182260275867</v>
      </c>
      <c r="G978" s="21" t="n">
        <f aca="false">IF(B978="","",1/(1+EXP(-(B978-$B$15)/$B$21)))</f>
        <v>0.934327463962309</v>
      </c>
      <c r="H978" s="21" t="n">
        <f aca="false">IF(B978="","",MAX(ABS($A978/$B$6-D978),ABS(($A978-1)/$B$6-D978)))</f>
        <v>0.0136162660579291</v>
      </c>
      <c r="I978" s="21" t="n">
        <f aca="false">IF(B978="","",MAX(ABS($A978/$B$6-E978),ABS(($A978-1)/$B$6-E978)))</f>
        <v>0.00543423281162236</v>
      </c>
      <c r="J978" s="21" t="n">
        <f aca="false">IF(B978="","",MAX(ABS($A978/$B$6-F978),ABS(($A978-1)/$B$6-F978)))</f>
        <v>0.00681773972413269</v>
      </c>
      <c r="K978" s="21" t="n">
        <f aca="false">IF(B978="","",MAX(ABS($A978/$B$6-G978),ABS(($A978-1)/$B$6-G978)))</f>
        <v>0.00767253603769147</v>
      </c>
    </row>
    <row r="979" customFormat="false" ht="15" hidden="false" customHeight="false" outlineLevel="0" collapsed="false">
      <c r="A979" s="11" t="n">
        <v>943</v>
      </c>
      <c r="B979" s="9" t="n">
        <f aca="false">IF(A979&gt;$B$6,"",SMALL(BTC_Data!$C$3:$C$1002,A979))</f>
        <v>0.00186166071195815</v>
      </c>
      <c r="C979" s="21" t="n">
        <f aca="false">IF(B979="","",A979/$B$6)</f>
        <v>0.943</v>
      </c>
      <c r="D979" s="21" t="n">
        <f aca="false">IF(B979="","",NORMDIST(B979,$B$15,$B$16,TRUE()))</f>
        <v>0.92940112459528</v>
      </c>
      <c r="E979" s="21" t="n">
        <f aca="false">IF(B979="","",IF(B979&gt;=$B$15,1-TDIST((B979-$B$15)/$B$18,$B$17,1),TDIST(($B$15-B979)/$B$18,$B$17,1)))</f>
        <v>0.937379565951081</v>
      </c>
      <c r="F979" s="21" t="n">
        <f aca="false">IF(B979="","",IF(B979&lt;$B$19,0.5*EXP((B979-$B$19)/$B$20),1-0.5*EXP(-(B979-$B$19)/$B$20)))</f>
        <v>0.935856835759609</v>
      </c>
      <c r="G979" s="21" t="n">
        <f aca="false">IF(B979="","",1/(1+EXP(-(B979-$B$15)/$B$21)))</f>
        <v>0.935155772293868</v>
      </c>
      <c r="H979" s="21" t="n">
        <f aca="false">IF(B979="","",MAX(ABS($A979/$B$6-D979),ABS(($A979-1)/$B$6-D979)))</f>
        <v>0.0135988754047199</v>
      </c>
      <c r="I979" s="21" t="n">
        <f aca="false">IF(B979="","",MAX(ABS($A979/$B$6-E979),ABS(($A979-1)/$B$6-E979)))</f>
        <v>0.00562043404891943</v>
      </c>
      <c r="J979" s="21" t="n">
        <f aca="false">IF(B979="","",MAX(ABS($A979/$B$6-F979),ABS(($A979-1)/$B$6-F979)))</f>
        <v>0.00714316424039108</v>
      </c>
      <c r="K979" s="21" t="n">
        <f aca="false">IF(B979="","",MAX(ABS($A979/$B$6-G979),ABS(($A979-1)/$B$6-G979)))</f>
        <v>0.00784422770613158</v>
      </c>
    </row>
    <row r="980" customFormat="false" ht="15" hidden="false" customHeight="false" outlineLevel="0" collapsed="false">
      <c r="A980" s="11" t="n">
        <v>944</v>
      </c>
      <c r="B980" s="9" t="n">
        <f aca="false">IF(A980&gt;$B$6,"",SMALL(BTC_Data!$C$3:$C$1002,A980))</f>
        <v>0.00187622008476773</v>
      </c>
      <c r="C980" s="21" t="n">
        <f aca="false">IF(B980="","",A980/$B$6)</f>
        <v>0.944</v>
      </c>
      <c r="D980" s="21" t="n">
        <f aca="false">IF(B980="","",NORMDIST(B980,$B$15,$B$16,TRUE()))</f>
        <v>0.930933586022262</v>
      </c>
      <c r="E980" s="21" t="n">
        <f aca="false">IF(B980="","",IF(B980&gt;=$B$15,1-TDIST((B980-$B$15)/$B$18,$B$17,1),TDIST(($B$15-B980)/$B$18,$B$17,1)))</f>
        <v>0.938603387017098</v>
      </c>
      <c r="F980" s="21" t="n">
        <f aca="false">IF(B980="","",IF(B980&lt;$B$19,0.5*EXP((B980-$B$19)/$B$20),1-0.5*EXP(-(B980-$B$19)/$B$20)))</f>
        <v>0.936873648974277</v>
      </c>
      <c r="G980" s="21" t="n">
        <f aca="false">IF(B980="","",1/(1+EXP(-(B980-$B$15)/$B$21)))</f>
        <v>0.93640217092748</v>
      </c>
      <c r="H980" s="21" t="n">
        <f aca="false">IF(B980="","",MAX(ABS($A980/$B$6-D980),ABS(($A980-1)/$B$6-D980)))</f>
        <v>0.0130664139777383</v>
      </c>
      <c r="I980" s="21" t="n">
        <f aca="false">IF(B980="","",MAX(ABS($A980/$B$6-E980),ABS(($A980-1)/$B$6-E980)))</f>
        <v>0.00539661298290195</v>
      </c>
      <c r="J980" s="21" t="n">
        <f aca="false">IF(B980="","",MAX(ABS($A980/$B$6-F980),ABS(($A980-1)/$B$6-F980)))</f>
        <v>0.00712635102572323</v>
      </c>
      <c r="K980" s="21" t="n">
        <f aca="false">IF(B980="","",MAX(ABS($A980/$B$6-G980),ABS(($A980-1)/$B$6-G980)))</f>
        <v>0.00759782907251994</v>
      </c>
    </row>
    <row r="981" customFormat="false" ht="15" hidden="false" customHeight="false" outlineLevel="0" collapsed="false">
      <c r="A981" s="11" t="n">
        <v>945</v>
      </c>
      <c r="B981" s="9" t="n">
        <f aca="false">IF(A981&gt;$B$6,"",SMALL(BTC_Data!$C$3:$C$1002,A981))</f>
        <v>0.00190852878270009</v>
      </c>
      <c r="C981" s="21" t="n">
        <f aca="false">IF(B981="","",A981/$B$6)</f>
        <v>0.945</v>
      </c>
      <c r="D981" s="21" t="n">
        <f aca="false">IF(B981="","",NORMDIST(B981,$B$15,$B$16,TRUE()))</f>
        <v>0.934242595343155</v>
      </c>
      <c r="E981" s="21" t="n">
        <f aca="false">IF(B981="","",IF(B981&gt;=$B$15,1-TDIST((B981-$B$15)/$B$18,$B$17,1),TDIST(($B$15-B981)/$B$18,$B$17,1)))</f>
        <v>0.94123809723582</v>
      </c>
      <c r="F981" s="21" t="n">
        <f aca="false">IF(B981="","",IF(B981&lt;$B$19,0.5*EXP((B981-$B$19)/$B$20),1-0.5*EXP(-(B981-$B$19)/$B$20)))</f>
        <v>0.939072857040553</v>
      </c>
      <c r="G981" s="21" t="n">
        <f aca="false">IF(B981="","",1/(1+EXP(-(B981-$B$15)/$B$21)))</f>
        <v>0.939088683982651</v>
      </c>
      <c r="H981" s="21" t="n">
        <f aca="false">IF(B981="","",MAX(ABS($A981/$B$6-D981),ABS(($A981-1)/$B$6-D981)))</f>
        <v>0.0107574046568454</v>
      </c>
      <c r="I981" s="21" t="n">
        <f aca="false">IF(B981="","",MAX(ABS($A981/$B$6-E981),ABS(($A981-1)/$B$6-E981)))</f>
        <v>0.00376190276417987</v>
      </c>
      <c r="J981" s="21" t="n">
        <f aca="false">IF(B981="","",MAX(ABS($A981/$B$6-F981),ABS(($A981-1)/$B$6-F981)))</f>
        <v>0.00592714295944685</v>
      </c>
      <c r="K981" s="21" t="n">
        <f aca="false">IF(B981="","",MAX(ABS($A981/$B$6-G981),ABS(($A981-1)/$B$6-G981)))</f>
        <v>0.00591131601734862</v>
      </c>
    </row>
    <row r="982" customFormat="false" ht="15" hidden="false" customHeight="false" outlineLevel="0" collapsed="false">
      <c r="A982" s="11" t="n">
        <v>946</v>
      </c>
      <c r="B982" s="9" t="n">
        <f aca="false">IF(A982&gt;$B$6,"",SMALL(BTC_Data!$C$3:$C$1002,A982))</f>
        <v>0.00191720402587015</v>
      </c>
      <c r="C982" s="21" t="n">
        <f aca="false">IF(B982="","",A982/$B$6)</f>
        <v>0.946</v>
      </c>
      <c r="D982" s="21" t="n">
        <f aca="false">IF(B982="","",NORMDIST(B982,$B$15,$B$16,TRUE()))</f>
        <v>0.935109832398015</v>
      </c>
      <c r="E982" s="21" t="n">
        <f aca="false">IF(B982="","",IF(B982&gt;=$B$15,1-TDIST((B982-$B$15)/$B$18,$B$17,1),TDIST(($B$15-B982)/$B$18,$B$17,1)))</f>
        <v>0.941926893591804</v>
      </c>
      <c r="F982" s="21" t="n">
        <f aca="false">IF(B982="","",IF(B982&lt;$B$19,0.5*EXP((B982-$B$19)/$B$20),1-0.5*EXP(-(B982-$B$19)/$B$20)))</f>
        <v>0.939650208082703</v>
      </c>
      <c r="G982" s="21" t="n">
        <f aca="false">IF(B982="","",1/(1+EXP(-(B982-$B$15)/$B$21)))</f>
        <v>0.93979176762476</v>
      </c>
      <c r="H982" s="21" t="n">
        <f aca="false">IF(B982="","",MAX(ABS($A982/$B$6-D982),ABS(($A982-1)/$B$6-D982)))</f>
        <v>0.0108901676019846</v>
      </c>
      <c r="I982" s="21" t="n">
        <f aca="false">IF(B982="","",MAX(ABS($A982/$B$6-E982),ABS(($A982-1)/$B$6-E982)))</f>
        <v>0.00407310640819558</v>
      </c>
      <c r="J982" s="21" t="n">
        <f aca="false">IF(B982="","",MAX(ABS($A982/$B$6-F982),ABS(($A982-1)/$B$6-F982)))</f>
        <v>0.00634979191729712</v>
      </c>
      <c r="K982" s="21" t="n">
        <f aca="false">IF(B982="","",MAX(ABS($A982/$B$6-G982),ABS(($A982-1)/$B$6-G982)))</f>
        <v>0.00620823237523993</v>
      </c>
    </row>
    <row r="983" customFormat="false" ht="15" hidden="false" customHeight="false" outlineLevel="0" collapsed="false">
      <c r="A983" s="11" t="n">
        <v>947</v>
      </c>
      <c r="B983" s="9" t="n">
        <f aca="false">IF(A983&gt;$B$6,"",SMALL(BTC_Data!$C$3:$C$1002,A983))</f>
        <v>0.00193161940398268</v>
      </c>
      <c r="C983" s="21" t="n">
        <f aca="false">IF(B983="","",A983/$B$6)</f>
        <v>0.947</v>
      </c>
      <c r="D983" s="21" t="n">
        <f aca="false">IF(B983="","",NORMDIST(B983,$B$15,$B$16,TRUE()))</f>
        <v>0.93653122406857</v>
      </c>
      <c r="E983" s="21" t="n">
        <f aca="false">IF(B983="","",IF(B983&gt;=$B$15,1-TDIST((B983-$B$15)/$B$18,$B$17,1),TDIST(($B$15-B983)/$B$18,$B$17,1)))</f>
        <v>0.943054336438244</v>
      </c>
      <c r="F983" s="21" t="n">
        <f aca="false">IF(B983="","",IF(B983&lt;$B$19,0.5*EXP((B983-$B$19)/$B$20),1-0.5*EXP(-(B983-$B$19)/$B$20)))</f>
        <v>0.940597500751969</v>
      </c>
      <c r="G983" s="21" t="n">
        <f aca="false">IF(B983="","",1/(1+EXP(-(B983-$B$15)/$B$21)))</f>
        <v>0.940943284522926</v>
      </c>
      <c r="H983" s="21" t="n">
        <f aca="false">IF(B983="","",MAX(ABS($A983/$B$6-D983),ABS(($A983-1)/$B$6-D983)))</f>
        <v>0.0104687759314298</v>
      </c>
      <c r="I983" s="21" t="n">
        <f aca="false">IF(B983="","",MAX(ABS($A983/$B$6-E983),ABS(($A983-1)/$B$6-E983)))</f>
        <v>0.00394566356175607</v>
      </c>
      <c r="J983" s="21" t="n">
        <f aca="false">IF(B983="","",MAX(ABS($A983/$B$6-F983),ABS(($A983-1)/$B$6-F983)))</f>
        <v>0.00640249924803149</v>
      </c>
      <c r="K983" s="21" t="n">
        <f aca="false">IF(B983="","",MAX(ABS($A983/$B$6-G983),ABS(($A983-1)/$B$6-G983)))</f>
        <v>0.00605671547707354</v>
      </c>
    </row>
    <row r="984" customFormat="false" ht="15" hidden="false" customHeight="false" outlineLevel="0" collapsed="false">
      <c r="A984" s="11" t="n">
        <v>948</v>
      </c>
      <c r="B984" s="9" t="n">
        <f aca="false">IF(A984&gt;$B$6,"",SMALL(BTC_Data!$C$3:$C$1002,A984))</f>
        <v>0.00200347044342242</v>
      </c>
      <c r="C984" s="21" t="n">
        <f aca="false">IF(B984="","",A984/$B$6)</f>
        <v>0.948</v>
      </c>
      <c r="D984" s="21" t="n">
        <f aca="false">IF(B984="","",NORMDIST(B984,$B$15,$B$16,TRUE()))</f>
        <v>0.943257552051704</v>
      </c>
      <c r="E984" s="21" t="n">
        <f aca="false">IF(B984="","",IF(B984&gt;=$B$15,1-TDIST((B984-$B$15)/$B$18,$B$17,1),TDIST(($B$15-B984)/$B$18,$B$17,1)))</f>
        <v>0.948366388450203</v>
      </c>
      <c r="F984" s="21" t="n">
        <f aca="false">IF(B984="","",IF(B984&lt;$B$19,0.5*EXP((B984-$B$19)/$B$20),1-0.5*EXP(-(B984-$B$19)/$B$20)))</f>
        <v>0.945101930672638</v>
      </c>
      <c r="G984" s="21" t="n">
        <f aca="false">IF(B984="","",1/(1+EXP(-(B984-$B$15)/$B$21)))</f>
        <v>0.94638089711323</v>
      </c>
      <c r="H984" s="21" t="n">
        <f aca="false">IF(B984="","",MAX(ABS($A984/$B$6-D984),ABS(($A984-1)/$B$6-D984)))</f>
        <v>0.00474244794829581</v>
      </c>
      <c r="I984" s="21" t="n">
        <f aca="false">IF(B984="","",MAX(ABS($A984/$B$6-E984),ABS(($A984-1)/$B$6-E984)))</f>
        <v>0.0013663884502032</v>
      </c>
      <c r="J984" s="21" t="n">
        <f aca="false">IF(B984="","",MAX(ABS($A984/$B$6-F984),ABS(($A984-1)/$B$6-F984)))</f>
        <v>0.0028980693273617</v>
      </c>
      <c r="K984" s="21" t="n">
        <f aca="false">IF(B984="","",MAX(ABS($A984/$B$6-G984),ABS(($A984-1)/$B$6-G984)))</f>
        <v>0.00161910288677014</v>
      </c>
    </row>
    <row r="985" customFormat="false" ht="15" hidden="false" customHeight="false" outlineLevel="0" collapsed="false">
      <c r="A985" s="11" t="n">
        <v>949</v>
      </c>
      <c r="B985" s="9" t="n">
        <f aca="false">IF(A985&gt;$B$6,"",SMALL(BTC_Data!$C$3:$C$1002,A985))</f>
        <v>0.00200350678076444</v>
      </c>
      <c r="C985" s="21" t="n">
        <f aca="false">IF(B985="","",A985/$B$6)</f>
        <v>0.949</v>
      </c>
      <c r="D985" s="21" t="n">
        <f aca="false">IF(B985="","",NORMDIST(B985,$B$15,$B$16,TRUE()))</f>
        <v>0.943260805808408</v>
      </c>
      <c r="E985" s="21" t="n">
        <f aca="false">IF(B985="","",IF(B985&gt;=$B$15,1-TDIST((B985-$B$15)/$B$18,$B$17,1),TDIST(($B$15-B985)/$B$18,$B$17,1)))</f>
        <v>0.948368949514131</v>
      </c>
      <c r="F985" s="21" t="n">
        <f aca="false">IF(B985="","",IF(B985&lt;$B$19,0.5*EXP((B985-$B$19)/$B$20),1-0.5*EXP(-(B985-$B$19)/$B$20)))</f>
        <v>0.945104120021297</v>
      </c>
      <c r="G985" s="21" t="n">
        <f aca="false">IF(B985="","",1/(1+EXP(-(B985-$B$15)/$B$21)))</f>
        <v>0.946383523781039</v>
      </c>
      <c r="H985" s="21" t="n">
        <f aca="false">IF(B985="","",MAX(ABS($A985/$B$6-D985),ABS(($A985-1)/$B$6-D985)))</f>
        <v>0.00573919419159197</v>
      </c>
      <c r="I985" s="21" t="n">
        <f aca="false">IF(B985="","",MAX(ABS($A985/$B$6-E985),ABS(($A985-1)/$B$6-E985)))</f>
        <v>0.000631050485868978</v>
      </c>
      <c r="J985" s="21" t="n">
        <f aca="false">IF(B985="","",MAX(ABS($A985/$B$6-F985),ABS(($A985-1)/$B$6-F985)))</f>
        <v>0.00389587997870333</v>
      </c>
      <c r="K985" s="21" t="n">
        <f aca="false">IF(B985="","",MAX(ABS($A985/$B$6-G985),ABS(($A985-1)/$B$6-G985)))</f>
        <v>0.00261647621896066</v>
      </c>
    </row>
    <row r="986" customFormat="false" ht="15" hidden="false" customHeight="false" outlineLevel="0" collapsed="false">
      <c r="A986" s="11" t="n">
        <v>950</v>
      </c>
      <c r="B986" s="9" t="n">
        <f aca="false">IF(A986&gt;$B$6,"",SMALL(BTC_Data!$C$3:$C$1002,A986))</f>
        <v>0.00205199902558517</v>
      </c>
      <c r="C986" s="21" t="n">
        <f aca="false">IF(B986="","",A986/$B$6)</f>
        <v>0.95</v>
      </c>
      <c r="D986" s="21" t="n">
        <f aca="false">IF(B986="","",NORMDIST(B986,$B$15,$B$16,TRUE()))</f>
        <v>0.947473570013331</v>
      </c>
      <c r="E986" s="21" t="n">
        <f aca="false">IF(B986="","",IF(B986&gt;=$B$15,1-TDIST((B986-$B$15)/$B$18,$B$17,1),TDIST(($B$15-B986)/$B$18,$B$17,1)))</f>
        <v>0.951678851820852</v>
      </c>
      <c r="F986" s="21" t="n">
        <f aca="false">IF(B986="","",IF(B986&lt;$B$19,0.5*EXP((B986-$B$19)/$B$20),1-0.5*EXP(-(B986-$B$19)/$B$20)))</f>
        <v>0.947949365837504</v>
      </c>
      <c r="G986" s="21" t="n">
        <f aca="false">IF(B986="","",1/(1+EXP(-(B986-$B$15)/$B$21)))</f>
        <v>0.949782571114797</v>
      </c>
      <c r="H986" s="21" t="n">
        <f aca="false">IF(B986="","",MAX(ABS($A986/$B$6-D986),ABS(($A986-1)/$B$6-D986)))</f>
        <v>0.00252642998666908</v>
      </c>
      <c r="I986" s="21" t="n">
        <f aca="false">IF(B986="","",MAX(ABS($A986/$B$6-E986),ABS(($A986-1)/$B$6-E986)))</f>
        <v>0.00267885182085237</v>
      </c>
      <c r="J986" s="21" t="n">
        <f aca="false">IF(B986="","",MAX(ABS($A986/$B$6-F986),ABS(($A986-1)/$B$6-F986)))</f>
        <v>0.00205063416249562</v>
      </c>
      <c r="K986" s="21" t="n">
        <f aca="false">IF(B986="","",MAX(ABS($A986/$B$6-G986),ABS(($A986-1)/$B$6-G986)))</f>
        <v>0.000782571114797293</v>
      </c>
    </row>
    <row r="987" customFormat="false" ht="15" hidden="false" customHeight="false" outlineLevel="0" collapsed="false">
      <c r="A987" s="11" t="n">
        <v>951</v>
      </c>
      <c r="B987" s="9" t="n">
        <f aca="false">IF(A987&gt;$B$6,"",SMALL(BTC_Data!$C$3:$C$1002,A987))</f>
        <v>0.00209409228655</v>
      </c>
      <c r="C987" s="21" t="n">
        <f aca="false">IF(B987="","",A987/$B$6)</f>
        <v>0.951</v>
      </c>
      <c r="D987" s="21" t="n">
        <f aca="false">IF(B987="","",NORMDIST(B987,$B$15,$B$16,TRUE()))</f>
        <v>0.950925632964438</v>
      </c>
      <c r="E987" s="21" t="n">
        <f aca="false">IF(B987="","",IF(B987&gt;=$B$15,1-TDIST((B987-$B$15)/$B$18,$B$17,1),TDIST(($B$15-B987)/$B$18,$B$17,1)))</f>
        <v>0.954383325825653</v>
      </c>
      <c r="F987" s="21" t="n">
        <f aca="false">IF(B987="","",IF(B987&lt;$B$19,0.5*EXP((B987-$B$19)/$B$20),1-0.5*EXP(-(B987-$B$19)/$B$20)))</f>
        <v>0.950299316513783</v>
      </c>
      <c r="G987" s="21" t="n">
        <f aca="false">IF(B987="","",1/(1+EXP(-(B987-$B$15)/$B$21)))</f>
        <v>0.952566659603806</v>
      </c>
      <c r="H987" s="21" t="n">
        <f aca="false">IF(B987="","",MAX(ABS($A987/$B$6-D987),ABS(($A987-1)/$B$6-D987)))</f>
        <v>0.000925632964438483</v>
      </c>
      <c r="I987" s="21" t="n">
        <f aca="false">IF(B987="","",MAX(ABS($A987/$B$6-E987),ABS(($A987-1)/$B$6-E987)))</f>
        <v>0.00438332582565271</v>
      </c>
      <c r="J987" s="21" t="n">
        <f aca="false">IF(B987="","",MAX(ABS($A987/$B$6-F987),ABS(($A987-1)/$B$6-F987)))</f>
        <v>0.000700683486217102</v>
      </c>
      <c r="K987" s="21" t="n">
        <f aca="false">IF(B987="","",MAX(ABS($A987/$B$6-G987),ABS(($A987-1)/$B$6-G987)))</f>
        <v>0.00256665960380575</v>
      </c>
    </row>
    <row r="988" customFormat="false" ht="15" hidden="false" customHeight="false" outlineLevel="0" collapsed="false">
      <c r="A988" s="11" t="n">
        <v>952</v>
      </c>
      <c r="B988" s="9" t="n">
        <f aca="false">IF(A988&gt;$B$6,"",SMALL(BTC_Data!$C$3:$C$1002,A988))</f>
        <v>0.00211376213547121</v>
      </c>
      <c r="C988" s="21" t="n">
        <f aca="false">IF(B988="","",A988/$B$6)</f>
        <v>0.952</v>
      </c>
      <c r="D988" s="21" t="n">
        <f aca="false">IF(B988="","",NORMDIST(B988,$B$15,$B$16,TRUE()))</f>
        <v>0.95247540088759</v>
      </c>
      <c r="E988" s="21" t="n">
        <f aca="false">IF(B988="","",IF(B988&gt;=$B$15,1-TDIST((B988-$B$15)/$B$18,$B$17,1),TDIST(($B$15-B988)/$B$18,$B$17,1)))</f>
        <v>0.955595676983403</v>
      </c>
      <c r="F988" s="21" t="n">
        <f aca="false">IF(B988="","",IF(B988&lt;$B$19,0.5*EXP((B988-$B$19)/$B$20),1-0.5*EXP(-(B988-$B$19)/$B$20)))</f>
        <v>0.951360761241525</v>
      </c>
      <c r="G988" s="21" t="n">
        <f aca="false">IF(B988="","",1/(1+EXP(-(B988-$B$15)/$B$21)))</f>
        <v>0.953816791480885</v>
      </c>
      <c r="H988" s="21" t="n">
        <f aca="false">IF(B988="","",MAX(ABS($A988/$B$6-D988),ABS(($A988-1)/$B$6-D988)))</f>
        <v>0.0014754008875898</v>
      </c>
      <c r="I988" s="21" t="n">
        <f aca="false">IF(B988="","",MAX(ABS($A988/$B$6-E988),ABS(($A988-1)/$B$6-E988)))</f>
        <v>0.00459567698340313</v>
      </c>
      <c r="J988" s="21" t="n">
        <f aca="false">IF(B988="","",MAX(ABS($A988/$B$6-F988),ABS(($A988-1)/$B$6-F988)))</f>
        <v>0.000639238758474603</v>
      </c>
      <c r="K988" s="21" t="n">
        <f aca="false">IF(B988="","",MAX(ABS($A988/$B$6-G988),ABS(($A988-1)/$B$6-G988)))</f>
        <v>0.00281679148088521</v>
      </c>
    </row>
    <row r="989" customFormat="false" ht="15" hidden="false" customHeight="false" outlineLevel="0" collapsed="false">
      <c r="A989" s="11" t="n">
        <v>953</v>
      </c>
      <c r="B989" s="9" t="n">
        <f aca="false">IF(A989&gt;$B$6,"",SMALL(BTC_Data!$C$3:$C$1002,A989))</f>
        <v>0.00212608407917259</v>
      </c>
      <c r="C989" s="21" t="n">
        <f aca="false">IF(B989="","",A989/$B$6)</f>
        <v>0.953</v>
      </c>
      <c r="D989" s="21" t="n">
        <f aca="false">IF(B989="","",NORMDIST(B989,$B$15,$B$16,TRUE()))</f>
        <v>0.953426093507389</v>
      </c>
      <c r="E989" s="21" t="n">
        <f aca="false">IF(B989="","",IF(B989&gt;=$B$15,1-TDIST((B989-$B$15)/$B$18,$B$17,1),TDIST(($B$15-B989)/$B$18,$B$17,1)))</f>
        <v>0.95633894342761</v>
      </c>
      <c r="F989" s="21" t="n">
        <f aca="false">IF(B989="","",IF(B989&lt;$B$19,0.5*EXP((B989-$B$19)/$B$20),1-0.5*EXP(-(B989-$B$19)/$B$20)))</f>
        <v>0.952014111468172</v>
      </c>
      <c r="G989" s="21" t="n">
        <f aca="false">IF(B989="","",1/(1+EXP(-(B989-$B$15)/$B$21)))</f>
        <v>0.954583884256606</v>
      </c>
      <c r="H989" s="21" t="n">
        <f aca="false">IF(B989="","",MAX(ABS($A989/$B$6-D989),ABS(($A989-1)/$B$6-D989)))</f>
        <v>0.00142609350738909</v>
      </c>
      <c r="I989" s="21" t="n">
        <f aca="false">IF(B989="","",MAX(ABS($A989/$B$6-E989),ABS(($A989-1)/$B$6-E989)))</f>
        <v>0.00433894342760965</v>
      </c>
      <c r="J989" s="21" t="n">
        <f aca="false">IF(B989="","",MAX(ABS($A989/$B$6-F989),ABS(($A989-1)/$B$6-F989)))</f>
        <v>0.000985888531827905</v>
      </c>
      <c r="K989" s="21" t="n">
        <f aca="false">IF(B989="","",MAX(ABS($A989/$B$6-G989),ABS(($A989-1)/$B$6-G989)))</f>
        <v>0.00258388425660616</v>
      </c>
    </row>
    <row r="990" customFormat="false" ht="15" hidden="false" customHeight="false" outlineLevel="0" collapsed="false">
      <c r="A990" s="11" t="n">
        <v>954</v>
      </c>
      <c r="B990" s="9" t="n">
        <f aca="false">IF(A990&gt;$B$6,"",SMALL(BTC_Data!$C$3:$C$1002,A990))</f>
        <v>0.00212799789828777</v>
      </c>
      <c r="C990" s="21" t="n">
        <f aca="false">IF(B990="","",A990/$B$6)</f>
        <v>0.954</v>
      </c>
      <c r="D990" s="21" t="n">
        <f aca="false">IF(B990="","",NORMDIST(B990,$B$15,$B$16,TRUE()))</f>
        <v>0.953572374316406</v>
      </c>
      <c r="E990" s="21" t="n">
        <f aca="false">IF(B990="","",IF(B990&gt;=$B$15,1-TDIST((B990-$B$15)/$B$18,$B$17,1),TDIST(($B$15-B990)/$B$18,$B$17,1)))</f>
        <v>0.956453281930203</v>
      </c>
      <c r="F990" s="21" t="n">
        <f aca="false">IF(B990="","",IF(B990&lt;$B$19,0.5*EXP((B990-$B$19)/$B$20),1-0.5*EXP(-(B990-$B$19)/$B$20)))</f>
        <v>0.95211479808796</v>
      </c>
      <c r="G990" s="21" t="n">
        <f aca="false">IF(B990="","",1/(1+EXP(-(B990-$B$15)/$B$21)))</f>
        <v>0.954701933530529</v>
      </c>
      <c r="H990" s="21" t="n">
        <f aca="false">IF(B990="","",MAX(ABS($A990/$B$6-D990),ABS(($A990-1)/$B$6-D990)))</f>
        <v>0.000572374316406443</v>
      </c>
      <c r="I990" s="21" t="n">
        <f aca="false">IF(B990="","",MAX(ABS($A990/$B$6-E990),ABS(($A990-1)/$B$6-E990)))</f>
        <v>0.00345328193020344</v>
      </c>
      <c r="J990" s="21" t="n">
        <f aca="false">IF(B990="","",MAX(ABS($A990/$B$6-F990),ABS(($A990-1)/$B$6-F990)))</f>
        <v>0.00188520191203956</v>
      </c>
      <c r="K990" s="21" t="n">
        <f aca="false">IF(B990="","",MAX(ABS($A990/$B$6-G990),ABS(($A990-1)/$B$6-G990)))</f>
        <v>0.00170193353052861</v>
      </c>
    </row>
    <row r="991" customFormat="false" ht="15" hidden="false" customHeight="false" outlineLevel="0" collapsed="false">
      <c r="A991" s="11" t="n">
        <v>955</v>
      </c>
      <c r="B991" s="9" t="n">
        <f aca="false">IF(A991&gt;$B$6,"",SMALL(BTC_Data!$C$3:$C$1002,A991))</f>
        <v>0.00213195889807793</v>
      </c>
      <c r="C991" s="21" t="n">
        <f aca="false">IF(B991="","",A991/$B$6)</f>
        <v>0.955</v>
      </c>
      <c r="D991" s="21" t="n">
        <f aca="false">IF(B991="","",NORMDIST(B991,$B$15,$B$16,TRUE()))</f>
        <v>0.95387395766913</v>
      </c>
      <c r="E991" s="21" t="n">
        <f aca="false">IF(B991="","",IF(B991&gt;=$B$15,1-TDIST((B991-$B$15)/$B$18,$B$17,1),TDIST(($B$15-B991)/$B$18,$B$17,1)))</f>
        <v>0.956688990337256</v>
      </c>
      <c r="F991" s="21" t="n">
        <f aca="false">IF(B991="","",IF(B991&lt;$B$19,0.5*EXP((B991-$B$19)/$B$20),1-0.5*EXP(-(B991-$B$19)/$B$20)))</f>
        <v>0.952322516906944</v>
      </c>
      <c r="G991" s="21" t="n">
        <f aca="false">IF(B991="","",1/(1+EXP(-(B991-$B$15)/$B$21)))</f>
        <v>0.954945330300173</v>
      </c>
      <c r="H991" s="21" t="n">
        <f aca="false">IF(B991="","",MAX(ABS($A991/$B$6-D991),ABS(($A991-1)/$B$6-D991)))</f>
        <v>0.00112604233086955</v>
      </c>
      <c r="I991" s="21" t="n">
        <f aca="false">IF(B991="","",MAX(ABS($A991/$B$6-E991),ABS(($A991-1)/$B$6-E991)))</f>
        <v>0.00268899033725634</v>
      </c>
      <c r="J991" s="21" t="n">
        <f aca="false">IF(B991="","",MAX(ABS($A991/$B$6-F991),ABS(($A991-1)/$B$6-F991)))</f>
        <v>0.00267748309305638</v>
      </c>
      <c r="K991" s="21" t="n">
        <f aca="false">IF(B991="","",MAX(ABS($A991/$B$6-G991),ABS(($A991-1)/$B$6-G991)))</f>
        <v>0.000945330300172964</v>
      </c>
    </row>
    <row r="992" customFormat="false" ht="15" hidden="false" customHeight="false" outlineLevel="0" collapsed="false">
      <c r="A992" s="11" t="n">
        <v>956</v>
      </c>
      <c r="B992" s="9" t="n">
        <f aca="false">IF(A992&gt;$B$6,"",SMALL(BTC_Data!$C$3:$C$1002,A992))</f>
        <v>0.00216512185429174</v>
      </c>
      <c r="C992" s="21" t="n">
        <f aca="false">IF(B992="","",A992/$B$6)</f>
        <v>0.956</v>
      </c>
      <c r="D992" s="21" t="n">
        <f aca="false">IF(B992="","",NORMDIST(B992,$B$15,$B$16,TRUE()))</f>
        <v>0.956337627729825</v>
      </c>
      <c r="E992" s="21" t="n">
        <f aca="false">IF(B992="","",IF(B992&gt;=$B$15,1-TDIST((B992-$B$15)/$B$18,$B$17,1),TDIST(($B$15-B992)/$B$18,$B$17,1)))</f>
        <v>0.958613682545238</v>
      </c>
      <c r="F992" s="21" t="n">
        <f aca="false">IF(B992="","",IF(B992&lt;$B$19,0.5*EXP((B992-$B$19)/$B$20),1-0.5*EXP(-(B992-$B$19)/$B$20)))</f>
        <v>0.954026637658643</v>
      </c>
      <c r="G992" s="21" t="n">
        <f aca="false">IF(B992="","",1/(1+EXP(-(B992-$B$15)/$B$21)))</f>
        <v>0.956934783789799</v>
      </c>
      <c r="H992" s="21" t="n">
        <f aca="false">IF(B992="","",MAX(ABS($A992/$B$6-D992),ABS(($A992-1)/$B$6-D992)))</f>
        <v>0.00133762772982482</v>
      </c>
      <c r="I992" s="21" t="n">
        <f aca="false">IF(B992="","",MAX(ABS($A992/$B$6-E992),ABS(($A992-1)/$B$6-E992)))</f>
        <v>0.00361368254523764</v>
      </c>
      <c r="J992" s="21" t="n">
        <f aca="false">IF(B992="","",MAX(ABS($A992/$B$6-F992),ABS(($A992-1)/$B$6-F992)))</f>
        <v>0.00197336234135681</v>
      </c>
      <c r="K992" s="21" t="n">
        <f aca="false">IF(B992="","",MAX(ABS($A992/$B$6-G992),ABS(($A992-1)/$B$6-G992)))</f>
        <v>0.00193478378979894</v>
      </c>
    </row>
    <row r="993" customFormat="false" ht="15" hidden="false" customHeight="false" outlineLevel="0" collapsed="false">
      <c r="A993" s="11" t="n">
        <v>957</v>
      </c>
      <c r="B993" s="9" t="n">
        <f aca="false">IF(A993&gt;$B$6,"",SMALL(BTC_Data!$C$3:$C$1002,A993))</f>
        <v>0.00217417396171515</v>
      </c>
      <c r="C993" s="21" t="n">
        <f aca="false">IF(B993="","",A993/$B$6)</f>
        <v>0.957</v>
      </c>
      <c r="D993" s="21" t="n">
        <f aca="false">IF(B993="","",NORMDIST(B993,$B$15,$B$16,TRUE()))</f>
        <v>0.956991334159945</v>
      </c>
      <c r="E993" s="21" t="n">
        <f aca="false">IF(B993="","",IF(B993&gt;=$B$15,1-TDIST((B993-$B$15)/$B$18,$B$17,1),TDIST(($B$15-B993)/$B$18,$B$17,1)))</f>
        <v>0.959124196526203</v>
      </c>
      <c r="F993" s="21" t="n">
        <f aca="false">IF(B993="","",IF(B993&lt;$B$19,0.5*EXP((B993-$B$19)/$B$20),1-0.5*EXP(-(B993-$B$19)/$B$20)))</f>
        <v>0.954481116616588</v>
      </c>
      <c r="G993" s="21" t="n">
        <f aca="false">IF(B993="","",1/(1+EXP(-(B993-$B$15)/$B$21)))</f>
        <v>0.957463080313451</v>
      </c>
      <c r="H993" s="21" t="n">
        <f aca="false">IF(B993="","",MAX(ABS($A993/$B$6-D993),ABS(($A993-1)/$B$6-D993)))</f>
        <v>0.00099133415994479</v>
      </c>
      <c r="I993" s="21" t="n">
        <f aca="false">IF(B993="","",MAX(ABS($A993/$B$6-E993),ABS(($A993-1)/$B$6-E993)))</f>
        <v>0.0031241965262031</v>
      </c>
      <c r="J993" s="21" t="n">
        <f aca="false">IF(B993="","",MAX(ABS($A993/$B$6-F993),ABS(($A993-1)/$B$6-F993)))</f>
        <v>0.00251888338341189</v>
      </c>
      <c r="K993" s="21" t="n">
        <f aca="false">IF(B993="","",MAX(ABS($A993/$B$6-G993),ABS(($A993-1)/$B$6-G993)))</f>
        <v>0.00146308031345077</v>
      </c>
    </row>
    <row r="994" customFormat="false" ht="15" hidden="false" customHeight="false" outlineLevel="0" collapsed="false">
      <c r="A994" s="11" t="n">
        <v>958</v>
      </c>
      <c r="B994" s="9" t="n">
        <f aca="false">IF(A994&gt;$B$6,"",SMALL(BTC_Data!$C$3:$C$1002,A994))</f>
        <v>0.00217969741399005</v>
      </c>
      <c r="C994" s="21" t="n">
        <f aca="false">IF(B994="","",A994/$B$6)</f>
        <v>0.958</v>
      </c>
      <c r="D994" s="21" t="n">
        <f aca="false">IF(B994="","",NORMDIST(B994,$B$15,$B$16,TRUE()))</f>
        <v>0.957386315587987</v>
      </c>
      <c r="E994" s="21" t="n">
        <f aca="false">IF(B994="","",IF(B994&gt;=$B$15,1-TDIST((B994-$B$15)/$B$18,$B$17,1),TDIST(($B$15-B994)/$B$18,$B$17,1)))</f>
        <v>0.959432637149414</v>
      </c>
      <c r="F994" s="21" t="n">
        <f aca="false">IF(B994="","",IF(B994&lt;$B$19,0.5*EXP((B994-$B$19)/$B$20),1-0.5*EXP(-(B994-$B$19)/$B$20)))</f>
        <v>0.954756222489182</v>
      </c>
      <c r="G994" s="21" t="n">
        <f aca="false">IF(B994="","",1/(1+EXP(-(B994-$B$15)/$B$21)))</f>
        <v>0.957782390319849</v>
      </c>
      <c r="H994" s="21" t="n">
        <f aca="false">IF(B994="","",MAX(ABS($A994/$B$6-D994),ABS(($A994-1)/$B$6-D994)))</f>
        <v>0.00061368441201326</v>
      </c>
      <c r="I994" s="21" t="n">
        <f aca="false">IF(B994="","",MAX(ABS($A994/$B$6-E994),ABS(($A994-1)/$B$6-E994)))</f>
        <v>0.00243263714941377</v>
      </c>
      <c r="J994" s="21" t="n">
        <f aca="false">IF(B994="","",MAX(ABS($A994/$B$6-F994),ABS(($A994-1)/$B$6-F994)))</f>
        <v>0.00324377751081806</v>
      </c>
      <c r="K994" s="21" t="n">
        <f aca="false">IF(B994="","",MAX(ABS($A994/$B$6-G994),ABS(($A994-1)/$B$6-G994)))</f>
        <v>0.000782390319848725</v>
      </c>
    </row>
    <row r="995" customFormat="false" ht="15" hidden="false" customHeight="false" outlineLevel="0" collapsed="false">
      <c r="A995" s="11" t="n">
        <v>959</v>
      </c>
      <c r="B995" s="9" t="n">
        <f aca="false">IF(A995&gt;$B$6,"",SMALL(BTC_Data!$C$3:$C$1002,A995))</f>
        <v>0.0022384909703963</v>
      </c>
      <c r="C995" s="21" t="n">
        <f aca="false">IF(B995="","",A995/$B$6)</f>
        <v>0.959</v>
      </c>
      <c r="D995" s="21" t="n">
        <f aca="false">IF(B995="","",NORMDIST(B995,$B$15,$B$16,TRUE()))</f>
        <v>0.961411447406486</v>
      </c>
      <c r="E995" s="21" t="n">
        <f aca="false">IF(B995="","",IF(B995&gt;=$B$15,1-TDIST((B995-$B$15)/$B$18,$B$17,1),TDIST(($B$15-B995)/$B$18,$B$17,1)))</f>
        <v>0.962576033456703</v>
      </c>
      <c r="F995" s="21" t="n">
        <f aca="false">IF(B995="","",IF(B995&lt;$B$19,0.5*EXP((B995-$B$19)/$B$20),1-0.5*EXP(-(B995-$B$19)/$B$20)))</f>
        <v>0.957583480099524</v>
      </c>
      <c r="G995" s="21" t="n">
        <f aca="false">IF(B995="","",1/(1+EXP(-(B995-$B$15)/$B$21)))</f>
        <v>0.9610421251056</v>
      </c>
      <c r="H995" s="21" t="n">
        <f aca="false">IF(B995="","",MAX(ABS($A995/$B$6-D995),ABS(($A995-1)/$B$6-D995)))</f>
        <v>0.00341144740648591</v>
      </c>
      <c r="I995" s="21" t="n">
        <f aca="false">IF(B995="","",MAX(ABS($A995/$B$6-E995),ABS(($A995-1)/$B$6-E995)))</f>
        <v>0.00457603345670332</v>
      </c>
      <c r="J995" s="21" t="n">
        <f aca="false">IF(B995="","",MAX(ABS($A995/$B$6-F995),ABS(($A995-1)/$B$6-F995)))</f>
        <v>0.00141651990047553</v>
      </c>
      <c r="K995" s="21" t="n">
        <f aca="false">IF(B995="","",MAX(ABS($A995/$B$6-G995),ABS(($A995-1)/$B$6-G995)))</f>
        <v>0.0030421251056002</v>
      </c>
    </row>
    <row r="996" customFormat="false" ht="15" hidden="false" customHeight="false" outlineLevel="0" collapsed="false">
      <c r="A996" s="11" t="n">
        <v>960</v>
      </c>
      <c r="B996" s="9" t="n">
        <f aca="false">IF(A996&gt;$B$6,"",SMALL(BTC_Data!$C$3:$C$1002,A996))</f>
        <v>0.00224131213134959</v>
      </c>
      <c r="C996" s="21" t="n">
        <f aca="false">IF(B996="","",A996/$B$6)</f>
        <v>0.96</v>
      </c>
      <c r="D996" s="21" t="n">
        <f aca="false">IF(B996="","",NORMDIST(B996,$B$15,$B$16,TRUE()))</f>
        <v>0.96159652081685</v>
      </c>
      <c r="E996" s="21" t="n">
        <f aca="false">IF(B996="","",IF(B996&gt;=$B$15,1-TDIST((B996-$B$15)/$B$18,$B$17,1),TDIST(($B$15-B996)/$B$18,$B$17,1)))</f>
        <v>0.962720620206554</v>
      </c>
      <c r="F996" s="21" t="n">
        <f aca="false">IF(B996="","",IF(B996&lt;$B$19,0.5*EXP((B996-$B$19)/$B$20),1-0.5*EXP(-(B996-$B$19)/$B$20)))</f>
        <v>0.957714610709844</v>
      </c>
      <c r="G996" s="21" t="n">
        <f aca="false">IF(B996="","",1/(1+EXP(-(B996-$B$15)/$B$21)))</f>
        <v>0.961192313902506</v>
      </c>
      <c r="H996" s="21" t="n">
        <f aca="false">IF(B996="","",MAX(ABS($A996/$B$6-D996),ABS(($A996-1)/$B$6-D996)))</f>
        <v>0.00259652081684991</v>
      </c>
      <c r="I996" s="21" t="n">
        <f aca="false">IF(B996="","",MAX(ABS($A996/$B$6-E996),ABS(($A996-1)/$B$6-E996)))</f>
        <v>0.00372062020655395</v>
      </c>
      <c r="J996" s="21" t="n">
        <f aca="false">IF(B996="","",MAX(ABS($A996/$B$6-F996),ABS(($A996-1)/$B$6-F996)))</f>
        <v>0.00228538929015609</v>
      </c>
      <c r="K996" s="21" t="n">
        <f aca="false">IF(B996="","",MAX(ABS($A996/$B$6-G996),ABS(($A996-1)/$B$6-G996)))</f>
        <v>0.00219231390250629</v>
      </c>
    </row>
    <row r="997" customFormat="false" ht="15" hidden="false" customHeight="false" outlineLevel="0" collapsed="false">
      <c r="A997" s="11" t="n">
        <v>961</v>
      </c>
      <c r="B997" s="9" t="n">
        <f aca="false">IF(A997&gt;$B$6,"",SMALL(BTC_Data!$C$3:$C$1002,A997))</f>
        <v>0.00224830521229014</v>
      </c>
      <c r="C997" s="21" t="n">
        <f aca="false">IF(B997="","",A997/$B$6)</f>
        <v>0.961</v>
      </c>
      <c r="D997" s="21" t="n">
        <f aca="false">IF(B997="","",NORMDIST(B997,$B$15,$B$16,TRUE()))</f>
        <v>0.962052161546099</v>
      </c>
      <c r="E997" s="21" t="n">
        <f aca="false">IF(B997="","",IF(B997&gt;=$B$15,1-TDIST((B997-$B$15)/$B$18,$B$17,1),TDIST(($B$15-B997)/$B$18,$B$17,1)))</f>
        <v>0.963076625260718</v>
      </c>
      <c r="F997" s="21" t="n">
        <f aca="false">IF(B997="","",IF(B997&lt;$B$19,0.5*EXP((B997-$B$19)/$B$20),1-0.5*EXP(-(B997-$B$19)/$B$20)))</f>
        <v>0.958037911448485</v>
      </c>
      <c r="G997" s="21" t="n">
        <f aca="false">IF(B997="","",1/(1+EXP(-(B997-$B$15)/$B$21)))</f>
        <v>0.961562209186121</v>
      </c>
      <c r="H997" s="21" t="n">
        <f aca="false">IF(B997="","",MAX(ABS($A997/$B$6-D997),ABS(($A997-1)/$B$6-D997)))</f>
        <v>0.00205216154609911</v>
      </c>
      <c r="I997" s="21" t="n">
        <f aca="false">IF(B997="","",MAX(ABS($A997/$B$6-E997),ABS(($A997-1)/$B$6-E997)))</f>
        <v>0.00307662526071839</v>
      </c>
      <c r="J997" s="21" t="n">
        <f aca="false">IF(B997="","",MAX(ABS($A997/$B$6-F997),ABS(($A997-1)/$B$6-F997)))</f>
        <v>0.00296208855151481</v>
      </c>
      <c r="K997" s="21" t="n">
        <f aca="false">IF(B997="","",MAX(ABS($A997/$B$6-G997),ABS(($A997-1)/$B$6-G997)))</f>
        <v>0.00156220918612082</v>
      </c>
    </row>
    <row r="998" customFormat="false" ht="15" hidden="false" customHeight="false" outlineLevel="0" collapsed="false">
      <c r="A998" s="11" t="n">
        <v>962</v>
      </c>
      <c r="B998" s="9" t="n">
        <f aca="false">IF(A998&gt;$B$6,"",SMALL(BTC_Data!$C$3:$C$1002,A998))</f>
        <v>0.00225553744450147</v>
      </c>
      <c r="C998" s="21" t="n">
        <f aca="false">IF(B998="","",A998/$B$6)</f>
        <v>0.962</v>
      </c>
      <c r="D998" s="21" t="n">
        <f aca="false">IF(B998="","",NORMDIST(B998,$B$15,$B$16,TRUE()))</f>
        <v>0.962518734990228</v>
      </c>
      <c r="E998" s="21" t="n">
        <f aca="false">IF(B998="","",IF(B998&gt;=$B$15,1-TDIST((B998-$B$15)/$B$18,$B$17,1),TDIST(($B$15-B998)/$B$18,$B$17,1)))</f>
        <v>0.963441239274623</v>
      </c>
      <c r="F998" s="21" t="n">
        <f aca="false">IF(B998="","",IF(B998&lt;$B$19,0.5*EXP((B998-$B$19)/$B$20),1-0.5*EXP(-(B998-$B$19)/$B$20)))</f>
        <v>0.958369668639537</v>
      </c>
      <c r="G998" s="21" t="n">
        <f aca="false">IF(B998="","",1/(1+EXP(-(B998-$B$15)/$B$21)))</f>
        <v>0.961941192905756</v>
      </c>
      <c r="H998" s="21" t="n">
        <f aca="false">IF(B998="","",MAX(ABS($A998/$B$6-D998),ABS(($A998-1)/$B$6-D998)))</f>
        <v>0.00151873499022781</v>
      </c>
      <c r="I998" s="21" t="n">
        <f aca="false">IF(B998="","",MAX(ABS($A998/$B$6-E998),ABS(($A998-1)/$B$6-E998)))</f>
        <v>0.00244123927462303</v>
      </c>
      <c r="J998" s="21" t="n">
        <f aca="false">IF(B998="","",MAX(ABS($A998/$B$6-F998),ABS(($A998-1)/$B$6-F998)))</f>
        <v>0.00363033136046309</v>
      </c>
      <c r="K998" s="21" t="n">
        <f aca="false">IF(B998="","",MAX(ABS($A998/$B$6-G998),ABS(($A998-1)/$B$6-G998)))</f>
        <v>0.000941192905756338</v>
      </c>
    </row>
    <row r="999" customFormat="false" ht="15" hidden="false" customHeight="false" outlineLevel="0" collapsed="false">
      <c r="A999" s="11" t="n">
        <v>963</v>
      </c>
      <c r="B999" s="9" t="n">
        <f aca="false">IF(A999&gt;$B$6,"",SMALL(BTC_Data!$C$3:$C$1002,A999))</f>
        <v>0.0022582532097617</v>
      </c>
      <c r="C999" s="21" t="n">
        <f aca="false">IF(B999="","",A999/$B$6)</f>
        <v>0.963</v>
      </c>
      <c r="D999" s="21" t="n">
        <f aca="false">IF(B999="","",NORMDIST(B999,$B$15,$B$16,TRUE()))</f>
        <v>0.962692722950145</v>
      </c>
      <c r="E999" s="21" t="n">
        <f aca="false">IF(B999="","",IF(B999&gt;=$B$15,1-TDIST((B999-$B$15)/$B$18,$B$17,1),TDIST(($B$15-B999)/$B$18,$B$17,1)))</f>
        <v>0.963577225278077</v>
      </c>
      <c r="F999" s="21" t="n">
        <f aca="false">IF(B999="","",IF(B999&lt;$B$19,0.5*EXP((B999-$B$19)/$B$20),1-0.5*EXP(-(B999-$B$19)/$B$20)))</f>
        <v>0.95849356780654</v>
      </c>
      <c r="G999" s="21" t="n">
        <f aca="false">IF(B999="","",1/(1+EXP(-(B999-$B$15)/$B$21)))</f>
        <v>0.962082575666223</v>
      </c>
      <c r="H999" s="21" t="n">
        <f aca="false">IF(B999="","",MAX(ABS($A999/$B$6-D999),ABS(($A999-1)/$B$6-D999)))</f>
        <v>0.000692722950144553</v>
      </c>
      <c r="I999" s="21" t="n">
        <f aca="false">IF(B999="","",MAX(ABS($A999/$B$6-E999),ABS(($A999-1)/$B$6-E999)))</f>
        <v>0.00157722527807658</v>
      </c>
      <c r="J999" s="21" t="n">
        <f aca="false">IF(B999="","",MAX(ABS($A999/$B$6-F999),ABS(($A999-1)/$B$6-F999)))</f>
        <v>0.00450643219345992</v>
      </c>
      <c r="K999" s="21" t="n">
        <f aca="false">IF(B999="","",MAX(ABS($A999/$B$6-G999),ABS(($A999-1)/$B$6-G999)))</f>
        <v>0.000917424333776951</v>
      </c>
    </row>
    <row r="1000" customFormat="false" ht="15" hidden="false" customHeight="false" outlineLevel="0" collapsed="false">
      <c r="A1000" s="11" t="n">
        <v>964</v>
      </c>
      <c r="B1000" s="9" t="n">
        <f aca="false">IF(A1000&gt;$B$6,"",SMALL(BTC_Data!$C$3:$C$1002,A1000))</f>
        <v>0.00226809560676422</v>
      </c>
      <c r="C1000" s="21" t="n">
        <f aca="false">IF(B1000="","",A1000/$B$6)</f>
        <v>0.964</v>
      </c>
      <c r="D1000" s="21" t="n">
        <f aca="false">IF(B1000="","",NORMDIST(B1000,$B$15,$B$16,TRUE()))</f>
        <v>0.963317764202615</v>
      </c>
      <c r="E1000" s="21" t="n">
        <f aca="false">IF(B1000="","",IF(B1000&gt;=$B$15,1-TDIST((B1000-$B$15)/$B$18,$B$17,1),TDIST(($B$15-B1000)/$B$18,$B$17,1)))</f>
        <v>0.964065843885518</v>
      </c>
      <c r="F1000" s="21" t="n">
        <f aca="false">IF(B1000="","",IF(B1000&lt;$B$19,0.5*EXP((B1000-$B$19)/$B$20),1-0.5*EXP(-(B1000-$B$19)/$B$20)))</f>
        <v>0.958939517712561</v>
      </c>
      <c r="G1000" s="21" t="n">
        <f aca="false">IF(B1000="","",1/(1+EXP(-(B1000-$B$15)/$B$21)))</f>
        <v>0.962590754839057</v>
      </c>
      <c r="H1000" s="21" t="n">
        <f aca="false">IF(B1000="","",MAX(ABS($A1000/$B$6-D1000),ABS(($A1000-1)/$B$6-D1000)))</f>
        <v>0.000682235797385022</v>
      </c>
      <c r="I1000" s="21" t="n">
        <f aca="false">IF(B1000="","",MAX(ABS($A1000/$B$6-E1000),ABS(($A1000-1)/$B$6-E1000)))</f>
        <v>0.00106584388551823</v>
      </c>
      <c r="J1000" s="21" t="n">
        <f aca="false">IF(B1000="","",MAX(ABS($A1000/$B$6-F1000),ABS(($A1000-1)/$B$6-F1000)))</f>
        <v>0.00506048228743872</v>
      </c>
      <c r="K1000" s="21" t="n">
        <f aca="false">IF(B1000="","",MAX(ABS($A1000/$B$6-G1000),ABS(($A1000-1)/$B$6-G1000)))</f>
        <v>0.00140924516094343</v>
      </c>
    </row>
    <row r="1001" customFormat="false" ht="15" hidden="false" customHeight="false" outlineLevel="0" collapsed="false">
      <c r="A1001" s="11" t="n">
        <v>965</v>
      </c>
      <c r="B1001" s="9" t="n">
        <f aca="false">IF(A1001&gt;$B$6,"",SMALL(BTC_Data!$C$3:$C$1002,A1001))</f>
        <v>0.00230871875995087</v>
      </c>
      <c r="C1001" s="21" t="n">
        <f aca="false">IF(B1001="","",A1001/$B$6)</f>
        <v>0.965</v>
      </c>
      <c r="D1001" s="21" t="n">
        <f aca="false">IF(B1001="","",NORMDIST(B1001,$B$15,$B$16,TRUE()))</f>
        <v>0.965807526893834</v>
      </c>
      <c r="E1001" s="21" t="n">
        <f aca="false">IF(B1001="","",IF(B1001&gt;=$B$15,1-TDIST((B1001-$B$15)/$B$18,$B$17,1),TDIST(($B$15-B1001)/$B$18,$B$17,1)))</f>
        <v>0.96601415198682</v>
      </c>
      <c r="F1001" s="21" t="n">
        <f aca="false">IF(B1001="","",IF(B1001&lt;$B$19,0.5*EXP((B1001-$B$19)/$B$20),1-0.5*EXP(-(B1001-$B$19)/$B$20)))</f>
        <v>0.960729981484471</v>
      </c>
      <c r="G1001" s="21" t="n">
        <f aca="false">IF(B1001="","",1/(1+EXP(-(B1001-$B$15)/$B$21)))</f>
        <v>0.964619743535292</v>
      </c>
      <c r="H1001" s="21" t="n">
        <f aca="false">IF(B1001="","",MAX(ABS($A1001/$B$6-D1001),ABS(($A1001-1)/$B$6-D1001)))</f>
        <v>0.00180752689383368</v>
      </c>
      <c r="I1001" s="21" t="n">
        <f aca="false">IF(B1001="","",MAX(ABS($A1001/$B$6-E1001),ABS(($A1001-1)/$B$6-E1001)))</f>
        <v>0.00201415198681987</v>
      </c>
      <c r="J1001" s="21" t="n">
        <f aca="false">IF(B1001="","",MAX(ABS($A1001/$B$6-F1001),ABS(($A1001-1)/$B$6-F1001)))</f>
        <v>0.00427001851552944</v>
      </c>
      <c r="K1001" s="21" t="n">
        <f aca="false">IF(B1001="","",MAX(ABS($A1001/$B$6-G1001),ABS(($A1001-1)/$B$6-G1001)))</f>
        <v>0.00061974353529215</v>
      </c>
    </row>
    <row r="1002" customFormat="false" ht="15" hidden="false" customHeight="false" outlineLevel="0" collapsed="false">
      <c r="A1002" s="11" t="n">
        <v>966</v>
      </c>
      <c r="B1002" s="9" t="n">
        <f aca="false">IF(A1002&gt;$B$6,"",SMALL(BTC_Data!$C$3:$C$1002,A1002))</f>
        <v>0.00231689943562885</v>
      </c>
      <c r="C1002" s="21" t="n">
        <f aca="false">IF(B1002="","",A1002/$B$6)</f>
        <v>0.966</v>
      </c>
      <c r="D1002" s="21" t="n">
        <f aca="false">IF(B1002="","",NORMDIST(B1002,$B$15,$B$16,TRUE()))</f>
        <v>0.96629171896988</v>
      </c>
      <c r="E1002" s="21" t="n">
        <f aca="false">IF(B1002="","",IF(B1002&gt;=$B$15,1-TDIST((B1002-$B$15)/$B$18,$B$17,1),TDIST(($B$15-B1002)/$B$18,$B$17,1)))</f>
        <v>0.966393510749862</v>
      </c>
      <c r="F1002" s="21" t="n">
        <f aca="false">IF(B1002="","",IF(B1002&lt;$B$19,0.5*EXP((B1002-$B$19)/$B$20),1-0.5*EXP(-(B1002-$B$19)/$B$20)))</f>
        <v>0.961080988220342</v>
      </c>
      <c r="G1002" s="21" t="n">
        <f aca="false">IF(B1002="","",1/(1+EXP(-(B1002-$B$15)/$B$21)))</f>
        <v>0.965015322108998</v>
      </c>
      <c r="H1002" s="21" t="n">
        <f aca="false">IF(B1002="","",MAX(ABS($A1002/$B$6-D1002),ABS(($A1002-1)/$B$6-D1002)))</f>
        <v>0.00129171896988045</v>
      </c>
      <c r="I1002" s="21" t="n">
        <f aca="false">IF(B1002="","",MAX(ABS($A1002/$B$6-E1002),ABS(($A1002-1)/$B$6-E1002)))</f>
        <v>0.00139351074986216</v>
      </c>
      <c r="J1002" s="21" t="n">
        <f aca="false">IF(B1002="","",MAX(ABS($A1002/$B$6-F1002),ABS(($A1002-1)/$B$6-F1002)))</f>
        <v>0.00491901177965837</v>
      </c>
      <c r="K1002" s="21" t="n">
        <f aca="false">IF(B1002="","",MAX(ABS($A1002/$B$6-G1002),ABS(($A1002-1)/$B$6-G1002)))</f>
        <v>0.000984677891002095</v>
      </c>
    </row>
    <row r="1003" customFormat="false" ht="15" hidden="false" customHeight="false" outlineLevel="0" collapsed="false">
      <c r="A1003" s="11" t="n">
        <v>967</v>
      </c>
      <c r="B1003" s="9" t="n">
        <f aca="false">IF(A1003&gt;$B$6,"",SMALL(BTC_Data!$C$3:$C$1002,A1003))</f>
        <v>0.00234847118448878</v>
      </c>
      <c r="C1003" s="21" t="n">
        <f aca="false">IF(B1003="","",A1003/$B$6)</f>
        <v>0.967</v>
      </c>
      <c r="D1003" s="21" t="n">
        <f aca="false">IF(B1003="","",NORMDIST(B1003,$B$15,$B$16,TRUE()))</f>
        <v>0.968107743462968</v>
      </c>
      <c r="E1003" s="21" t="n">
        <f aca="false">IF(B1003="","",IF(B1003&gt;=$B$15,1-TDIST((B1003-$B$15)/$B$18,$B$17,1),TDIST(($B$15-B1003)/$B$18,$B$17,1)))</f>
        <v>0.967818124260374</v>
      </c>
      <c r="F1003" s="21" t="n">
        <f aca="false">IF(B1003="","",IF(B1003&lt;$B$19,0.5*EXP((B1003-$B$19)/$B$20),1-0.5*EXP(-(B1003-$B$19)/$B$20)))</f>
        <v>0.962406462265858</v>
      </c>
      <c r="G1003" s="21" t="n">
        <f aca="false">IF(B1003="","",1/(1+EXP(-(B1003-$B$15)/$B$21)))</f>
        <v>0.966502374541955</v>
      </c>
      <c r="H1003" s="21" t="n">
        <f aca="false">IF(B1003="","",MAX(ABS($A1003/$B$6-D1003),ABS(($A1003-1)/$B$6-D1003)))</f>
        <v>0.00210774346296794</v>
      </c>
      <c r="I1003" s="21" t="n">
        <f aca="false">IF(B1003="","",MAX(ABS($A1003/$B$6-E1003),ABS(($A1003-1)/$B$6-E1003)))</f>
        <v>0.00181812426037387</v>
      </c>
      <c r="J1003" s="21" t="n">
        <f aca="false">IF(B1003="","",MAX(ABS($A1003/$B$6-F1003),ABS(($A1003-1)/$B$6-F1003)))</f>
        <v>0.00459353773414184</v>
      </c>
      <c r="K1003" s="21" t="n">
        <f aca="false">IF(B1003="","",MAX(ABS($A1003/$B$6-G1003),ABS(($A1003-1)/$B$6-G1003)))</f>
        <v>0.000502374541954676</v>
      </c>
    </row>
    <row r="1004" customFormat="false" ht="15" hidden="false" customHeight="false" outlineLevel="0" collapsed="false">
      <c r="A1004" s="11" t="n">
        <v>968</v>
      </c>
      <c r="B1004" s="9" t="n">
        <f aca="false">IF(A1004&gt;$B$6,"",SMALL(BTC_Data!$C$3:$C$1002,A1004))</f>
        <v>0.00242557660008491</v>
      </c>
      <c r="C1004" s="21" t="n">
        <f aca="false">IF(B1004="","",A1004/$B$6)</f>
        <v>0.968</v>
      </c>
      <c r="D1004" s="21" t="n">
        <f aca="false">IF(B1004="","",NORMDIST(B1004,$B$15,$B$16,TRUE()))</f>
        <v>0.972205326461865</v>
      </c>
      <c r="E1004" s="21" t="n">
        <f aca="false">IF(B1004="","",IF(B1004&gt;=$B$15,1-TDIST((B1004-$B$15)/$B$18,$B$17,1),TDIST(($B$15-B1004)/$B$18,$B$17,1)))</f>
        <v>0.971046901004175</v>
      </c>
      <c r="F1004" s="21" t="n">
        <f aca="false">IF(B1004="","",IF(B1004&lt;$B$19,0.5*EXP((B1004-$B$19)/$B$20),1-0.5*EXP(-(B1004-$B$19)/$B$20)))</f>
        <v>0.965456919603669</v>
      </c>
      <c r="G1004" s="21" t="n">
        <f aca="false">IF(B1004="","",1/(1+EXP(-(B1004-$B$15)/$B$21)))</f>
        <v>0.969881941825811</v>
      </c>
      <c r="H1004" s="21" t="n">
        <f aca="false">IF(B1004="","",MAX(ABS($A1004/$B$6-D1004),ABS(($A1004-1)/$B$6-D1004)))</f>
        <v>0.00520532646186467</v>
      </c>
      <c r="I1004" s="21" t="n">
        <f aca="false">IF(B1004="","",MAX(ABS($A1004/$B$6-E1004),ABS(($A1004-1)/$B$6-E1004)))</f>
        <v>0.00404690100417504</v>
      </c>
      <c r="J1004" s="21" t="n">
        <f aca="false">IF(B1004="","",MAX(ABS($A1004/$B$6-F1004),ABS(($A1004-1)/$B$6-F1004)))</f>
        <v>0.00254308039633133</v>
      </c>
      <c r="K1004" s="21" t="n">
        <f aca="false">IF(B1004="","",MAX(ABS($A1004/$B$6-G1004),ABS(($A1004-1)/$B$6-G1004)))</f>
        <v>0.00288194182581114</v>
      </c>
    </row>
    <row r="1005" customFormat="false" ht="15" hidden="false" customHeight="false" outlineLevel="0" collapsed="false">
      <c r="A1005" s="11" t="n">
        <v>969</v>
      </c>
      <c r="B1005" s="9" t="n">
        <f aca="false">IF(A1005&gt;$B$6,"",SMALL(BTC_Data!$C$3:$C$1002,A1005))</f>
        <v>0.00246030646078377</v>
      </c>
      <c r="C1005" s="21" t="n">
        <f aca="false">IF(B1005="","",A1005/$B$6)</f>
        <v>0.969</v>
      </c>
      <c r="D1005" s="21" t="n">
        <f aca="false">IF(B1005="","",NORMDIST(B1005,$B$15,$B$16,TRUE()))</f>
        <v>0.973902247450268</v>
      </c>
      <c r="E1005" s="21" t="n">
        <f aca="false">IF(B1005="","",IF(B1005&gt;=$B$15,1-TDIST((B1005-$B$15)/$B$18,$B$17,1),TDIST(($B$15-B1005)/$B$18,$B$17,1)))</f>
        <v>0.972392183614054</v>
      </c>
      <c r="F1005" s="21" t="n">
        <f aca="false">IF(B1005="","",IF(B1005&lt;$B$19,0.5*EXP((B1005-$B$19)/$B$20),1-0.5*EXP(-(B1005-$B$19)/$B$20)))</f>
        <v>0.966748813360188</v>
      </c>
      <c r="G1005" s="21" t="n">
        <f aca="false">IF(B1005="","",1/(1+EXP(-(B1005-$B$15)/$B$21)))</f>
        <v>0.971294018669392</v>
      </c>
      <c r="H1005" s="21" t="n">
        <f aca="false">IF(B1005="","",MAX(ABS($A1005/$B$6-D1005),ABS(($A1005-1)/$B$6-D1005)))</f>
        <v>0.00590224745026791</v>
      </c>
      <c r="I1005" s="21" t="n">
        <f aca="false">IF(B1005="","",MAX(ABS($A1005/$B$6-E1005),ABS(($A1005-1)/$B$6-E1005)))</f>
        <v>0.00439218361405358</v>
      </c>
      <c r="J1005" s="21" t="n">
        <f aca="false">IF(B1005="","",MAX(ABS($A1005/$B$6-F1005),ABS(($A1005-1)/$B$6-F1005)))</f>
        <v>0.00225118663981183</v>
      </c>
      <c r="K1005" s="21" t="n">
        <f aca="false">IF(B1005="","",MAX(ABS($A1005/$B$6-G1005),ABS(($A1005-1)/$B$6-G1005)))</f>
        <v>0.00329401866939205</v>
      </c>
    </row>
    <row r="1006" customFormat="false" ht="15" hidden="false" customHeight="false" outlineLevel="0" collapsed="false">
      <c r="A1006" s="11" t="n">
        <v>970</v>
      </c>
      <c r="B1006" s="9" t="n">
        <f aca="false">IF(A1006&gt;$B$6,"",SMALL(BTC_Data!$C$3:$C$1002,A1006))</f>
        <v>0.00250769620568536</v>
      </c>
      <c r="C1006" s="21" t="n">
        <f aca="false">IF(B1006="","",A1006/$B$6)</f>
        <v>0.97</v>
      </c>
      <c r="D1006" s="21" t="n">
        <f aca="false">IF(B1006="","",NORMDIST(B1006,$B$15,$B$16,TRUE()))</f>
        <v>0.976077208632259</v>
      </c>
      <c r="E1006" s="21" t="n">
        <f aca="false">IF(B1006="","",IF(B1006&gt;=$B$15,1-TDIST((B1006-$B$15)/$B$18,$B$17,1),TDIST(($B$15-B1006)/$B$18,$B$17,1)))</f>
        <v>0.974126071139675</v>
      </c>
      <c r="F1006" s="21" t="n">
        <f aca="false">IF(B1006="","",IF(B1006&lt;$B$19,0.5*EXP((B1006-$B$19)/$B$20),1-0.5*EXP(-(B1006-$B$19)/$B$20)))</f>
        <v>0.968434045451737</v>
      </c>
      <c r="G1006" s="21" t="n">
        <f aca="false">IF(B1006="","",1/(1+EXP(-(B1006-$B$15)/$B$21)))</f>
        <v>0.973117585613597</v>
      </c>
      <c r="H1006" s="21" t="n">
        <f aca="false">IF(B1006="","",MAX(ABS($A1006/$B$6-D1006),ABS(($A1006-1)/$B$6-D1006)))</f>
        <v>0.00707720863225936</v>
      </c>
      <c r="I1006" s="21" t="n">
        <f aca="false">IF(B1006="","",MAX(ABS($A1006/$B$6-E1006),ABS(($A1006-1)/$B$6-E1006)))</f>
        <v>0.00512607113967534</v>
      </c>
      <c r="J1006" s="21" t="n">
        <f aca="false">IF(B1006="","",MAX(ABS($A1006/$B$6-F1006),ABS(($A1006-1)/$B$6-F1006)))</f>
        <v>0.00156595454826325</v>
      </c>
      <c r="K1006" s="21" t="n">
        <f aca="false">IF(B1006="","",MAX(ABS($A1006/$B$6-G1006),ABS(($A1006-1)/$B$6-G1006)))</f>
        <v>0.00411758561359665</v>
      </c>
    </row>
    <row r="1007" customFormat="false" ht="15" hidden="false" customHeight="false" outlineLevel="0" collapsed="false">
      <c r="A1007" s="11" t="n">
        <v>971</v>
      </c>
      <c r="B1007" s="9" t="n">
        <f aca="false">IF(A1007&gt;$B$6,"",SMALL(BTC_Data!$C$3:$C$1002,A1007))</f>
        <v>0.00252654432424948</v>
      </c>
      <c r="C1007" s="21" t="n">
        <f aca="false">IF(B1007="","",A1007/$B$6)</f>
        <v>0.971</v>
      </c>
      <c r="D1007" s="21" t="n">
        <f aca="false">IF(B1007="","",NORMDIST(B1007,$B$15,$B$16,TRUE()))</f>
        <v>0.976898856776582</v>
      </c>
      <c r="E1007" s="21" t="n">
        <f aca="false">IF(B1007="","",IF(B1007&gt;=$B$15,1-TDIST((B1007-$B$15)/$B$18,$B$17,1),TDIST(($B$15-B1007)/$B$18,$B$17,1)))</f>
        <v>0.974784471495015</v>
      </c>
      <c r="F1007" s="21" t="n">
        <f aca="false">IF(B1007="","",IF(B1007&lt;$B$19,0.5*EXP((B1007-$B$19)/$B$20),1-0.5*EXP(-(B1007-$B$19)/$B$20)))</f>
        <v>0.969080318550594</v>
      </c>
      <c r="G1007" s="21" t="n">
        <f aca="false">IF(B1007="","",1/(1+EXP(-(B1007-$B$15)/$B$21)))</f>
        <v>0.973811123463207</v>
      </c>
      <c r="H1007" s="21" t="n">
        <f aca="false">IF(B1007="","",MAX(ABS($A1007/$B$6-D1007),ABS(($A1007-1)/$B$6-D1007)))</f>
        <v>0.00689885677658153</v>
      </c>
      <c r="I1007" s="21" t="n">
        <f aca="false">IF(B1007="","",MAX(ABS($A1007/$B$6-E1007),ABS(($A1007-1)/$B$6-E1007)))</f>
        <v>0.0047844714950146</v>
      </c>
      <c r="J1007" s="21" t="n">
        <f aca="false">IF(B1007="","",MAX(ABS($A1007/$B$6-F1007),ABS(($A1007-1)/$B$6-F1007)))</f>
        <v>0.00191968144940635</v>
      </c>
      <c r="K1007" s="21" t="n">
        <f aca="false">IF(B1007="","",MAX(ABS($A1007/$B$6-G1007),ABS(($A1007-1)/$B$6-G1007)))</f>
        <v>0.00381112346320733</v>
      </c>
    </row>
    <row r="1008" customFormat="false" ht="15" hidden="false" customHeight="false" outlineLevel="0" collapsed="false">
      <c r="A1008" s="11" t="n">
        <v>972</v>
      </c>
      <c r="B1008" s="9" t="n">
        <f aca="false">IF(A1008&gt;$B$6,"",SMALL(BTC_Data!$C$3:$C$1002,A1008))</f>
        <v>0.00255326508795783</v>
      </c>
      <c r="C1008" s="21" t="n">
        <f aca="false">IF(B1008="","",A1008/$B$6)</f>
        <v>0.972</v>
      </c>
      <c r="D1008" s="21" t="n">
        <f aca="false">IF(B1008="","",NORMDIST(B1008,$B$15,$B$16,TRUE()))</f>
        <v>0.978022876946356</v>
      </c>
      <c r="E1008" s="21" t="n">
        <f aca="false">IF(B1008="","",IF(B1008&gt;=$B$15,1-TDIST((B1008-$B$15)/$B$18,$B$17,1),TDIST(($B$15-B1008)/$B$18,$B$17,1)))</f>
        <v>0.975688684930939</v>
      </c>
      <c r="F1008" s="21" t="n">
        <f aca="false">IF(B1008="","",IF(B1008&lt;$B$19,0.5*EXP((B1008-$B$19)/$B$20),1-0.5*EXP(-(B1008-$B$19)/$B$20)))</f>
        <v>0.969973921521889</v>
      </c>
      <c r="G1008" s="21" t="n">
        <f aca="false">IF(B1008="","",1/(1+EXP(-(B1008-$B$15)/$B$21)))</f>
        <v>0.974764583545297</v>
      </c>
      <c r="H1008" s="21" t="n">
        <f aca="false">IF(B1008="","",MAX(ABS($A1008/$B$6-D1008),ABS(($A1008-1)/$B$6-D1008)))</f>
        <v>0.00702287694635628</v>
      </c>
      <c r="I1008" s="21" t="n">
        <f aca="false">IF(B1008="","",MAX(ABS($A1008/$B$6-E1008),ABS(($A1008-1)/$B$6-E1008)))</f>
        <v>0.00468868493093877</v>
      </c>
      <c r="J1008" s="21" t="n">
        <f aca="false">IF(B1008="","",MAX(ABS($A1008/$B$6-F1008),ABS(($A1008-1)/$B$6-F1008)))</f>
        <v>0.00202607847811109</v>
      </c>
      <c r="K1008" s="21" t="n">
        <f aca="false">IF(B1008="","",MAX(ABS($A1008/$B$6-G1008),ABS(($A1008-1)/$B$6-G1008)))</f>
        <v>0.00376458354529663</v>
      </c>
    </row>
    <row r="1009" customFormat="false" ht="15" hidden="false" customHeight="false" outlineLevel="0" collapsed="false">
      <c r="A1009" s="11" t="n">
        <v>973</v>
      </c>
      <c r="B1009" s="9" t="n">
        <f aca="false">IF(A1009&gt;$B$6,"",SMALL(BTC_Data!$C$3:$C$1002,A1009))</f>
        <v>0.00258859876541195</v>
      </c>
      <c r="C1009" s="21" t="n">
        <f aca="false">IF(B1009="","",A1009/$B$6)</f>
        <v>0.973</v>
      </c>
      <c r="D1009" s="21" t="n">
        <f aca="false">IF(B1009="","",NORMDIST(B1009,$B$15,$B$16,TRUE()))</f>
        <v>0.979438004300528</v>
      </c>
      <c r="E1009" s="21" t="n">
        <f aca="false">IF(B1009="","",IF(B1009&gt;=$B$15,1-TDIST((B1009-$B$15)/$B$18,$B$17,1),TDIST(($B$15-B1009)/$B$18,$B$17,1)))</f>
        <v>0.97683366745331</v>
      </c>
      <c r="F1009" s="21" t="n">
        <f aca="false">IF(B1009="","",IF(B1009&lt;$B$19,0.5*EXP((B1009-$B$19)/$B$20),1-0.5*EXP(-(B1009-$B$19)/$B$20)))</f>
        <v>0.971116029508094</v>
      </c>
      <c r="G1009" s="21" t="n">
        <f aca="false">IF(B1009="","",1/(1+EXP(-(B1009-$B$15)/$B$21)))</f>
        <v>0.97597359318145</v>
      </c>
      <c r="H1009" s="21" t="n">
        <f aca="false">IF(B1009="","",MAX(ABS($A1009/$B$6-D1009),ABS(($A1009-1)/$B$6-D1009)))</f>
        <v>0.00743800430052843</v>
      </c>
      <c r="I1009" s="21" t="n">
        <f aca="false">IF(B1009="","",MAX(ABS($A1009/$B$6-E1009),ABS(($A1009-1)/$B$6-E1009)))</f>
        <v>0.00483366745331004</v>
      </c>
      <c r="J1009" s="21" t="n">
        <f aca="false">IF(B1009="","",MAX(ABS($A1009/$B$6-F1009),ABS(($A1009-1)/$B$6-F1009)))</f>
        <v>0.0018839704919057</v>
      </c>
      <c r="K1009" s="21" t="n">
        <f aca="false">IF(B1009="","",MAX(ABS($A1009/$B$6-G1009),ABS(($A1009-1)/$B$6-G1009)))</f>
        <v>0.00397359318145019</v>
      </c>
    </row>
    <row r="1010" customFormat="false" ht="15" hidden="false" customHeight="false" outlineLevel="0" collapsed="false">
      <c r="A1010" s="11" t="n">
        <v>974</v>
      </c>
      <c r="B1010" s="9" t="n">
        <f aca="false">IF(A1010&gt;$B$6,"",SMALL(BTC_Data!$C$3:$C$1002,A1010))</f>
        <v>0.00271884756758678</v>
      </c>
      <c r="C1010" s="21" t="n">
        <f aca="false">IF(B1010="","",A1010/$B$6)</f>
        <v>0.974</v>
      </c>
      <c r="D1010" s="21" t="n">
        <f aca="false">IF(B1010="","",NORMDIST(B1010,$B$15,$B$16,TRUE()))</f>
        <v>0.984006549360349</v>
      </c>
      <c r="E1010" s="21" t="n">
        <f aca="false">IF(B1010="","",IF(B1010&gt;=$B$15,1-TDIST((B1010-$B$15)/$B$18,$B$17,1),TDIST(($B$15-B1010)/$B$18,$B$17,1)))</f>
        <v>0.980597123088644</v>
      </c>
      <c r="F1010" s="21" t="n">
        <f aca="false">IF(B1010="","",IF(B1010&lt;$B$19,0.5*EXP((B1010-$B$19)/$B$20),1-0.5*EXP(-(B1010-$B$19)/$B$20)))</f>
        <v>0.974963473480065</v>
      </c>
      <c r="G1010" s="21" t="n">
        <f aca="false">IF(B1010="","",1/(1+EXP(-(B1010-$B$15)/$B$21)))</f>
        <v>0.979960902772918</v>
      </c>
      <c r="H1010" s="21" t="n">
        <f aca="false">IF(B1010="","",MAX(ABS($A1010/$B$6-D1010),ABS(($A1010-1)/$B$6-D1010)))</f>
        <v>0.0110065493603488</v>
      </c>
      <c r="I1010" s="21" t="n">
        <f aca="false">IF(B1010="","",MAX(ABS($A1010/$B$6-E1010),ABS(($A1010-1)/$B$6-E1010)))</f>
        <v>0.00759712308864446</v>
      </c>
      <c r="J1010" s="21" t="n">
        <f aca="false">IF(B1010="","",MAX(ABS($A1010/$B$6-F1010),ABS(($A1010-1)/$B$6-F1010)))</f>
        <v>0.00196347348006498</v>
      </c>
      <c r="K1010" s="21" t="n">
        <f aca="false">IF(B1010="","",MAX(ABS($A1010/$B$6-G1010),ABS(($A1010-1)/$B$6-G1010)))</f>
        <v>0.00696090277291817</v>
      </c>
    </row>
    <row r="1011" customFormat="false" ht="15" hidden="false" customHeight="false" outlineLevel="0" collapsed="false">
      <c r="A1011" s="11" t="n">
        <v>975</v>
      </c>
      <c r="B1011" s="9" t="n">
        <f aca="false">IF(A1011&gt;$B$6,"",SMALL(BTC_Data!$C$3:$C$1002,A1011))</f>
        <v>0.00280781719599332</v>
      </c>
      <c r="C1011" s="21" t="n">
        <f aca="false">IF(B1011="","",A1011/$B$6)</f>
        <v>0.975</v>
      </c>
      <c r="D1011" s="21" t="n">
        <f aca="false">IF(B1011="","",NORMDIST(B1011,$B$15,$B$16,TRUE()))</f>
        <v>0.986601095618721</v>
      </c>
      <c r="E1011" s="21" t="n">
        <f aca="false">IF(B1011="","",IF(B1011&gt;=$B$15,1-TDIST((B1011-$B$15)/$B$18,$B$17,1),TDIST(($B$15-B1011)/$B$18,$B$17,1)))</f>
        <v>0.98279973261713</v>
      </c>
      <c r="F1011" s="21" t="n">
        <f aca="false">IF(B1011="","",IF(B1011&lt;$B$19,0.5*EXP((B1011-$B$19)/$B$20),1-0.5*EXP(-(B1011-$B$19)/$B$20)))</f>
        <v>0.97729262716339</v>
      </c>
      <c r="G1011" s="21" t="n">
        <f aca="false">IF(B1011="","",1/(1+EXP(-(B1011-$B$15)/$B$21)))</f>
        <v>0.982304114425446</v>
      </c>
      <c r="H1011" s="21" t="n">
        <f aca="false">IF(B1011="","",MAX(ABS($A1011/$B$6-D1011),ABS(($A1011-1)/$B$6-D1011)))</f>
        <v>0.0126010956187206</v>
      </c>
      <c r="I1011" s="21" t="n">
        <f aca="false">IF(B1011="","",MAX(ABS($A1011/$B$6-E1011),ABS(($A1011-1)/$B$6-E1011)))</f>
        <v>0.00879973261712963</v>
      </c>
      <c r="J1011" s="21" t="n">
        <f aca="false">IF(B1011="","",MAX(ABS($A1011/$B$6-F1011),ABS(($A1011-1)/$B$6-F1011)))</f>
        <v>0.00329262716338963</v>
      </c>
      <c r="K1011" s="21" t="n">
        <f aca="false">IF(B1011="","",MAX(ABS($A1011/$B$6-G1011),ABS(($A1011-1)/$B$6-G1011)))</f>
        <v>0.00830411442544643</v>
      </c>
    </row>
    <row r="1012" customFormat="false" ht="15" hidden="false" customHeight="false" outlineLevel="0" collapsed="false">
      <c r="A1012" s="11" t="n">
        <v>976</v>
      </c>
      <c r="B1012" s="9" t="n">
        <f aca="false">IF(A1012&gt;$B$6,"",SMALL(BTC_Data!$C$3:$C$1002,A1012))</f>
        <v>0.00286275364694744</v>
      </c>
      <c r="C1012" s="21" t="n">
        <f aca="false">IF(B1012="","",A1012/$B$6)</f>
        <v>0.976</v>
      </c>
      <c r="D1012" s="21" t="n">
        <f aca="false">IF(B1012="","",NORMDIST(B1012,$B$15,$B$16,TRUE()))</f>
        <v>0.988014607161288</v>
      </c>
      <c r="E1012" s="21" t="n">
        <f aca="false">IF(B1012="","",IF(B1012&gt;=$B$15,1-TDIST((B1012-$B$15)/$B$18,$B$17,1),TDIST(($B$15-B1012)/$B$18,$B$17,1)))</f>
        <v>0.984028543671939</v>
      </c>
      <c r="F1012" s="21" t="n">
        <f aca="false">IF(B1012="","",IF(B1012&lt;$B$19,0.5*EXP((B1012-$B$19)/$B$20),1-0.5*EXP(-(B1012-$B$19)/$B$20)))</f>
        <v>0.978621287473809</v>
      </c>
      <c r="G1012" s="21" t="n">
        <f aca="false">IF(B1012="","",1/(1+EXP(-(B1012-$B$15)/$B$21)))</f>
        <v>0.983614355668608</v>
      </c>
      <c r="H1012" s="21" t="n">
        <f aca="false">IF(B1012="","",MAX(ABS($A1012/$B$6-D1012),ABS(($A1012-1)/$B$6-D1012)))</f>
        <v>0.0130146071612878</v>
      </c>
      <c r="I1012" s="21" t="n">
        <f aca="false">IF(B1012="","",MAX(ABS($A1012/$B$6-E1012),ABS(($A1012-1)/$B$6-E1012)))</f>
        <v>0.00902854367193906</v>
      </c>
      <c r="J1012" s="21" t="n">
        <f aca="false">IF(B1012="","",MAX(ABS($A1012/$B$6-F1012),ABS(($A1012-1)/$B$6-F1012)))</f>
        <v>0.00362128747380852</v>
      </c>
      <c r="K1012" s="21" t="n">
        <f aca="false">IF(B1012="","",MAX(ABS($A1012/$B$6-G1012),ABS(($A1012-1)/$B$6-G1012)))</f>
        <v>0.00861435566860802</v>
      </c>
    </row>
    <row r="1013" customFormat="false" ht="15" hidden="false" customHeight="false" outlineLevel="0" collapsed="false">
      <c r="A1013" s="11" t="n">
        <v>977</v>
      </c>
      <c r="B1013" s="9" t="n">
        <f aca="false">IF(A1013&gt;$B$6,"",SMALL(BTC_Data!$C$3:$C$1002,A1013))</f>
        <v>0.00287787983811461</v>
      </c>
      <c r="C1013" s="21" t="n">
        <f aca="false">IF(B1013="","",A1013/$B$6)</f>
        <v>0.977</v>
      </c>
      <c r="D1013" s="21" t="n">
        <f aca="false">IF(B1013="","",NORMDIST(B1013,$B$15,$B$16,TRUE()))</f>
        <v>0.988380338134828</v>
      </c>
      <c r="E1013" s="21" t="n">
        <f aca="false">IF(B1013="","",IF(B1013&gt;=$B$15,1-TDIST((B1013-$B$15)/$B$18,$B$17,1),TDIST(($B$15-B1013)/$B$18,$B$17,1)))</f>
        <v>0.9843505616957</v>
      </c>
      <c r="F1013" s="21" t="n">
        <f aca="false">IF(B1013="","",IF(B1013&lt;$B$19,0.5*EXP((B1013-$B$19)/$B$20),1-0.5*EXP(-(B1013-$B$19)/$B$20)))</f>
        <v>0.978973272790791</v>
      </c>
      <c r="G1013" s="21" t="n">
        <f aca="false">IF(B1013="","",1/(1+EXP(-(B1013-$B$15)/$B$21)))</f>
        <v>0.983958052506562</v>
      </c>
      <c r="H1013" s="21" t="n">
        <f aca="false">IF(B1013="","",MAX(ABS($A1013/$B$6-D1013),ABS(($A1013-1)/$B$6-D1013)))</f>
        <v>0.0123803381348276</v>
      </c>
      <c r="I1013" s="21" t="n">
        <f aca="false">IF(B1013="","",MAX(ABS($A1013/$B$6-E1013),ABS(($A1013-1)/$B$6-E1013)))</f>
        <v>0.00835056169569992</v>
      </c>
      <c r="J1013" s="21" t="n">
        <f aca="false">IF(B1013="","",MAX(ABS($A1013/$B$6-F1013),ABS(($A1013-1)/$B$6-F1013)))</f>
        <v>0.00297327279079107</v>
      </c>
      <c r="K1013" s="21" t="n">
        <f aca="false">IF(B1013="","",MAX(ABS($A1013/$B$6-G1013),ABS(($A1013-1)/$B$6-G1013)))</f>
        <v>0.0079580525065619</v>
      </c>
    </row>
    <row r="1014" customFormat="false" ht="15" hidden="false" customHeight="false" outlineLevel="0" collapsed="false">
      <c r="A1014" s="11" t="n">
        <v>978</v>
      </c>
      <c r="B1014" s="9" t="n">
        <f aca="false">IF(A1014&gt;$B$6,"",SMALL(BTC_Data!$C$3:$C$1002,A1014))</f>
        <v>0.00289821041852689</v>
      </c>
      <c r="C1014" s="21" t="n">
        <f aca="false">IF(B1014="","",A1014/$B$6)</f>
        <v>0.978</v>
      </c>
      <c r="D1014" s="21" t="n">
        <f aca="false">IF(B1014="","",NORMDIST(B1014,$B$15,$B$16,TRUE()))</f>
        <v>0.98885661664475</v>
      </c>
      <c r="E1014" s="21" t="n">
        <f aca="false">IF(B1014="","",IF(B1014&gt;=$B$15,1-TDIST((B1014-$B$15)/$B$18,$B$17,1),TDIST(($B$15-B1014)/$B$18,$B$17,1)))</f>
        <v>0.984772735283169</v>
      </c>
      <c r="F1014" s="21" t="n">
        <f aca="false">IF(B1014="","",IF(B1014&lt;$B$19,0.5*EXP((B1014-$B$19)/$B$20),1-0.5*EXP(-(B1014-$B$19)/$B$20)))</f>
        <v>0.979437252047154</v>
      </c>
      <c r="G1014" s="21" t="n">
        <f aca="false">IF(B1014="","",1/(1+EXP(-(B1014-$B$15)/$B$21)))</f>
        <v>0.984408853736942</v>
      </c>
      <c r="H1014" s="21" t="n">
        <f aca="false">IF(B1014="","",MAX(ABS($A1014/$B$6-D1014),ABS(($A1014-1)/$B$6-D1014)))</f>
        <v>0.01185661664475</v>
      </c>
      <c r="I1014" s="21" t="n">
        <f aca="false">IF(B1014="","",MAX(ABS($A1014/$B$6-E1014),ABS(($A1014-1)/$B$6-E1014)))</f>
        <v>0.00777273528316891</v>
      </c>
      <c r="J1014" s="21" t="n">
        <f aca="false">IF(B1014="","",MAX(ABS($A1014/$B$6-F1014),ABS(($A1014-1)/$B$6-F1014)))</f>
        <v>0.00243725204715417</v>
      </c>
      <c r="K1014" s="21" t="n">
        <f aca="false">IF(B1014="","",MAX(ABS($A1014/$B$6-G1014),ABS(($A1014-1)/$B$6-G1014)))</f>
        <v>0.00740885373694222</v>
      </c>
    </row>
    <row r="1015" customFormat="false" ht="15" hidden="false" customHeight="false" outlineLevel="0" collapsed="false">
      <c r="A1015" s="11" t="n">
        <v>979</v>
      </c>
      <c r="B1015" s="9" t="n">
        <f aca="false">IF(A1015&gt;$B$6,"",SMALL(BTC_Data!$C$3:$C$1002,A1015))</f>
        <v>0.00290624844726128</v>
      </c>
      <c r="C1015" s="21" t="n">
        <f aca="false">IF(B1015="","",A1015/$B$6)</f>
        <v>0.979</v>
      </c>
      <c r="D1015" s="21" t="n">
        <f aca="false">IF(B1015="","",NORMDIST(B1015,$B$15,$B$16,TRUE()))</f>
        <v>0.989040185436188</v>
      </c>
      <c r="E1015" s="21" t="n">
        <f aca="false">IF(B1015="","",IF(B1015&gt;=$B$15,1-TDIST((B1015-$B$15)/$B$18,$B$17,1),TDIST(($B$15-B1015)/$B$18,$B$17,1)))</f>
        <v>0.984936351164524</v>
      </c>
      <c r="F1015" s="21" t="n">
        <f aca="false">IF(B1015="","",IF(B1015&lt;$B$19,0.5*EXP((B1015-$B$19)/$B$20),1-0.5*EXP(-(B1015-$B$19)/$B$20)))</f>
        <v>0.979617857068822</v>
      </c>
      <c r="G1015" s="21" t="n">
        <f aca="false">IF(B1015="","",1/(1+EXP(-(B1015-$B$15)/$B$21)))</f>
        <v>0.984583626056118</v>
      </c>
      <c r="H1015" s="21" t="n">
        <f aca="false">IF(B1015="","",MAX(ABS($A1015/$B$6-D1015),ABS(($A1015-1)/$B$6-D1015)))</f>
        <v>0.0110401854361877</v>
      </c>
      <c r="I1015" s="21" t="n">
        <f aca="false">IF(B1015="","",MAX(ABS($A1015/$B$6-E1015),ABS(($A1015-1)/$B$6-E1015)))</f>
        <v>0.00693635116452374</v>
      </c>
      <c r="J1015" s="21" t="n">
        <f aca="false">IF(B1015="","",MAX(ABS($A1015/$B$6-F1015),ABS(($A1015-1)/$B$6-F1015)))</f>
        <v>0.001617857068822</v>
      </c>
      <c r="K1015" s="21" t="n">
        <f aca="false">IF(B1015="","",MAX(ABS($A1015/$B$6-G1015),ABS(($A1015-1)/$B$6-G1015)))</f>
        <v>0.00658362605611818</v>
      </c>
    </row>
    <row r="1016" customFormat="false" ht="15" hidden="false" customHeight="false" outlineLevel="0" collapsed="false">
      <c r="A1016" s="11" t="n">
        <v>980</v>
      </c>
      <c r="B1016" s="9" t="n">
        <f aca="false">IF(A1016&gt;$B$6,"",SMALL(BTC_Data!$C$3:$C$1002,A1016))</f>
        <v>0.00298215898703158</v>
      </c>
      <c r="C1016" s="21" t="n">
        <f aca="false">IF(B1016="","",A1016/$B$6)</f>
        <v>0.98</v>
      </c>
      <c r="D1016" s="21" t="n">
        <f aca="false">IF(B1016="","",NORMDIST(B1016,$B$15,$B$16,TRUE()))</f>
        <v>0.990647972250658</v>
      </c>
      <c r="E1016" s="21" t="n">
        <f aca="false">IF(B1016="","",IF(B1016&gt;=$B$15,1-TDIST((B1016-$B$15)/$B$18,$B$17,1),TDIST(($B$15-B1016)/$B$18,$B$17,1)))</f>
        <v>0.986393768304101</v>
      </c>
      <c r="F1016" s="21" t="n">
        <f aca="false">IF(B1016="","",IF(B1016&lt;$B$19,0.5*EXP((B1016-$B$19)/$B$20),1-0.5*EXP(-(B1016-$B$19)/$B$20)))</f>
        <v>0.981247151530934</v>
      </c>
      <c r="G1016" s="21" t="n">
        <f aca="false">IF(B1016="","",1/(1+EXP(-(B1016-$B$15)/$B$21)))</f>
        <v>0.986141850204658</v>
      </c>
      <c r="H1016" s="21" t="n">
        <f aca="false">IF(B1016="","",MAX(ABS($A1016/$B$6-D1016),ABS(($A1016-1)/$B$6-D1016)))</f>
        <v>0.0116479722506584</v>
      </c>
      <c r="I1016" s="21" t="n">
        <f aca="false">IF(B1016="","",MAX(ABS($A1016/$B$6-E1016),ABS(($A1016-1)/$B$6-E1016)))</f>
        <v>0.00739376830410088</v>
      </c>
      <c r="J1016" s="21" t="n">
        <f aca="false">IF(B1016="","",MAX(ABS($A1016/$B$6-F1016),ABS(($A1016-1)/$B$6-F1016)))</f>
        <v>0.00224715153093358</v>
      </c>
      <c r="K1016" s="21" t="n">
        <f aca="false">IF(B1016="","",MAX(ABS($A1016/$B$6-G1016),ABS(($A1016-1)/$B$6-G1016)))</f>
        <v>0.00714185020465796</v>
      </c>
    </row>
    <row r="1017" customFormat="false" ht="15" hidden="false" customHeight="false" outlineLevel="0" collapsed="false">
      <c r="A1017" s="11" t="n">
        <v>981</v>
      </c>
      <c r="B1017" s="9" t="n">
        <f aca="false">IF(A1017&gt;$B$6,"",SMALL(BTC_Data!$C$3:$C$1002,A1017))</f>
        <v>0.00301034195661987</v>
      </c>
      <c r="C1017" s="21" t="n">
        <f aca="false">IF(B1017="","",A1017/$B$6)</f>
        <v>0.981</v>
      </c>
      <c r="D1017" s="21" t="n">
        <f aca="false">IF(B1017="","",NORMDIST(B1017,$B$15,$B$16,TRUE()))</f>
        <v>0.991190091068905</v>
      </c>
      <c r="E1017" s="21" t="n">
        <f aca="false">IF(B1017="","",IF(B1017&gt;=$B$15,1-TDIST((B1017-$B$15)/$B$18,$B$17,1),TDIST(($B$15-B1017)/$B$18,$B$17,1)))</f>
        <v>0.986896535748726</v>
      </c>
      <c r="F1017" s="21" t="n">
        <f aca="false">IF(B1017="","",IF(B1017&lt;$B$19,0.5*EXP((B1017-$B$19)/$B$20),1-0.5*EXP(-(B1017-$B$19)/$B$20)))</f>
        <v>0.98181832495775</v>
      </c>
      <c r="G1017" s="21" t="n">
        <f aca="false">IF(B1017="","",1/(1+EXP(-(B1017-$B$15)/$B$21)))</f>
        <v>0.986679941512498</v>
      </c>
      <c r="H1017" s="21" t="n">
        <f aca="false">IF(B1017="","",MAX(ABS($A1017/$B$6-D1017),ABS(($A1017-1)/$B$6-D1017)))</f>
        <v>0.0111900910689055</v>
      </c>
      <c r="I1017" s="21" t="n">
        <f aca="false">IF(B1017="","",MAX(ABS($A1017/$B$6-E1017),ABS(($A1017-1)/$B$6-E1017)))</f>
        <v>0.00689653574872584</v>
      </c>
      <c r="J1017" s="21" t="n">
        <f aca="false">IF(B1017="","",MAX(ABS($A1017/$B$6-F1017),ABS(($A1017-1)/$B$6-F1017)))</f>
        <v>0.00181832495774958</v>
      </c>
      <c r="K1017" s="21" t="n">
        <f aca="false">IF(B1017="","",MAX(ABS($A1017/$B$6-G1017),ABS(($A1017-1)/$B$6-G1017)))</f>
        <v>0.00667994151249751</v>
      </c>
    </row>
    <row r="1018" customFormat="false" ht="15" hidden="false" customHeight="false" outlineLevel="0" collapsed="false">
      <c r="A1018" s="11" t="n">
        <v>982</v>
      </c>
      <c r="B1018" s="9" t="n">
        <f aca="false">IF(A1018&gt;$B$6,"",SMALL(BTC_Data!$C$3:$C$1002,A1018))</f>
        <v>0.00306561139105832</v>
      </c>
      <c r="C1018" s="21" t="n">
        <f aca="false">IF(B1018="","",A1018/$B$6)</f>
        <v>0.982</v>
      </c>
      <c r="D1018" s="21" t="n">
        <f aca="false">IF(B1018="","",NORMDIST(B1018,$B$15,$B$16,TRUE()))</f>
        <v>0.992173778184479</v>
      </c>
      <c r="E1018" s="21" t="n">
        <f aca="false">IF(B1018="","",IF(B1018&gt;=$B$15,1-TDIST((B1018-$B$15)/$B$18,$B$17,1),TDIST(($B$15-B1018)/$B$18,$B$17,1)))</f>
        <v>0.987826649662366</v>
      </c>
      <c r="F1018" s="21" t="n">
        <f aca="false">IF(B1018="","",IF(B1018&lt;$B$19,0.5*EXP((B1018-$B$19)/$B$20),1-0.5*EXP(-(B1018-$B$19)/$B$20)))</f>
        <v>0.982888431023339</v>
      </c>
      <c r="G1018" s="21" t="n">
        <f aca="false">IF(B1018="","",1/(1+EXP(-(B1018-$B$15)/$B$21)))</f>
        <v>0.987676029071796</v>
      </c>
      <c r="H1018" s="21" t="n">
        <f aca="false">IF(B1018="","",MAX(ABS($A1018/$B$6-D1018),ABS(($A1018-1)/$B$6-D1018)))</f>
        <v>0.0111737781844786</v>
      </c>
      <c r="I1018" s="21" t="n">
        <f aca="false">IF(B1018="","",MAX(ABS($A1018/$B$6-E1018),ABS(($A1018-1)/$B$6-E1018)))</f>
        <v>0.00682664966236579</v>
      </c>
      <c r="J1018" s="21" t="n">
        <f aca="false">IF(B1018="","",MAX(ABS($A1018/$B$6-F1018),ABS(($A1018-1)/$B$6-F1018)))</f>
        <v>0.00188843102333858</v>
      </c>
      <c r="K1018" s="21" t="n">
        <f aca="false">IF(B1018="","",MAX(ABS($A1018/$B$6-G1018),ABS(($A1018-1)/$B$6-G1018)))</f>
        <v>0.00667602907179599</v>
      </c>
    </row>
    <row r="1019" customFormat="false" ht="15" hidden="false" customHeight="false" outlineLevel="0" collapsed="false">
      <c r="A1019" s="11" t="n">
        <v>983</v>
      </c>
      <c r="B1019" s="9" t="n">
        <f aca="false">IF(A1019&gt;$B$6,"",SMALL(BTC_Data!$C$3:$C$1002,A1019))</f>
        <v>0.0031303826274427</v>
      </c>
      <c r="C1019" s="21" t="n">
        <f aca="false">IF(B1019="","",A1019/$B$6)</f>
        <v>0.983</v>
      </c>
      <c r="D1019" s="21" t="n">
        <f aca="false">IF(B1019="","",NORMDIST(B1019,$B$15,$B$16,TRUE()))</f>
        <v>0.993202520522062</v>
      </c>
      <c r="E1019" s="21" t="n">
        <f aca="false">IF(B1019="","",IF(B1019&gt;=$B$15,1-TDIST((B1019-$B$15)/$B$18,$B$17,1),TDIST(($B$15-B1019)/$B$18,$B$17,1)))</f>
        <v>0.988828875557714</v>
      </c>
      <c r="F1019" s="21" t="n">
        <f aca="false">IF(B1019="","",IF(B1019&lt;$B$19,0.5*EXP((B1019-$B$19)/$B$20),1-0.5*EXP(-(B1019-$B$19)/$B$20)))</f>
        <v>0.984062626184526</v>
      </c>
      <c r="G1019" s="21" t="n">
        <f aca="false">IF(B1019="","",1/(1+EXP(-(B1019-$B$15)/$B$21)))</f>
        <v>0.988750052735558</v>
      </c>
      <c r="H1019" s="21" t="n">
        <f aca="false">IF(B1019="","",MAX(ABS($A1019/$B$6-D1019),ABS(($A1019-1)/$B$6-D1019)))</f>
        <v>0.0112025205220619</v>
      </c>
      <c r="I1019" s="21" t="n">
        <f aca="false">IF(B1019="","",MAX(ABS($A1019/$B$6-E1019),ABS(($A1019-1)/$B$6-E1019)))</f>
        <v>0.00682887555771361</v>
      </c>
      <c r="J1019" s="21" t="n">
        <f aca="false">IF(B1019="","",MAX(ABS($A1019/$B$6-F1019),ABS(($A1019-1)/$B$6-F1019)))</f>
        <v>0.00206262618452624</v>
      </c>
      <c r="K1019" s="21" t="n">
        <f aca="false">IF(B1019="","",MAX(ABS($A1019/$B$6-G1019),ABS(($A1019-1)/$B$6-G1019)))</f>
        <v>0.00675005273555784</v>
      </c>
    </row>
    <row r="1020" customFormat="false" ht="15" hidden="false" customHeight="false" outlineLevel="0" collapsed="false">
      <c r="A1020" s="11" t="n">
        <v>984</v>
      </c>
      <c r="B1020" s="9" t="n">
        <f aca="false">IF(A1020&gt;$B$6,"",SMALL(BTC_Data!$C$3:$C$1002,A1020))</f>
        <v>0.00313093837879275</v>
      </c>
      <c r="C1020" s="21" t="n">
        <f aca="false">IF(B1020="","",A1020/$B$6)</f>
        <v>0.984</v>
      </c>
      <c r="D1020" s="21" t="n">
        <f aca="false">IF(B1020="","",NORMDIST(B1020,$B$15,$B$16,TRUE()))</f>
        <v>0.993210804113997</v>
      </c>
      <c r="E1020" s="21" t="n">
        <f aca="false">IF(B1020="","",IF(B1020&gt;=$B$15,1-TDIST((B1020-$B$15)/$B$18,$B$17,1),TDIST(($B$15-B1020)/$B$18,$B$17,1)))</f>
        <v>0.988837087937873</v>
      </c>
      <c r="F1020" s="21" t="n">
        <f aca="false">IF(B1020="","",IF(B1020&lt;$B$19,0.5*EXP((B1020-$B$19)/$B$20),1-0.5*EXP(-(B1020-$B$19)/$B$20)))</f>
        <v>0.984072344213844</v>
      </c>
      <c r="G1020" s="21" t="n">
        <f aca="false">IF(B1020="","",1/(1+EXP(-(B1020-$B$15)/$B$21)))</f>
        <v>0.988758855640613</v>
      </c>
      <c r="H1020" s="21" t="n">
        <f aca="false">IF(B1020="","",MAX(ABS($A1020/$B$6-D1020),ABS(($A1020-1)/$B$6-D1020)))</f>
        <v>0.0102108041139969</v>
      </c>
      <c r="I1020" s="21" t="n">
        <f aca="false">IF(B1020="","",MAX(ABS($A1020/$B$6-E1020),ABS(($A1020-1)/$B$6-E1020)))</f>
        <v>0.00583708793787319</v>
      </c>
      <c r="J1020" s="21" t="n">
        <f aca="false">IF(B1020="","",MAX(ABS($A1020/$B$6-F1020),ABS(($A1020-1)/$B$6-F1020)))</f>
        <v>0.0010723442138435</v>
      </c>
      <c r="K1020" s="21" t="n">
        <f aca="false">IF(B1020="","",MAX(ABS($A1020/$B$6-G1020),ABS(($A1020-1)/$B$6-G1020)))</f>
        <v>0.0057588556406134</v>
      </c>
    </row>
    <row r="1021" customFormat="false" ht="15" hidden="false" customHeight="false" outlineLevel="0" collapsed="false">
      <c r="A1021" s="11" t="n">
        <v>985</v>
      </c>
      <c r="B1021" s="9" t="n">
        <f aca="false">IF(A1021&gt;$B$6,"",SMALL(BTC_Data!$C$3:$C$1002,A1021))</f>
        <v>0.00313511999862182</v>
      </c>
      <c r="C1021" s="21" t="n">
        <f aca="false">IF(B1021="","",A1021/$B$6)</f>
        <v>0.985</v>
      </c>
      <c r="D1021" s="21" t="n">
        <f aca="false">IF(B1021="","",NORMDIST(B1021,$B$15,$B$16,TRUE()))</f>
        <v>0.993272846564091</v>
      </c>
      <c r="E1021" s="21" t="n">
        <f aca="false">IF(B1021="","",IF(B1021&gt;=$B$15,1-TDIST((B1021-$B$15)/$B$18,$B$17,1),TDIST(($B$15-B1021)/$B$18,$B$17,1)))</f>
        <v>0.98889867584746</v>
      </c>
      <c r="F1021" s="21" t="n">
        <f aca="false">IF(B1021="","",IF(B1021&lt;$B$19,0.5*EXP((B1021-$B$19)/$B$20),1-0.5*EXP(-(B1021-$B$19)/$B$20)))</f>
        <v>0.984145275449279</v>
      </c>
      <c r="G1021" s="21" t="n">
        <f aca="false">IF(B1021="","",1/(1+EXP(-(B1021-$B$15)/$B$21)))</f>
        <v>0.988824872991087</v>
      </c>
      <c r="H1021" s="21" t="n">
        <f aca="false">IF(B1021="","",MAX(ABS($A1021/$B$6-D1021),ABS(($A1021-1)/$B$6-D1021)))</f>
        <v>0.00927284656409144</v>
      </c>
      <c r="I1021" s="21" t="n">
        <f aca="false">IF(B1021="","",MAX(ABS($A1021/$B$6-E1021),ABS(($A1021-1)/$B$6-E1021)))</f>
        <v>0.00489867584745962</v>
      </c>
      <c r="J1021" s="21" t="n">
        <f aca="false">IF(B1021="","",MAX(ABS($A1021/$B$6-F1021),ABS(($A1021-1)/$B$6-F1021)))</f>
        <v>0.000854724550721442</v>
      </c>
      <c r="K1021" s="21" t="n">
        <f aca="false">IF(B1021="","",MAX(ABS($A1021/$B$6-G1021),ABS(($A1021-1)/$B$6-G1021)))</f>
        <v>0.00482487299108658</v>
      </c>
    </row>
    <row r="1022" customFormat="false" ht="15" hidden="false" customHeight="false" outlineLevel="0" collapsed="false">
      <c r="A1022" s="11" t="n">
        <v>986</v>
      </c>
      <c r="B1022" s="9" t="n">
        <f aca="false">IF(A1022&gt;$B$6,"",SMALL(BTC_Data!$C$3:$C$1002,A1022))</f>
        <v>0.00318891703873314</v>
      </c>
      <c r="C1022" s="21" t="n">
        <f aca="false">IF(B1022="","",A1022/$B$6)</f>
        <v>0.986</v>
      </c>
      <c r="D1022" s="21" t="n">
        <f aca="false">IF(B1022="","",NORMDIST(B1022,$B$15,$B$16,TRUE()))</f>
        <v>0.99402747896879</v>
      </c>
      <c r="E1022" s="21" t="n">
        <f aca="false">IF(B1022="","",IF(B1022&gt;=$B$15,1-TDIST((B1022-$B$15)/$B$18,$B$17,1),TDIST(($B$15-B1022)/$B$18,$B$17,1)))</f>
        <v>0.98965973854874</v>
      </c>
      <c r="F1022" s="21" t="n">
        <f aca="false">IF(B1022="","",IF(B1022&lt;$B$19,0.5*EXP((B1022-$B$19)/$B$20),1-0.5*EXP(-(B1022-$B$19)/$B$20)))</f>
        <v>0.985054293282473</v>
      </c>
      <c r="G1022" s="21" t="n">
        <f aca="false">IF(B1022="","",1/(1+EXP(-(B1022-$B$15)/$B$21)))</f>
        <v>0.989640759668943</v>
      </c>
      <c r="H1022" s="21" t="n">
        <f aca="false">IF(B1022="","",MAX(ABS($A1022/$B$6-D1022),ABS(($A1022-1)/$B$6-D1022)))</f>
        <v>0.00902747896878964</v>
      </c>
      <c r="I1022" s="21" t="n">
        <f aca="false">IF(B1022="","",MAX(ABS($A1022/$B$6-E1022),ABS(($A1022-1)/$B$6-E1022)))</f>
        <v>0.0046597385487398</v>
      </c>
      <c r="J1022" s="21" t="n">
        <f aca="false">IF(B1022="","",MAX(ABS($A1022/$B$6-F1022),ABS(($A1022-1)/$B$6-F1022)))</f>
        <v>0.000945706717527028</v>
      </c>
      <c r="K1022" s="21" t="n">
        <f aca="false">IF(B1022="","",MAX(ABS($A1022/$B$6-G1022),ABS(($A1022-1)/$B$6-G1022)))</f>
        <v>0.00464075966894262</v>
      </c>
    </row>
    <row r="1023" customFormat="false" ht="15" hidden="false" customHeight="false" outlineLevel="0" collapsed="false">
      <c r="A1023" s="11" t="n">
        <v>987</v>
      </c>
      <c r="B1023" s="9" t="n">
        <f aca="false">IF(A1023&gt;$B$6,"",SMALL(BTC_Data!$C$3:$C$1002,A1023))</f>
        <v>0.00325954522933181</v>
      </c>
      <c r="C1023" s="21" t="n">
        <f aca="false">IF(B1023="","",A1023/$B$6)</f>
        <v>0.987</v>
      </c>
      <c r="D1023" s="21" t="n">
        <f aca="false">IF(B1023="","",NORMDIST(B1023,$B$15,$B$16,TRUE()))</f>
        <v>0.994903829547275</v>
      </c>
      <c r="E1023" s="21" t="n">
        <f aca="false">IF(B1023="","",IF(B1023&gt;=$B$15,1-TDIST((B1023-$B$15)/$B$18,$B$17,1),TDIST(($B$15-B1023)/$B$18,$B$17,1)))</f>
        <v>0.990576002781477</v>
      </c>
      <c r="F1023" s="21" t="n">
        <f aca="false">IF(B1023="","",IF(B1023&lt;$B$19,0.5*EXP((B1023-$B$19)/$B$20),1-0.5*EXP(-(B1023-$B$19)/$B$20)))</f>
        <v>0.986169060618155</v>
      </c>
      <c r="G1023" s="21" t="n">
        <f aca="false">IF(B1023="","",1/(1+EXP(-(B1023-$B$15)/$B$21)))</f>
        <v>0.990623019154488</v>
      </c>
      <c r="H1023" s="21" t="n">
        <f aca="false">IF(B1023="","",MAX(ABS($A1023/$B$6-D1023),ABS(($A1023-1)/$B$6-D1023)))</f>
        <v>0.00890382954727476</v>
      </c>
      <c r="I1023" s="21" t="n">
        <f aca="false">IF(B1023="","",MAX(ABS($A1023/$B$6-E1023),ABS(($A1023-1)/$B$6-E1023)))</f>
        <v>0.00457600278147718</v>
      </c>
      <c r="J1023" s="21" t="n">
        <f aca="false">IF(B1023="","",MAX(ABS($A1023/$B$6-F1023),ABS(($A1023-1)/$B$6-F1023)))</f>
        <v>0.000830939381844975</v>
      </c>
      <c r="K1023" s="21" t="n">
        <f aca="false">IF(B1023="","",MAX(ABS($A1023/$B$6-G1023),ABS(($A1023-1)/$B$6-G1023)))</f>
        <v>0.00462301915448771</v>
      </c>
    </row>
    <row r="1024" customFormat="false" ht="15" hidden="false" customHeight="false" outlineLevel="0" collapsed="false">
      <c r="A1024" s="11" t="n">
        <v>988</v>
      </c>
      <c r="B1024" s="9" t="n">
        <f aca="false">IF(A1024&gt;$B$6,"",SMALL(BTC_Data!$C$3:$C$1002,A1024))</f>
        <v>0.00340320111067238</v>
      </c>
      <c r="C1024" s="21" t="n">
        <f aca="false">IF(B1024="","",A1024/$B$6)</f>
        <v>0.988</v>
      </c>
      <c r="D1024" s="21" t="n">
        <f aca="false">IF(B1024="","",NORMDIST(B1024,$B$15,$B$16,TRUE()))</f>
        <v>0.996341494862582</v>
      </c>
      <c r="E1024" s="21" t="n">
        <f aca="false">IF(B1024="","",IF(B1024&gt;=$B$15,1-TDIST((B1024-$B$15)/$B$18,$B$17,1),TDIST(($B$15-B1024)/$B$18,$B$17,1)))</f>
        <v>0.992183806429691</v>
      </c>
      <c r="F1024" s="21" t="n">
        <f aca="false">IF(B1024="","",IF(B1024&lt;$B$19,0.5*EXP((B1024-$B$19)/$B$20),1-0.5*EXP(-(B1024-$B$19)/$B$20)))</f>
        <v>0.9881865048994</v>
      </c>
      <c r="G1024" s="21" t="n">
        <f aca="false">IF(B1024="","",1/(1+EXP(-(B1024-$B$15)/$B$21)))</f>
        <v>0.992345067223925</v>
      </c>
      <c r="H1024" s="21" t="n">
        <f aca="false">IF(B1024="","",MAX(ABS($A1024/$B$6-D1024),ABS(($A1024-1)/$B$6-D1024)))</f>
        <v>0.00934149486258218</v>
      </c>
      <c r="I1024" s="21" t="n">
        <f aca="false">IF(B1024="","",MAX(ABS($A1024/$B$6-E1024),ABS(($A1024-1)/$B$6-E1024)))</f>
        <v>0.00518380642969107</v>
      </c>
      <c r="J1024" s="21" t="n">
        <f aca="false">IF(B1024="","",MAX(ABS($A1024/$B$6-F1024),ABS(($A1024-1)/$B$6-F1024)))</f>
        <v>0.00118650489940042</v>
      </c>
      <c r="K1024" s="21" t="n">
        <f aca="false">IF(B1024="","",MAX(ABS($A1024/$B$6-G1024),ABS(($A1024-1)/$B$6-G1024)))</f>
        <v>0.00534506722392492</v>
      </c>
    </row>
    <row r="1025" customFormat="false" ht="15" hidden="false" customHeight="false" outlineLevel="0" collapsed="false">
      <c r="A1025" s="11" t="n">
        <v>989</v>
      </c>
      <c r="B1025" s="9" t="n">
        <f aca="false">IF(A1025&gt;$B$6,"",SMALL(BTC_Data!$C$3:$C$1002,A1025))</f>
        <v>0.00344598049761502</v>
      </c>
      <c r="C1025" s="21" t="n">
        <f aca="false">IF(B1025="","",A1025/$B$6)</f>
        <v>0.989</v>
      </c>
      <c r="D1025" s="21" t="n">
        <f aca="false">IF(B1025="","",NORMDIST(B1025,$B$15,$B$16,TRUE()))</f>
        <v>0.996692806779833</v>
      </c>
      <c r="E1025" s="21" t="n">
        <f aca="false">IF(B1025="","",IF(B1025&gt;=$B$15,1-TDIST((B1025-$B$15)/$B$18,$B$17,1),TDIST(($B$15-B1025)/$B$18,$B$17,1)))</f>
        <v>0.99260399562819</v>
      </c>
      <c r="F1025" s="21" t="n">
        <f aca="false">IF(B1025="","",IF(B1025&lt;$B$19,0.5*EXP((B1025-$B$19)/$B$20),1-0.5*EXP(-(B1025-$B$19)/$B$20)))</f>
        <v>0.98872834464783</v>
      </c>
      <c r="G1025" s="21" t="n">
        <f aca="false">IF(B1025="","",1/(1+EXP(-(B1025-$B$15)/$B$21)))</f>
        <v>0.992794376881813</v>
      </c>
      <c r="H1025" s="21" t="n">
        <f aca="false">IF(B1025="","",MAX(ABS($A1025/$B$6-D1025),ABS(($A1025-1)/$B$6-D1025)))</f>
        <v>0.00869280677983275</v>
      </c>
      <c r="I1025" s="21" t="n">
        <f aca="false">IF(B1025="","",MAX(ABS($A1025/$B$6-E1025),ABS(($A1025-1)/$B$6-E1025)))</f>
        <v>0.00460399562819014</v>
      </c>
      <c r="J1025" s="21" t="n">
        <f aca="false">IF(B1025="","",MAX(ABS($A1025/$B$6-F1025),ABS(($A1025-1)/$B$6-F1025)))</f>
        <v>0.000728344647830337</v>
      </c>
      <c r="K1025" s="21" t="n">
        <f aca="false">IF(B1025="","",MAX(ABS($A1025/$B$6-G1025),ABS(($A1025-1)/$B$6-G1025)))</f>
        <v>0.00479437688181306</v>
      </c>
    </row>
    <row r="1026" customFormat="false" ht="15" hidden="false" customHeight="false" outlineLevel="0" collapsed="false">
      <c r="A1026" s="11" t="n">
        <v>990</v>
      </c>
      <c r="B1026" s="9" t="n">
        <f aca="false">IF(A1026&gt;$B$6,"",SMALL(BTC_Data!$C$3:$C$1002,A1026))</f>
        <v>0.00355024649493885</v>
      </c>
      <c r="C1026" s="21" t="n">
        <f aca="false">IF(B1026="","",A1026/$B$6)</f>
        <v>0.99</v>
      </c>
      <c r="D1026" s="21" t="n">
        <f aca="false">IF(B1026="","",NORMDIST(B1026,$B$15,$B$16,TRUE()))</f>
        <v>0.997425406529255</v>
      </c>
      <c r="E1026" s="21" t="n">
        <f aca="false">IF(B1026="","",IF(B1026&gt;=$B$15,1-TDIST((B1026-$B$15)/$B$18,$B$17,1),TDIST(($B$15-B1026)/$B$18,$B$17,1)))</f>
        <v>0.993530156576878</v>
      </c>
      <c r="F1026" s="21" t="n">
        <f aca="false">IF(B1026="","",IF(B1026&lt;$B$19,0.5*EXP((B1026-$B$19)/$B$20),1-0.5*EXP(-(B1026-$B$19)/$B$20)))</f>
        <v>0.989947142331519</v>
      </c>
      <c r="G1026" s="21" t="n">
        <f aca="false">IF(B1026="","",1/(1+EXP(-(B1026-$B$15)/$B$21)))</f>
        <v>0.993782766372521</v>
      </c>
      <c r="H1026" s="21" t="n">
        <f aca="false">IF(B1026="","",MAX(ABS($A1026/$B$6-D1026),ABS(($A1026-1)/$B$6-D1026)))</f>
        <v>0.00842540652925483</v>
      </c>
      <c r="I1026" s="21" t="n">
        <f aca="false">IF(B1026="","",MAX(ABS($A1026/$B$6-E1026),ABS(($A1026-1)/$B$6-E1026)))</f>
        <v>0.00453015657687816</v>
      </c>
      <c r="J1026" s="21" t="n">
        <f aca="false">IF(B1026="","",MAX(ABS($A1026/$B$6-F1026),ABS(($A1026-1)/$B$6-F1026)))</f>
        <v>0.000947142331518602</v>
      </c>
      <c r="K1026" s="21" t="n">
        <f aca="false">IF(B1026="","",MAX(ABS($A1026/$B$6-G1026),ABS(($A1026-1)/$B$6-G1026)))</f>
        <v>0.00478276637252117</v>
      </c>
    </row>
    <row r="1027" customFormat="false" ht="15" hidden="false" customHeight="false" outlineLevel="0" collapsed="false">
      <c r="A1027" s="11" t="n">
        <v>991</v>
      </c>
      <c r="B1027" s="9" t="n">
        <f aca="false">IF(A1027&gt;$B$6,"",SMALL(BTC_Data!$C$3:$C$1002,A1027))</f>
        <v>0.00369662773169144</v>
      </c>
      <c r="C1027" s="21" t="n">
        <f aca="false">IF(B1027="","",A1027/$B$6)</f>
        <v>0.991</v>
      </c>
      <c r="D1027" s="21" t="n">
        <f aca="false">IF(B1027="","",NORMDIST(B1027,$B$15,$B$16,TRUE()))</f>
        <v>0.99820735318518</v>
      </c>
      <c r="E1027" s="21" t="n">
        <f aca="false">IF(B1027="","",IF(B1027&gt;=$B$15,1-TDIST((B1027-$B$15)/$B$18,$B$17,1),TDIST(($B$15-B1027)/$B$18,$B$17,1)))</f>
        <v>0.994626282797299</v>
      </c>
      <c r="F1027" s="21" t="n">
        <f aca="false">IF(B1027="","",IF(B1027&lt;$B$19,0.5*EXP((B1027-$B$19)/$B$20),1-0.5*EXP(-(B1027-$B$19)/$B$20)))</f>
        <v>0.99143914332033</v>
      </c>
      <c r="G1027" s="21" t="n">
        <f aca="false">IF(B1027="","",1/(1+EXP(-(B1027-$B$15)/$B$21)))</f>
        <v>0.994947065696663</v>
      </c>
      <c r="H1027" s="21" t="n">
        <f aca="false">IF(B1027="","",MAX(ABS($A1027/$B$6-D1027),ABS(($A1027-1)/$B$6-D1027)))</f>
        <v>0.00820735318517996</v>
      </c>
      <c r="I1027" s="21" t="n">
        <f aca="false">IF(B1027="","",MAX(ABS($A1027/$B$6-E1027),ABS(($A1027-1)/$B$6-E1027)))</f>
        <v>0.00462628279729871</v>
      </c>
      <c r="J1027" s="21" t="n">
        <f aca="false">IF(B1027="","",MAX(ABS($A1027/$B$6-F1027),ABS(($A1027-1)/$B$6-F1027)))</f>
        <v>0.00143914332033013</v>
      </c>
      <c r="K1027" s="21" t="n">
        <f aca="false">IF(B1027="","",MAX(ABS($A1027/$B$6-G1027),ABS(($A1027-1)/$B$6-G1027)))</f>
        <v>0.00494706569666314</v>
      </c>
    </row>
    <row r="1028" customFormat="false" ht="15" hidden="false" customHeight="false" outlineLevel="0" collapsed="false">
      <c r="A1028" s="11" t="n">
        <v>992</v>
      </c>
      <c r="B1028" s="9" t="n">
        <f aca="false">IF(A1028&gt;$B$6,"",SMALL(BTC_Data!$C$3:$C$1002,A1028))</f>
        <v>0.00376492897852443</v>
      </c>
      <c r="C1028" s="21" t="n">
        <f aca="false">IF(B1028="","",A1028/$B$6)</f>
        <v>0.992</v>
      </c>
      <c r="D1028" s="21" t="n">
        <f aca="false">IF(B1028="","",NORMDIST(B1028,$B$15,$B$16,TRUE()))</f>
        <v>0.998492280981004</v>
      </c>
      <c r="E1028" s="21" t="n">
        <f aca="false">IF(B1028="","",IF(B1028&gt;=$B$15,1-TDIST((B1028-$B$15)/$B$18,$B$17,1),TDIST(($B$15-B1028)/$B$18,$B$17,1)))</f>
        <v>0.99506770440998</v>
      </c>
      <c r="F1028" s="21" t="n">
        <f aca="false">IF(B1028="","",IF(B1028&lt;$B$19,0.5*EXP((B1028-$B$19)/$B$20),1-0.5*EXP(-(B1028-$B$19)/$B$20)))</f>
        <v>0.992057420300927</v>
      </c>
      <c r="G1028" s="21" t="n">
        <f aca="false">IF(B1028="","",1/(1+EXP(-(B1028-$B$15)/$B$21)))</f>
        <v>0.995413398032555</v>
      </c>
      <c r="H1028" s="21" t="n">
        <f aca="false">IF(B1028="","",MAX(ABS($A1028/$B$6-D1028),ABS(($A1028-1)/$B$6-D1028)))</f>
        <v>0.00749228098100352</v>
      </c>
      <c r="I1028" s="21" t="n">
        <f aca="false">IF(B1028="","",MAX(ABS($A1028/$B$6-E1028),ABS(($A1028-1)/$B$6-E1028)))</f>
        <v>0.00406770440997972</v>
      </c>
      <c r="J1028" s="21" t="n">
        <f aca="false">IF(B1028="","",MAX(ABS($A1028/$B$6-F1028),ABS(($A1028-1)/$B$6-F1028)))</f>
        <v>0.00105742030092737</v>
      </c>
      <c r="K1028" s="21" t="n">
        <f aca="false">IF(B1028="","",MAX(ABS($A1028/$B$6-G1028),ABS(($A1028-1)/$B$6-G1028)))</f>
        <v>0.00441339803255503</v>
      </c>
    </row>
    <row r="1029" customFormat="false" ht="15" hidden="false" customHeight="false" outlineLevel="0" collapsed="false">
      <c r="A1029" s="11" t="n">
        <v>993</v>
      </c>
      <c r="B1029" s="9" t="n">
        <f aca="false">IF(A1029&gt;$B$6,"",SMALL(BTC_Data!$C$3:$C$1002,A1029))</f>
        <v>0.00385277082222735</v>
      </c>
      <c r="C1029" s="21" t="n">
        <f aca="false">IF(B1029="","",A1029/$B$6)</f>
        <v>0.993</v>
      </c>
      <c r="D1029" s="21" t="n">
        <f aca="false">IF(B1029="","",NORMDIST(B1029,$B$15,$B$16,TRUE()))</f>
        <v>0.998797920254415</v>
      </c>
      <c r="E1029" s="21" t="n">
        <f aca="false">IF(B1029="","",IF(B1029&gt;=$B$15,1-TDIST((B1029-$B$15)/$B$18,$B$17,1),TDIST(($B$15-B1029)/$B$18,$B$17,1)))</f>
        <v>0.995578740074642</v>
      </c>
      <c r="F1029" s="21" t="n">
        <f aca="false">IF(B1029="","",IF(B1029&lt;$B$19,0.5*EXP((B1029-$B$19)/$B$20),1-0.5*EXP(-(B1029-$B$19)/$B$20)))</f>
        <v>0.992787398262413</v>
      </c>
      <c r="G1029" s="21" t="n">
        <f aca="false">IF(B1029="","",1/(1+EXP(-(B1029-$B$15)/$B$21)))</f>
        <v>0.995950698856437</v>
      </c>
      <c r="H1029" s="21" t="n">
        <f aca="false">IF(B1029="","",MAX(ABS($A1029/$B$6-D1029),ABS(($A1029-1)/$B$6-D1029)))</f>
        <v>0.00679792025441506</v>
      </c>
      <c r="I1029" s="21" t="n">
        <f aca="false">IF(B1029="","",MAX(ABS($A1029/$B$6-E1029),ABS(($A1029-1)/$B$6-E1029)))</f>
        <v>0.0035787400746421</v>
      </c>
      <c r="J1029" s="21" t="n">
        <f aca="false">IF(B1029="","",MAX(ABS($A1029/$B$6-F1029),ABS(($A1029-1)/$B$6-F1029)))</f>
        <v>0.000787398262413253</v>
      </c>
      <c r="K1029" s="21" t="n">
        <f aca="false">IF(B1029="","",MAX(ABS($A1029/$B$6-G1029),ABS(($A1029-1)/$B$6-G1029)))</f>
        <v>0.00395069885643684</v>
      </c>
    </row>
    <row r="1030" customFormat="false" ht="15" hidden="false" customHeight="false" outlineLevel="0" collapsed="false">
      <c r="A1030" s="11" t="n">
        <v>994</v>
      </c>
      <c r="B1030" s="9" t="n">
        <f aca="false">IF(A1030&gt;$B$6,"",SMALL(BTC_Data!$C$3:$C$1002,A1030))</f>
        <v>0.00389049690860777</v>
      </c>
      <c r="C1030" s="21" t="n">
        <f aca="false">IF(B1030="","",A1030/$B$6)</f>
        <v>0.994</v>
      </c>
      <c r="D1030" s="21" t="n">
        <f aca="false">IF(B1030="","",NORMDIST(B1030,$B$15,$B$16,TRUE()))</f>
        <v>0.998910849134931</v>
      </c>
      <c r="E1030" s="21" t="n">
        <f aca="false">IF(B1030="","",IF(B1030&gt;=$B$15,1-TDIST((B1030-$B$15)/$B$18,$B$17,1),TDIST(($B$15-B1030)/$B$18,$B$17,1)))</f>
        <v>0.99578036819763</v>
      </c>
      <c r="F1030" s="21" t="n">
        <f aca="false">IF(B1030="","",IF(B1030&lt;$B$19,0.5*EXP((B1030-$B$19)/$B$20),1-0.5*EXP(-(B1030-$B$19)/$B$20)))</f>
        <v>0.993079939477674</v>
      </c>
      <c r="G1030" s="21" t="n">
        <f aca="false">IF(B1030="","",1/(1+EXP(-(B1030-$B$15)/$B$21)))</f>
        <v>0.996161761044387</v>
      </c>
      <c r="H1030" s="21" t="n">
        <f aca="false">IF(B1030="","",MAX(ABS($A1030/$B$6-D1030),ABS(($A1030-1)/$B$6-D1030)))</f>
        <v>0.00591084913493134</v>
      </c>
      <c r="I1030" s="21" t="n">
        <f aca="false">IF(B1030="","",MAX(ABS($A1030/$B$6-E1030),ABS(($A1030-1)/$B$6-E1030)))</f>
        <v>0.00278036819763039</v>
      </c>
      <c r="J1030" s="21" t="n">
        <f aca="false">IF(B1030="","",MAX(ABS($A1030/$B$6-F1030),ABS(($A1030-1)/$B$6-F1030)))</f>
        <v>0.000920060522325739</v>
      </c>
      <c r="K1030" s="21" t="n">
        <f aca="false">IF(B1030="","",MAX(ABS($A1030/$B$6-G1030),ABS(($A1030-1)/$B$6-G1030)))</f>
        <v>0.00316176104438715</v>
      </c>
    </row>
    <row r="1031" customFormat="false" ht="15" hidden="false" customHeight="false" outlineLevel="0" collapsed="false">
      <c r="A1031" s="11" t="n">
        <v>995</v>
      </c>
      <c r="B1031" s="9" t="n">
        <f aca="false">IF(A1031&gt;$B$6,"",SMALL(BTC_Data!$C$3:$C$1002,A1031))</f>
        <v>0.00409251425002566</v>
      </c>
      <c r="C1031" s="21" t="n">
        <f aca="false">IF(B1031="","",A1031/$B$6)</f>
        <v>0.995</v>
      </c>
      <c r="D1031" s="21" t="n">
        <f aca="false">IF(B1031="","",NORMDIST(B1031,$B$15,$B$16,TRUE()))</f>
        <v>0.999366702676404</v>
      </c>
      <c r="E1031" s="21" t="n">
        <f aca="false">IF(B1031="","",IF(B1031&gt;=$B$15,1-TDIST((B1031-$B$15)/$B$18,$B$17,1),TDIST(($B$15-B1031)/$B$18,$B$17,1)))</f>
        <v>0.996703375254958</v>
      </c>
      <c r="F1031" s="21" t="n">
        <f aca="false">IF(B1031="","",IF(B1031&lt;$B$19,0.5*EXP((B1031-$B$19)/$B$20),1-0.5*EXP(-(B1031-$B$19)/$B$20)))</f>
        <v>0.99445605703451</v>
      </c>
      <c r="G1031" s="21" t="n">
        <f aca="false">IF(B1031="","",1/(1+EXP(-(B1031-$B$15)/$B$21)))</f>
        <v>0.997118845900666</v>
      </c>
      <c r="H1031" s="21" t="n">
        <f aca="false">IF(B1031="","",MAX(ABS($A1031/$B$6-D1031),ABS(($A1031-1)/$B$6-D1031)))</f>
        <v>0.00536670267640393</v>
      </c>
      <c r="I1031" s="21" t="n">
        <f aca="false">IF(B1031="","",MAX(ABS($A1031/$B$6-E1031),ABS(($A1031-1)/$B$6-E1031)))</f>
        <v>0.00270337525495812</v>
      </c>
      <c r="J1031" s="21" t="n">
        <f aca="false">IF(B1031="","",MAX(ABS($A1031/$B$6-F1031),ABS(($A1031-1)/$B$6-F1031)))</f>
        <v>0.000543942965490207</v>
      </c>
      <c r="K1031" s="21" t="n">
        <f aca="false">IF(B1031="","",MAX(ABS($A1031/$B$6-G1031),ABS(($A1031-1)/$B$6-G1031)))</f>
        <v>0.00311884590066613</v>
      </c>
    </row>
    <row r="1032" customFormat="false" ht="15" hidden="false" customHeight="false" outlineLevel="0" collapsed="false">
      <c r="A1032" s="11" t="n">
        <v>996</v>
      </c>
      <c r="B1032" s="9" t="n">
        <f aca="false">IF(A1032&gt;$B$6,"",SMALL(BTC_Data!$C$3:$C$1002,A1032))</f>
        <v>0.00423239462557645</v>
      </c>
      <c r="C1032" s="21" t="n">
        <f aca="false">IF(B1032="","",A1032/$B$6)</f>
        <v>0.996</v>
      </c>
      <c r="D1032" s="21" t="n">
        <f aca="false">IF(B1032="","",NORMDIST(B1032,$B$15,$B$16,TRUE()))</f>
        <v>0.999570894762056</v>
      </c>
      <c r="E1032" s="21" t="n">
        <f aca="false">IF(B1032="","",IF(B1032&gt;=$B$15,1-TDIST((B1032-$B$15)/$B$18,$B$17,1),TDIST(($B$15-B1032)/$B$18,$B$17,1)))</f>
        <v>0.99721272145671</v>
      </c>
      <c r="F1032" s="21" t="n">
        <f aca="false">IF(B1032="","",IF(B1032&lt;$B$19,0.5*EXP((B1032-$B$19)/$B$20),1-0.5*EXP(-(B1032-$B$19)/$B$20)))</f>
        <v>0.995245059704178</v>
      </c>
      <c r="G1032" s="21" t="n">
        <f aca="false">IF(B1032="","",1/(1+EXP(-(B1032-$B$15)/$B$21)))</f>
        <v>0.997638149170338</v>
      </c>
      <c r="H1032" s="21" t="n">
        <f aca="false">IF(B1032="","",MAX(ABS($A1032/$B$6-D1032),ABS(($A1032-1)/$B$6-D1032)))</f>
        <v>0.00457089476205552</v>
      </c>
      <c r="I1032" s="21" t="n">
        <f aca="false">IF(B1032="","",MAX(ABS($A1032/$B$6-E1032),ABS(($A1032-1)/$B$6-E1032)))</f>
        <v>0.00221272145670959</v>
      </c>
      <c r="J1032" s="21" t="n">
        <f aca="false">IF(B1032="","",MAX(ABS($A1032/$B$6-F1032),ABS(($A1032-1)/$B$6-F1032)))</f>
        <v>0.000754940295821571</v>
      </c>
      <c r="K1032" s="21" t="n">
        <f aca="false">IF(B1032="","",MAX(ABS($A1032/$B$6-G1032),ABS(($A1032-1)/$B$6-G1032)))</f>
        <v>0.002638149170338</v>
      </c>
    </row>
    <row r="1033" customFormat="false" ht="15" hidden="false" customHeight="false" outlineLevel="0" collapsed="false">
      <c r="A1033" s="11" t="n">
        <v>997</v>
      </c>
      <c r="B1033" s="9" t="n">
        <f aca="false">IF(A1033&gt;$B$6,"",SMALL(BTC_Data!$C$3:$C$1002,A1033))</f>
        <v>0.00461485221116309</v>
      </c>
      <c r="C1033" s="21" t="n">
        <f aca="false">IF(B1033="","",A1033/$B$6)</f>
        <v>0.997</v>
      </c>
      <c r="D1033" s="21" t="n">
        <f aca="false">IF(B1033="","",NORMDIST(B1033,$B$15,$B$16,TRUE()))</f>
        <v>0.999860298432571</v>
      </c>
      <c r="E1033" s="21" t="n">
        <f aca="false">IF(B1033="","",IF(B1033&gt;=$B$15,1-TDIST((B1033-$B$15)/$B$18,$B$17,1),TDIST(($B$15-B1033)/$B$18,$B$17,1)))</f>
        <v>0.998215456685788</v>
      </c>
      <c r="F1033" s="21" t="n">
        <f aca="false">IF(B1033="","",IF(B1033&lt;$B$19,0.5*EXP((B1033-$B$19)/$B$20),1-0.5*EXP(-(B1033-$B$19)/$B$20)))</f>
        <v>0.996875018375704</v>
      </c>
      <c r="G1033" s="21" t="n">
        <f aca="false">IF(B1033="","",1/(1+EXP(-(B1033-$B$15)/$B$21)))</f>
        <v>0.99862890499866</v>
      </c>
      <c r="H1033" s="21" t="n">
        <f aca="false">IF(B1033="","",MAX(ABS($A1033/$B$6-D1033),ABS(($A1033-1)/$B$6-D1033)))</f>
        <v>0.0038602984325713</v>
      </c>
      <c r="I1033" s="21" t="n">
        <f aca="false">IF(B1033="","",MAX(ABS($A1033/$B$6-E1033),ABS(($A1033-1)/$B$6-E1033)))</f>
        <v>0.00221545668578804</v>
      </c>
      <c r="J1033" s="21" t="n">
        <f aca="false">IF(B1033="","",MAX(ABS($A1033/$B$6-F1033),ABS(($A1033-1)/$B$6-F1033)))</f>
        <v>0.000875018375703807</v>
      </c>
      <c r="K1033" s="21" t="n">
        <f aca="false">IF(B1033="","",MAX(ABS($A1033/$B$6-G1033),ABS(($A1033-1)/$B$6-G1033)))</f>
        <v>0.00262890499866009</v>
      </c>
    </row>
    <row r="1034" customFormat="false" ht="15" hidden="false" customHeight="false" outlineLevel="0" collapsed="false">
      <c r="A1034" s="11" t="n">
        <v>998</v>
      </c>
      <c r="B1034" s="9" t="n">
        <f aca="false">IF(A1034&gt;$B$6,"",SMALL(BTC_Data!$C$3:$C$1002,A1034))</f>
        <v>0.00479776680225519</v>
      </c>
      <c r="C1034" s="21" t="n">
        <f aca="false">IF(B1034="","",A1034/$B$6)</f>
        <v>0.998</v>
      </c>
      <c r="D1034" s="21" t="n">
        <f aca="false">IF(B1034="","",NORMDIST(B1034,$B$15,$B$16,TRUE()))</f>
        <v>0.999920745080458</v>
      </c>
      <c r="E1034" s="21" t="n">
        <f aca="false">IF(B1034="","",IF(B1034&gt;=$B$15,1-TDIST((B1034-$B$15)/$B$18,$B$17,1),TDIST(($B$15-B1034)/$B$18,$B$17,1)))</f>
        <v>0.998548508548352</v>
      </c>
      <c r="F1034" s="21" t="n">
        <f aca="false">IF(B1034="","",IF(B1034&lt;$B$19,0.5*EXP((B1034-$B$19)/$B$20),1-0.5*EXP(-(B1034-$B$19)/$B$20)))</f>
        <v>0.99744340688825</v>
      </c>
      <c r="G1034" s="21" t="n">
        <f aca="false">IF(B1034="","",1/(1+EXP(-(B1034-$B$15)/$B$21)))</f>
        <v>0.998943085326373</v>
      </c>
      <c r="H1034" s="21" t="n">
        <f aca="false">IF(B1034="","",MAX(ABS($A1034/$B$6-D1034),ABS(($A1034-1)/$B$6-D1034)))</f>
        <v>0.00292074508045836</v>
      </c>
      <c r="I1034" s="21" t="n">
        <f aca="false">IF(B1034="","",MAX(ABS($A1034/$B$6-E1034),ABS(($A1034-1)/$B$6-E1034)))</f>
        <v>0.00154850854835231</v>
      </c>
      <c r="J1034" s="21" t="n">
        <f aca="false">IF(B1034="","",MAX(ABS($A1034/$B$6-F1034),ABS(($A1034-1)/$B$6-F1034)))</f>
        <v>0.000556593111749715</v>
      </c>
      <c r="K1034" s="21" t="n">
        <f aca="false">IF(B1034="","",MAX(ABS($A1034/$B$6-G1034),ABS(($A1034-1)/$B$6-G1034)))</f>
        <v>0.00194308532637266</v>
      </c>
    </row>
    <row r="1035" customFormat="false" ht="15" hidden="false" customHeight="false" outlineLevel="0" collapsed="false">
      <c r="A1035" s="11" t="n">
        <v>999</v>
      </c>
      <c r="B1035" s="9" t="n">
        <f aca="false">IF(A1035&gt;$B$6,"",SMALL(BTC_Data!$C$3:$C$1002,A1035))</f>
        <v>0.00538755026016213</v>
      </c>
      <c r="C1035" s="21" t="n">
        <f aca="false">IF(B1035="","",A1035/$B$6)</f>
        <v>0.999</v>
      </c>
      <c r="D1035" s="21" t="n">
        <f aca="false">IF(B1035="","",NORMDIST(B1035,$B$15,$B$16,TRUE()))</f>
        <v>0.999988851654666</v>
      </c>
      <c r="E1035" s="21" t="n">
        <f aca="false">IF(B1035="","",IF(B1035&gt;=$B$15,1-TDIST((B1035-$B$15)/$B$18,$B$17,1),TDIST(($B$15-B1035)/$B$18,$B$17,1)))</f>
        <v>0.999232614921938</v>
      </c>
      <c r="F1035" s="21" t="n">
        <f aca="false">IF(B1035="","",IF(B1035&lt;$B$19,0.5*EXP((B1035-$B$19)/$B$20),1-0.5*EXP(-(B1035-$B$19)/$B$20)))</f>
        <v>0.998661733597312</v>
      </c>
      <c r="G1035" s="21" t="n">
        <f aca="false">IF(B1035="","",1/(1+EXP(-(B1035-$B$15)/$B$21)))</f>
        <v>0.999543523874087</v>
      </c>
      <c r="H1035" s="21" t="n">
        <f aca="false">IF(B1035="","",MAX(ABS($A1035/$B$6-D1035),ABS(($A1035-1)/$B$6-D1035)))</f>
        <v>0.00198885165466645</v>
      </c>
      <c r="I1035" s="21" t="n">
        <f aca="false">IF(B1035="","",MAX(ABS($A1035/$B$6-E1035),ABS(($A1035-1)/$B$6-E1035)))</f>
        <v>0.0012326149219376</v>
      </c>
      <c r="J1035" s="21" t="n">
        <f aca="false">IF(B1035="","",MAX(ABS($A1035/$B$6-F1035),ABS(($A1035-1)/$B$6-F1035)))</f>
        <v>0.000661733597311809</v>
      </c>
      <c r="K1035" s="21" t="n">
        <f aca="false">IF(B1035="","",MAX(ABS($A1035/$B$6-G1035),ABS(($A1035-1)/$B$6-G1035)))</f>
        <v>0.00154352387408674</v>
      </c>
    </row>
    <row r="1036" customFormat="false" ht="15" hidden="false" customHeight="false" outlineLevel="0" collapsed="false">
      <c r="A1036" s="11" t="n">
        <v>1000</v>
      </c>
      <c r="B1036" s="9" t="n">
        <f aca="false">IF(A1036&gt;$B$6,"",SMALL(BTC_Data!$C$3:$C$1002,A1036))</f>
        <v>0.00569271403817084</v>
      </c>
      <c r="C1036" s="21" t="n">
        <f aca="false">IF(B1036="","",A1036/$B$6)</f>
        <v>1</v>
      </c>
      <c r="D1036" s="21" t="n">
        <f aca="false">IF(B1036="","",NORMDIST(B1036,$B$15,$B$16,TRUE()))</f>
        <v>0.999996271859298</v>
      </c>
      <c r="E1036" s="21" t="n">
        <f aca="false">IF(B1036="","",IF(B1036&gt;=$B$15,1-TDIST((B1036-$B$15)/$B$18,$B$17,1),TDIST(($B$15-B1036)/$B$18,$B$17,1)))</f>
        <v>0.999438973384714</v>
      </c>
      <c r="F1036" s="21" t="n">
        <f aca="false">IF(B1036="","",IF(B1036&lt;$B$19,0.5*EXP((B1036-$B$19)/$B$20),1-0.5*EXP(-(B1036-$B$19)/$B$20)))</f>
        <v>0.999042614369283</v>
      </c>
      <c r="G1036" s="21" t="n">
        <f aca="false">IF(B1036="","",1/(1+EXP(-(B1036-$B$15)/$B$21)))</f>
        <v>0.999704408786898</v>
      </c>
      <c r="H1036" s="21" t="n">
        <f aca="false">IF(B1036="","",MAX(ABS($A1036/$B$6-D1036),ABS(($A1036-1)/$B$6-D1036)))</f>
        <v>0.000996271859297737</v>
      </c>
      <c r="I1036" s="21" t="n">
        <f aca="false">IF(B1036="","",MAX(ABS($A1036/$B$6-E1036),ABS(($A1036-1)/$B$6-E1036)))</f>
        <v>0.000561026615285676</v>
      </c>
      <c r="J1036" s="21" t="n">
        <f aca="false">IF(B1036="","",MAX(ABS($A1036/$B$6-F1036),ABS(($A1036-1)/$B$6-F1036)))</f>
        <v>0.000957385630717345</v>
      </c>
      <c r="K1036" s="21" t="n">
        <f aca="false">IF(B1036="","",MAX(ABS($A1036/$B$6-G1036),ABS(($A1036-1)/$B$6-G1036)))</f>
        <v>0.000704408786898259</v>
      </c>
    </row>
  </sheetData>
  <dataValidations count="1">
    <dataValidation allowBlank="false" error="Alpha must be between 0.001 and 0.5" errorStyle="stop" operator="between" showDropDown="false" showErrorMessage="true" showInputMessage="false" sqref="B3" type="decimal">
      <formula1>0.001</formula1>
      <formula2>0.5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18"/>
  </cols>
  <sheetData>
    <row r="1" customFormat="false" ht="15" hidden="false" customHeight="false" outlineLevel="0" collapsed="false">
      <c r="A1" s="5" t="s">
        <v>21</v>
      </c>
      <c r="B1" s="5" t="s">
        <v>22</v>
      </c>
      <c r="C1" s="5" t="s">
        <v>23</v>
      </c>
      <c r="D1" s="5" t="s">
        <v>24</v>
      </c>
      <c r="F1" s="6" t="s">
        <v>25</v>
      </c>
    </row>
    <row r="2" customFormat="false" ht="15" hidden="false" customHeight="false" outlineLevel="0" collapsed="false">
      <c r="A2" s="7" t="s">
        <v>1083</v>
      </c>
      <c r="B2" s="8" t="n">
        <v>100</v>
      </c>
    </row>
    <row r="3" customFormat="false" ht="15" hidden="false" customHeight="false" outlineLevel="0" collapsed="false">
      <c r="A3" s="7" t="s">
        <v>1084</v>
      </c>
      <c r="B3" s="8" t="n">
        <v>99.965346</v>
      </c>
      <c r="C3" s="9" t="n">
        <f aca="false">IF(AND(ISNUMBER(B3),ISNUMBER(B2),B2&lt;&gt;0),B3/B2-1,"")</f>
        <v>-0.000346540000000006</v>
      </c>
    </row>
    <row r="4" customFormat="false" ht="15" hidden="false" customHeight="false" outlineLevel="0" collapsed="false">
      <c r="A4" s="7" t="s">
        <v>1085</v>
      </c>
      <c r="B4" s="8" t="n">
        <v>99.945128</v>
      </c>
      <c r="C4" s="9" t="n">
        <f aca="false">IF(AND(ISNUMBER(B4),ISNUMBER(B3),B3&lt;&gt;0),B4/B3-1,"")</f>
        <v>-0.000202250087745437</v>
      </c>
    </row>
    <row r="5" customFormat="false" ht="15" hidden="false" customHeight="false" outlineLevel="0" collapsed="false">
      <c r="A5" s="7" t="s">
        <v>1086</v>
      </c>
      <c r="B5" s="8" t="n">
        <v>100.018068</v>
      </c>
      <c r="C5" s="9" t="n">
        <f aca="false">IF(AND(ISNUMBER(B5),ISNUMBER(B4),B4&lt;&gt;0),B5/B4-1,"")</f>
        <v>0.000729800456106267</v>
      </c>
    </row>
    <row r="6" customFormat="false" ht="15" hidden="false" customHeight="false" outlineLevel="0" collapsed="false">
      <c r="A6" s="7" t="s">
        <v>1087</v>
      </c>
      <c r="B6" s="8" t="n">
        <v>100.110262</v>
      </c>
      <c r="C6" s="9" t="n">
        <f aca="false">IF(AND(ISNUMBER(B6),ISNUMBER(B5),B5&lt;&gt;0),B6/B5-1,"")</f>
        <v>0.000921773453972374</v>
      </c>
    </row>
    <row r="7" customFormat="false" ht="15" hidden="false" customHeight="false" outlineLevel="0" collapsed="false">
      <c r="A7" s="7" t="s">
        <v>1088</v>
      </c>
      <c r="B7" s="8" t="n">
        <v>100.134998</v>
      </c>
      <c r="C7" s="9" t="n">
        <f aca="false">IF(AND(ISNUMBER(B7),ISNUMBER(B6),B6&lt;&gt;0),B7/B6-1,"")</f>
        <v>0.000247087556318526</v>
      </c>
    </row>
    <row r="8" customFormat="false" ht="15" hidden="false" customHeight="false" outlineLevel="0" collapsed="false">
      <c r="A8" s="7" t="s">
        <v>1089</v>
      </c>
      <c r="B8" s="8" t="n">
        <v>100.146501</v>
      </c>
      <c r="C8" s="9" t="n">
        <f aca="false">IF(AND(ISNUMBER(B8),ISNUMBER(B7),B7&lt;&gt;0),B8/B7-1,"")</f>
        <v>0.000114874921153918</v>
      </c>
    </row>
    <row r="9" customFormat="false" ht="15" hidden="false" customHeight="false" outlineLevel="0" collapsed="false">
      <c r="A9" s="7" t="s">
        <v>1090</v>
      </c>
      <c r="B9" s="8" t="n">
        <v>100.247452</v>
      </c>
      <c r="C9" s="9" t="n">
        <f aca="false">IF(AND(ISNUMBER(B9),ISNUMBER(B8),B8&lt;&gt;0),B9/B8-1,"")</f>
        <v>0.00100803322125054</v>
      </c>
    </row>
    <row r="10" customFormat="false" ht="15" hidden="false" customHeight="false" outlineLevel="0" collapsed="false">
      <c r="A10" s="7" t="s">
        <v>1091</v>
      </c>
      <c r="B10" s="8" t="n">
        <v>100.221161</v>
      </c>
      <c r="C10" s="9" t="n">
        <f aca="false">IF(AND(ISNUMBER(B10),ISNUMBER(B9),B9&lt;&gt;0),B10/B9-1,"")</f>
        <v>-0.000262261029836508</v>
      </c>
    </row>
    <row r="11" customFormat="false" ht="15" hidden="false" customHeight="false" outlineLevel="0" collapsed="false">
      <c r="A11" s="7" t="s">
        <v>1092</v>
      </c>
      <c r="B11" s="8" t="n">
        <v>100.27324</v>
      </c>
      <c r="C11" s="9" t="n">
        <f aca="false">IF(AND(ISNUMBER(B11),ISNUMBER(B10),B10&lt;&gt;0),B11/B10-1,"")</f>
        <v>0.000519640757304707</v>
      </c>
    </row>
    <row r="12" customFormat="false" ht="15" hidden="false" customHeight="false" outlineLevel="0" collapsed="false">
      <c r="A12" s="7" t="s">
        <v>1093</v>
      </c>
      <c r="B12" s="8" t="n">
        <v>100.266829</v>
      </c>
      <c r="C12" s="9" t="n">
        <f aca="false">IF(AND(ISNUMBER(B12),ISNUMBER(B11),B11&lt;&gt;0),B12/B11-1,"")</f>
        <v>-6.39353031776091E-005</v>
      </c>
    </row>
    <row r="13" customFormat="false" ht="15" hidden="false" customHeight="false" outlineLevel="0" collapsed="false">
      <c r="A13" s="7" t="s">
        <v>1094</v>
      </c>
      <c r="B13" s="8" t="n">
        <v>100.274619</v>
      </c>
      <c r="C13" s="9" t="n">
        <f aca="false">IF(AND(ISNUMBER(B13),ISNUMBER(B12),B12&lt;&gt;0),B13/B12-1,"")</f>
        <v>7.76926933632183E-005</v>
      </c>
    </row>
    <row r="14" customFormat="false" ht="15" hidden="false" customHeight="false" outlineLevel="0" collapsed="false">
      <c r="A14" s="7" t="s">
        <v>1095</v>
      </c>
      <c r="B14" s="8" t="n">
        <v>100.26869</v>
      </c>
      <c r="C14" s="9" t="n">
        <f aca="false">IF(AND(ISNUMBER(B14),ISNUMBER(B13),B13&lt;&gt;0),B14/B13-1,"")</f>
        <v>-5.91276243093741E-005</v>
      </c>
    </row>
    <row r="15" customFormat="false" ht="15" hidden="false" customHeight="false" outlineLevel="0" collapsed="false">
      <c r="A15" s="7" t="s">
        <v>1096</v>
      </c>
      <c r="B15" s="8" t="n">
        <v>100.311873</v>
      </c>
      <c r="C15" s="9" t="n">
        <f aca="false">IF(AND(ISNUMBER(B15),ISNUMBER(B14),B14&lt;&gt;0),B15/B14-1,"")</f>
        <v>0.00043067282518594</v>
      </c>
    </row>
    <row r="16" customFormat="false" ht="15" hidden="false" customHeight="false" outlineLevel="0" collapsed="false">
      <c r="A16" s="7" t="s">
        <v>1097</v>
      </c>
      <c r="B16" s="8" t="n">
        <v>100.366864</v>
      </c>
      <c r="C16" s="9" t="n">
        <f aca="false">IF(AND(ISNUMBER(B16),ISNUMBER(B15),B15&lt;&gt;0),B16/B15-1,"")</f>
        <v>0.000548200311243363</v>
      </c>
    </row>
    <row r="17" customFormat="false" ht="15" hidden="false" customHeight="false" outlineLevel="0" collapsed="false">
      <c r="A17" s="7" t="s">
        <v>1098</v>
      </c>
      <c r="B17" s="8" t="n">
        <v>100.41999</v>
      </c>
      <c r="C17" s="9" t="n">
        <f aca="false">IF(AND(ISNUMBER(B17),ISNUMBER(B16),B16&lt;&gt;0),B17/B16-1,"")</f>
        <v>0.000529318122363565</v>
      </c>
    </row>
    <row r="18" customFormat="false" ht="15" hidden="false" customHeight="false" outlineLevel="0" collapsed="false">
      <c r="A18" s="7" t="s">
        <v>1099</v>
      </c>
      <c r="B18" s="8" t="n">
        <v>100.320015</v>
      </c>
      <c r="C18" s="9" t="n">
        <f aca="false">IF(AND(ISNUMBER(B18),ISNUMBER(B17),B17&lt;&gt;0),B18/B17-1,"")</f>
        <v>-0.00099556871097084</v>
      </c>
    </row>
    <row r="19" customFormat="false" ht="15" hidden="false" customHeight="false" outlineLevel="0" collapsed="false">
      <c r="A19" s="7" t="s">
        <v>1100</v>
      </c>
      <c r="B19" s="8" t="n">
        <v>100.251977</v>
      </c>
      <c r="C19" s="9" t="n">
        <f aca="false">IF(AND(ISNUMBER(B19),ISNUMBER(B18),B18&lt;&gt;0),B19/B18-1,"")</f>
        <v>-0.00067820962746068</v>
      </c>
    </row>
    <row r="20" customFormat="false" ht="15" hidden="false" customHeight="false" outlineLevel="0" collapsed="false">
      <c r="A20" s="7" t="s">
        <v>1101</v>
      </c>
      <c r="B20" s="8" t="n">
        <v>100.234307</v>
      </c>
      <c r="C20" s="9" t="n">
        <f aca="false">IF(AND(ISNUMBER(B20),ISNUMBER(B19),B19&lt;&gt;0),B20/B19-1,"")</f>
        <v>-0.000176255875732001</v>
      </c>
    </row>
    <row r="21" customFormat="false" ht="15" hidden="false" customHeight="false" outlineLevel="0" collapsed="false">
      <c r="A21" s="7" t="s">
        <v>1102</v>
      </c>
      <c r="B21" s="8" t="n">
        <v>100.252333</v>
      </c>
      <c r="C21" s="9" t="n">
        <f aca="false">IF(AND(ISNUMBER(B21),ISNUMBER(B20),B20&lt;&gt;0),B21/B20-1,"")</f>
        <v>0.00017983862551163</v>
      </c>
    </row>
    <row r="22" customFormat="false" ht="15" hidden="false" customHeight="false" outlineLevel="0" collapsed="false">
      <c r="A22" s="7" t="s">
        <v>1103</v>
      </c>
      <c r="B22" s="8" t="n">
        <v>100.080383</v>
      </c>
      <c r="C22" s="9" t="n">
        <f aca="false">IF(AND(ISNUMBER(B22),ISNUMBER(B21),B21&lt;&gt;0),B22/B21-1,"")</f>
        <v>-0.00171517205489868</v>
      </c>
    </row>
    <row r="23" customFormat="false" ht="15" hidden="false" customHeight="false" outlineLevel="0" collapsed="false">
      <c r="A23" s="7" t="s">
        <v>1104</v>
      </c>
      <c r="B23" s="8" t="n">
        <v>100.082844</v>
      </c>
      <c r="C23" s="9" t="n">
        <f aca="false">IF(AND(ISNUMBER(B23),ISNUMBER(B22),B22&lt;&gt;0),B23/B22-1,"")</f>
        <v>2.45902336324377E-005</v>
      </c>
    </row>
    <row r="24" customFormat="false" ht="15" hidden="false" customHeight="false" outlineLevel="0" collapsed="false">
      <c r="A24" s="7" t="s">
        <v>1105</v>
      </c>
      <c r="B24" s="8" t="n">
        <v>100.156672</v>
      </c>
      <c r="C24" s="9" t="n">
        <f aca="false">IF(AND(ISNUMBER(B24),ISNUMBER(B23),B23&lt;&gt;0),B24/B23-1,"")</f>
        <v>0.000737668885588461</v>
      </c>
    </row>
    <row r="25" customFormat="false" ht="15" hidden="false" customHeight="false" outlineLevel="0" collapsed="false">
      <c r="A25" s="7" t="s">
        <v>1106</v>
      </c>
      <c r="B25" s="8" t="n">
        <v>100.199838</v>
      </c>
      <c r="C25" s="9" t="n">
        <f aca="false">IF(AND(ISNUMBER(B25),ISNUMBER(B24),B24&lt;&gt;0),B25/B24-1,"")</f>
        <v>0.000430984767544995</v>
      </c>
    </row>
    <row r="26" customFormat="false" ht="15" hidden="false" customHeight="false" outlineLevel="0" collapsed="false">
      <c r="A26" s="7" t="s">
        <v>1107</v>
      </c>
      <c r="B26" s="8" t="n">
        <v>100.289083</v>
      </c>
      <c r="C26" s="9" t="n">
        <f aca="false">IF(AND(ISNUMBER(B26),ISNUMBER(B25),B25&lt;&gt;0),B26/B25-1,"")</f>
        <v>0.000890670102680291</v>
      </c>
    </row>
    <row r="27" customFormat="false" ht="15" hidden="false" customHeight="false" outlineLevel="0" collapsed="false">
      <c r="A27" s="7" t="s">
        <v>1108</v>
      </c>
      <c r="B27" s="8" t="n">
        <v>100.367106</v>
      </c>
      <c r="C27" s="9" t="n">
        <f aca="false">IF(AND(ISNUMBER(B27),ISNUMBER(B26),B26&lt;&gt;0),B27/B26-1,"")</f>
        <v>0.000777980989216998</v>
      </c>
    </row>
    <row r="28" customFormat="false" ht="15" hidden="false" customHeight="false" outlineLevel="0" collapsed="false">
      <c r="A28" s="7" t="s">
        <v>1109</v>
      </c>
      <c r="B28" s="8" t="n">
        <v>100.412641</v>
      </c>
      <c r="C28" s="9" t="n">
        <f aca="false">IF(AND(ISNUMBER(B28),ISNUMBER(B27),B27&lt;&gt;0),B28/B27-1,"")</f>
        <v>0.000453684496990237</v>
      </c>
    </row>
    <row r="29" customFormat="false" ht="15" hidden="false" customHeight="false" outlineLevel="0" collapsed="false">
      <c r="A29" s="7" t="s">
        <v>1110</v>
      </c>
      <c r="B29" s="8" t="n">
        <v>100.335586</v>
      </c>
      <c r="C29" s="9" t="n">
        <f aca="false">IF(AND(ISNUMBER(B29),ISNUMBER(B28),B28&lt;&gt;0),B29/B28-1,"")</f>
        <v>-0.000767383461211746</v>
      </c>
    </row>
    <row r="30" customFormat="false" ht="15" hidden="false" customHeight="false" outlineLevel="0" collapsed="false">
      <c r="A30" s="7" t="s">
        <v>1111</v>
      </c>
      <c r="B30" s="8" t="n">
        <v>100.28164</v>
      </c>
      <c r="C30" s="9" t="n">
        <f aca="false">IF(AND(ISNUMBER(B30),ISNUMBER(B29),B29&lt;&gt;0),B30/B29-1,"")</f>
        <v>-0.000537655702733564</v>
      </c>
    </row>
    <row r="31" customFormat="false" ht="15" hidden="false" customHeight="false" outlineLevel="0" collapsed="false">
      <c r="A31" s="7" t="s">
        <v>1112</v>
      </c>
      <c r="B31" s="8" t="n">
        <v>100.268395</v>
      </c>
      <c r="C31" s="9" t="n">
        <f aca="false">IF(AND(ISNUMBER(B31),ISNUMBER(B30),B30&lt;&gt;0),B31/B30-1,"")</f>
        <v>-0.000132078015477211</v>
      </c>
    </row>
    <row r="32" customFormat="false" ht="15" hidden="false" customHeight="false" outlineLevel="0" collapsed="false">
      <c r="A32" s="7" t="s">
        <v>1113</v>
      </c>
      <c r="B32" s="8" t="n">
        <v>100.214821</v>
      </c>
      <c r="C32" s="9" t="n">
        <f aca="false">IF(AND(ISNUMBER(B32),ISNUMBER(B31),B31&lt;&gt;0),B32/B31-1,"")</f>
        <v>-0.000534305949546732</v>
      </c>
    </row>
    <row r="33" customFormat="false" ht="15" hidden="false" customHeight="false" outlineLevel="0" collapsed="false">
      <c r="A33" s="7" t="s">
        <v>1114</v>
      </c>
      <c r="B33" s="8" t="n">
        <v>100.241386</v>
      </c>
      <c r="C33" s="9" t="n">
        <f aca="false">IF(AND(ISNUMBER(B33),ISNUMBER(B32),B32&lt;&gt;0),B33/B32-1,"")</f>
        <v>0.000265080551308916</v>
      </c>
    </row>
    <row r="34" customFormat="false" ht="15" hidden="false" customHeight="false" outlineLevel="0" collapsed="false">
      <c r="A34" s="7" t="s">
        <v>1115</v>
      </c>
      <c r="B34" s="8" t="n">
        <v>100.235376</v>
      </c>
      <c r="C34" s="9" t="n">
        <f aca="false">IF(AND(ISNUMBER(B34),ISNUMBER(B33),B33&lt;&gt;0),B34/B33-1,"")</f>
        <v>-5.99552763566047E-005</v>
      </c>
    </row>
    <row r="35" customFormat="false" ht="15" hidden="false" customHeight="false" outlineLevel="0" collapsed="false">
      <c r="A35" s="7" t="s">
        <v>1116</v>
      </c>
      <c r="B35" s="8" t="n">
        <v>100.343051</v>
      </c>
      <c r="C35" s="9" t="n">
        <f aca="false">IF(AND(ISNUMBER(B35),ISNUMBER(B34),B34&lt;&gt;0),B35/B34-1,"")</f>
        <v>0.00107422154030723</v>
      </c>
    </row>
    <row r="36" customFormat="false" ht="15" hidden="false" customHeight="false" outlineLevel="0" collapsed="false">
      <c r="A36" s="7" t="s">
        <v>1117</v>
      </c>
      <c r="B36" s="8" t="n">
        <v>100.282962</v>
      </c>
      <c r="C36" s="9" t="n">
        <f aca="false">IF(AND(ISNUMBER(B36),ISNUMBER(B35),B35&lt;&gt;0),B36/B35-1,"")</f>
        <v>-0.000598835688183419</v>
      </c>
    </row>
    <row r="37" customFormat="false" ht="15" hidden="false" customHeight="false" outlineLevel="0" collapsed="false">
      <c r="A37" s="7" t="s">
        <v>1118</v>
      </c>
      <c r="B37" s="8" t="n">
        <v>100.277164</v>
      </c>
      <c r="C37" s="9" t="n">
        <f aca="false">IF(AND(ISNUMBER(B37),ISNUMBER(B36),B36&lt;&gt;0),B37/B36-1,"")</f>
        <v>-5.78164015537785E-005</v>
      </c>
    </row>
    <row r="38" customFormat="false" ht="15" hidden="false" customHeight="false" outlineLevel="0" collapsed="false">
      <c r="A38" s="7" t="s">
        <v>1119</v>
      </c>
      <c r="B38" s="8" t="n">
        <v>100.234018</v>
      </c>
      <c r="C38" s="9" t="n">
        <f aca="false">IF(AND(ISNUMBER(B38),ISNUMBER(B37),B37&lt;&gt;0),B38/B37-1,"")</f>
        <v>-0.000430267453515043</v>
      </c>
    </row>
    <row r="39" customFormat="false" ht="15" hidden="false" customHeight="false" outlineLevel="0" collapsed="false">
      <c r="A39" s="7" t="s">
        <v>1120</v>
      </c>
      <c r="B39" s="8" t="n">
        <v>100.243284</v>
      </c>
      <c r="C39" s="9" t="n">
        <f aca="false">IF(AND(ISNUMBER(B39),ISNUMBER(B38),B38&lt;&gt;0),B39/B38-1,"")</f>
        <v>9.24436651836835E-005</v>
      </c>
    </row>
    <row r="40" customFormat="false" ht="15" hidden="false" customHeight="false" outlineLevel="0" collapsed="false">
      <c r="A40" s="7" t="s">
        <v>1121</v>
      </c>
      <c r="B40" s="8" t="n">
        <v>100.220204</v>
      </c>
      <c r="C40" s="9" t="n">
        <f aca="false">IF(AND(ISNUMBER(B40),ISNUMBER(B39),B39&lt;&gt;0),B40/B39-1,"")</f>
        <v>-0.000230239863251214</v>
      </c>
    </row>
    <row r="41" customFormat="false" ht="15" hidden="false" customHeight="false" outlineLevel="0" collapsed="false">
      <c r="A41" s="7" t="s">
        <v>1122</v>
      </c>
      <c r="B41" s="8" t="n">
        <v>100.211659</v>
      </c>
      <c r="C41" s="9" t="n">
        <f aca="false">IF(AND(ISNUMBER(B41),ISNUMBER(B40),B40&lt;&gt;0),B41/B40-1,"")</f>
        <v>-8.52622491169797E-005</v>
      </c>
    </row>
    <row r="42" customFormat="false" ht="15" hidden="false" customHeight="false" outlineLevel="0" collapsed="false">
      <c r="A42" s="7" t="s">
        <v>1123</v>
      </c>
      <c r="B42" s="8" t="n">
        <v>100.22087</v>
      </c>
      <c r="C42" s="9" t="n">
        <f aca="false">IF(AND(ISNUMBER(B42),ISNUMBER(B41),B41&lt;&gt;0),B42/B41-1,"")</f>
        <v>9.19154526721755E-005</v>
      </c>
    </row>
    <row r="43" customFormat="false" ht="15" hidden="false" customHeight="false" outlineLevel="0" collapsed="false">
      <c r="A43" s="7" t="s">
        <v>1124</v>
      </c>
      <c r="B43" s="8" t="n">
        <v>100.140963</v>
      </c>
      <c r="C43" s="9" t="n">
        <f aca="false">IF(AND(ISNUMBER(B43),ISNUMBER(B42),B42&lt;&gt;0),B43/B42-1,"")</f>
        <v>-0.000797308983647826</v>
      </c>
    </row>
    <row r="44" customFormat="false" ht="15" hidden="false" customHeight="false" outlineLevel="0" collapsed="false">
      <c r="A44" s="7" t="s">
        <v>1125</v>
      </c>
      <c r="B44" s="8" t="n">
        <v>100.100511</v>
      </c>
      <c r="C44" s="9" t="n">
        <f aca="false">IF(AND(ISNUMBER(B44),ISNUMBER(B43),B43&lt;&gt;0),B44/B43-1,"")</f>
        <v>-0.000403950579145107</v>
      </c>
    </row>
    <row r="45" customFormat="false" ht="15" hidden="false" customHeight="false" outlineLevel="0" collapsed="false">
      <c r="A45" s="7" t="s">
        <v>1126</v>
      </c>
      <c r="B45" s="8" t="n">
        <v>100.113186</v>
      </c>
      <c r="C45" s="9" t="n">
        <f aca="false">IF(AND(ISNUMBER(B45),ISNUMBER(B44),B44&lt;&gt;0),B45/B44-1,"")</f>
        <v>0.000126622730227677</v>
      </c>
    </row>
    <row r="46" customFormat="false" ht="15" hidden="false" customHeight="false" outlineLevel="0" collapsed="false">
      <c r="A46" s="7" t="s">
        <v>1127</v>
      </c>
      <c r="B46" s="8" t="n">
        <v>100.135899</v>
      </c>
      <c r="C46" s="9" t="n">
        <f aca="false">IF(AND(ISNUMBER(B46),ISNUMBER(B45),B45&lt;&gt;0),B46/B45-1,"")</f>
        <v>0.000226873211287115</v>
      </c>
    </row>
    <row r="47" customFormat="false" ht="15" hidden="false" customHeight="false" outlineLevel="0" collapsed="false">
      <c r="A47" s="7" t="s">
        <v>1128</v>
      </c>
      <c r="B47" s="8" t="n">
        <v>100.195243</v>
      </c>
      <c r="C47" s="9" t="n">
        <f aca="false">IF(AND(ISNUMBER(B47),ISNUMBER(B46),B46&lt;&gt;0),B47/B46-1,"")</f>
        <v>0.000592634615484089</v>
      </c>
    </row>
    <row r="48" customFormat="false" ht="15" hidden="false" customHeight="false" outlineLevel="0" collapsed="false">
      <c r="A48" s="7" t="s">
        <v>1129</v>
      </c>
      <c r="B48" s="8" t="n">
        <v>100.261105</v>
      </c>
      <c r="C48" s="9" t="n">
        <f aca="false">IF(AND(ISNUMBER(B48),ISNUMBER(B47),B47&lt;&gt;0),B48/B47-1,"")</f>
        <v>0.000657336596309177</v>
      </c>
    </row>
    <row r="49" customFormat="false" ht="15" hidden="false" customHeight="false" outlineLevel="0" collapsed="false">
      <c r="A49" s="7" t="s">
        <v>1130</v>
      </c>
      <c r="B49" s="8" t="n">
        <v>100.120071</v>
      </c>
      <c r="C49" s="9" t="n">
        <f aca="false">IF(AND(ISNUMBER(B49),ISNUMBER(B48),B48&lt;&gt;0),B49/B48-1,"")</f>
        <v>-0.00140666712181159</v>
      </c>
    </row>
    <row r="50" customFormat="false" ht="15" hidden="false" customHeight="false" outlineLevel="0" collapsed="false">
      <c r="A50" s="7" t="s">
        <v>1131</v>
      </c>
      <c r="B50" s="8" t="n">
        <v>100.152546</v>
      </c>
      <c r="C50" s="9" t="n">
        <f aca="false">IF(AND(ISNUMBER(B50),ISNUMBER(B49),B49&lt;&gt;0),B50/B49-1,"")</f>
        <v>0.000324360537059532</v>
      </c>
    </row>
    <row r="51" customFormat="false" ht="15" hidden="false" customHeight="false" outlineLevel="0" collapsed="false">
      <c r="A51" s="7" t="s">
        <v>1132</v>
      </c>
      <c r="B51" s="8" t="n">
        <v>100.064409</v>
      </c>
      <c r="C51" s="9" t="n">
        <f aca="false">IF(AND(ISNUMBER(B51),ISNUMBER(B50),B50&lt;&gt;0),B51/B50-1,"")</f>
        <v>-0.000880027553168739</v>
      </c>
    </row>
    <row r="52" customFormat="false" ht="15" hidden="false" customHeight="false" outlineLevel="0" collapsed="false">
      <c r="A52" s="7" t="s">
        <v>1133</v>
      </c>
      <c r="B52" s="8" t="n">
        <v>100.067838</v>
      </c>
      <c r="C52" s="9" t="n">
        <f aca="false">IF(AND(ISNUMBER(B52),ISNUMBER(B51),B51&lt;&gt;0),B52/B51-1,"")</f>
        <v>3.42679283700242E-005</v>
      </c>
    </row>
    <row r="53" customFormat="false" ht="15" hidden="false" customHeight="false" outlineLevel="0" collapsed="false">
      <c r="A53" s="7" t="s">
        <v>1134</v>
      </c>
      <c r="B53" s="8" t="n">
        <v>100.109211</v>
      </c>
      <c r="C53" s="9" t="n">
        <f aca="false">IF(AND(ISNUMBER(B53),ISNUMBER(B52),B52&lt;&gt;0),B53/B52-1,"")</f>
        <v>0.000413449524111931</v>
      </c>
    </row>
    <row r="54" customFormat="false" ht="15" hidden="false" customHeight="false" outlineLevel="0" collapsed="false">
      <c r="A54" s="7" t="s">
        <v>1135</v>
      </c>
      <c r="B54" s="8" t="n">
        <v>100.109525</v>
      </c>
      <c r="C54" s="9" t="n">
        <f aca="false">IF(AND(ISNUMBER(B54),ISNUMBER(B53),B53&lt;&gt;0),B54/B53-1,"")</f>
        <v>3.13657451567195E-006</v>
      </c>
    </row>
    <row r="55" customFormat="false" ht="15" hidden="false" customHeight="false" outlineLevel="0" collapsed="false">
      <c r="A55" s="7" t="s">
        <v>1136</v>
      </c>
      <c r="B55" s="8" t="n">
        <v>100.095232</v>
      </c>
      <c r="C55" s="9" t="n">
        <f aca="false">IF(AND(ISNUMBER(B55),ISNUMBER(B54),B54&lt;&gt;0),B55/B54-1,"")</f>
        <v>-0.000142773627184956</v>
      </c>
    </row>
    <row r="56" customFormat="false" ht="15" hidden="false" customHeight="false" outlineLevel="0" collapsed="false">
      <c r="A56" s="7" t="s">
        <v>1137</v>
      </c>
      <c r="B56" s="8" t="n">
        <v>100.087693</v>
      </c>
      <c r="C56" s="9" t="n">
        <f aca="false">IF(AND(ISNUMBER(B56),ISNUMBER(B55),B55&lt;&gt;0),B56/B55-1,"")</f>
        <v>-7.53182729023028E-005</v>
      </c>
    </row>
    <row r="57" customFormat="false" ht="15" hidden="false" customHeight="false" outlineLevel="0" collapsed="false">
      <c r="A57" s="7" t="s">
        <v>1138</v>
      </c>
      <c r="B57" s="8" t="n">
        <v>100.018557</v>
      </c>
      <c r="C57" s="9" t="n">
        <f aca="false">IF(AND(ISNUMBER(B57),ISNUMBER(B56),B56&lt;&gt;0),B57/B56-1,"")</f>
        <v>-0.000690754256869486</v>
      </c>
    </row>
    <row r="58" customFormat="false" ht="15" hidden="false" customHeight="false" outlineLevel="0" collapsed="false">
      <c r="A58" s="7" t="s">
        <v>1139</v>
      </c>
      <c r="B58" s="8" t="n">
        <v>100.120241</v>
      </c>
      <c r="C58" s="9" t="n">
        <f aca="false">IF(AND(ISNUMBER(B58),ISNUMBER(B57),B57&lt;&gt;0),B58/B57-1,"")</f>
        <v>0.00101665134001072</v>
      </c>
    </row>
    <row r="59" customFormat="false" ht="15" hidden="false" customHeight="false" outlineLevel="0" collapsed="false">
      <c r="A59" s="7" t="s">
        <v>1140</v>
      </c>
      <c r="B59" s="8" t="n">
        <v>100.124373</v>
      </c>
      <c r="C59" s="9" t="n">
        <f aca="false">IF(AND(ISNUMBER(B59),ISNUMBER(B58),B58&lt;&gt;0),B59/B58-1,"")</f>
        <v>4.12703760872546E-005</v>
      </c>
    </row>
    <row r="60" customFormat="false" ht="15" hidden="false" customHeight="false" outlineLevel="0" collapsed="false">
      <c r="A60" s="7" t="s">
        <v>1141</v>
      </c>
      <c r="B60" s="8" t="n">
        <v>100.124509</v>
      </c>
      <c r="C60" s="9" t="n">
        <f aca="false">IF(AND(ISNUMBER(B60),ISNUMBER(B59),B59&lt;&gt;0),B60/B59-1,"")</f>
        <v>1.35831062819669E-006</v>
      </c>
    </row>
    <row r="61" customFormat="false" ht="15" hidden="false" customHeight="false" outlineLevel="0" collapsed="false">
      <c r="A61" s="7" t="s">
        <v>1142</v>
      </c>
      <c r="B61" s="8" t="n">
        <v>99.944973</v>
      </c>
      <c r="C61" s="9" t="n">
        <f aca="false">IF(AND(ISNUMBER(B61),ISNUMBER(B60),B60&lt;&gt;0),B61/B60-1,"")</f>
        <v>-0.0017931273950117</v>
      </c>
    </row>
    <row r="62" customFormat="false" ht="15" hidden="false" customHeight="false" outlineLevel="0" collapsed="false">
      <c r="A62" s="7" t="s">
        <v>1143</v>
      </c>
      <c r="B62" s="8" t="n">
        <v>99.983223</v>
      </c>
      <c r="C62" s="9" t="n">
        <f aca="false">IF(AND(ISNUMBER(B62),ISNUMBER(B61),B61&lt;&gt;0),B62/B61-1,"")</f>
        <v>0.000382710594158509</v>
      </c>
    </row>
    <row r="63" customFormat="false" ht="15" hidden="false" customHeight="false" outlineLevel="0" collapsed="false">
      <c r="A63" s="7" t="s">
        <v>1144</v>
      </c>
      <c r="B63" s="8" t="n">
        <v>100.029038</v>
      </c>
      <c r="C63" s="9" t="n">
        <f aca="false">IF(AND(ISNUMBER(B63),ISNUMBER(B62),B62&lt;&gt;0),B63/B62-1,"")</f>
        <v>0.000458226876723256</v>
      </c>
    </row>
    <row r="64" customFormat="false" ht="15" hidden="false" customHeight="false" outlineLevel="0" collapsed="false">
      <c r="A64" s="7" t="s">
        <v>1145</v>
      </c>
      <c r="B64" s="8" t="n">
        <v>100.087073</v>
      </c>
      <c r="C64" s="9" t="n">
        <f aca="false">IF(AND(ISNUMBER(B64),ISNUMBER(B63),B63&lt;&gt;0),B64/B63-1,"")</f>
        <v>0.000580181526888213</v>
      </c>
    </row>
    <row r="65" customFormat="false" ht="15" hidden="false" customHeight="false" outlineLevel="0" collapsed="false">
      <c r="A65" s="7" t="s">
        <v>1146</v>
      </c>
      <c r="B65" s="8" t="n">
        <v>100.132256</v>
      </c>
      <c r="C65" s="9" t="n">
        <f aca="false">IF(AND(ISNUMBER(B65),ISNUMBER(B64),B64&lt;&gt;0),B65/B64-1,"")</f>
        <v>0.000451436920330339</v>
      </c>
    </row>
    <row r="66" customFormat="false" ht="15" hidden="false" customHeight="false" outlineLevel="0" collapsed="false">
      <c r="A66" s="7" t="s">
        <v>1147</v>
      </c>
      <c r="B66" s="8" t="n">
        <v>100.966613</v>
      </c>
      <c r="C66" s="9" t="n">
        <f aca="false">IF(AND(ISNUMBER(B66),ISNUMBER(B65),B65&lt;&gt;0),B66/B65-1,"")</f>
        <v>0.00833254970306463</v>
      </c>
    </row>
    <row r="67" customFormat="false" ht="15" hidden="false" customHeight="false" outlineLevel="0" collapsed="false">
      <c r="A67" s="7" t="s">
        <v>1148</v>
      </c>
      <c r="B67" s="8" t="n">
        <v>100.869151</v>
      </c>
      <c r="C67" s="9" t="n">
        <f aca="false">IF(AND(ISNUMBER(B67),ISNUMBER(B66),B66&lt;&gt;0),B67/B66-1,"")</f>
        <v>-0.000965289387294677</v>
      </c>
    </row>
    <row r="68" customFormat="false" ht="15" hidden="false" customHeight="false" outlineLevel="0" collapsed="false">
      <c r="A68" s="7" t="s">
        <v>1149</v>
      </c>
      <c r="B68" s="8" t="n">
        <v>100.690995</v>
      </c>
      <c r="C68" s="9" t="n">
        <f aca="false">IF(AND(ISNUMBER(B68),ISNUMBER(B67),B67&lt;&gt;0),B68/B67-1,"")</f>
        <v>-0.00176620897701418</v>
      </c>
    </row>
    <row r="69" customFormat="false" ht="15" hidden="false" customHeight="false" outlineLevel="0" collapsed="false">
      <c r="A69" s="7" t="s">
        <v>1150</v>
      </c>
      <c r="B69" s="8" t="n">
        <v>100.777725</v>
      </c>
      <c r="C69" s="9" t="n">
        <f aca="false">IF(AND(ISNUMBER(B69),ISNUMBER(B68),B68&lt;&gt;0),B69/B68-1,"")</f>
        <v>0.000861348127506378</v>
      </c>
    </row>
    <row r="70" customFormat="false" ht="15" hidden="false" customHeight="false" outlineLevel="0" collapsed="false">
      <c r="A70" s="7" t="s">
        <v>1151</v>
      </c>
      <c r="B70" s="8" t="n">
        <v>100.729641</v>
      </c>
      <c r="C70" s="9" t="n">
        <f aca="false">IF(AND(ISNUMBER(B70),ISNUMBER(B69),B69&lt;&gt;0),B70/B69-1,"")</f>
        <v>-0.000477129246567176</v>
      </c>
    </row>
    <row r="71" customFormat="false" ht="15" hidden="false" customHeight="false" outlineLevel="0" collapsed="false">
      <c r="A71" s="7" t="s">
        <v>1152</v>
      </c>
      <c r="B71" s="8" t="n">
        <v>100.715728</v>
      </c>
      <c r="C71" s="9" t="n">
        <f aca="false">IF(AND(ISNUMBER(B71),ISNUMBER(B70),B70&lt;&gt;0),B71/B70-1,"")</f>
        <v>-0.000138122203771185</v>
      </c>
    </row>
    <row r="72" customFormat="false" ht="15" hidden="false" customHeight="false" outlineLevel="0" collapsed="false">
      <c r="A72" s="7" t="s">
        <v>1153</v>
      </c>
      <c r="B72" s="8" t="n">
        <v>100.551808</v>
      </c>
      <c r="C72" s="9" t="n">
        <f aca="false">IF(AND(ISNUMBER(B72),ISNUMBER(B71),B71&lt;&gt;0),B72/B71-1,"")</f>
        <v>-0.00162755116062907</v>
      </c>
    </row>
    <row r="73" customFormat="false" ht="15" hidden="false" customHeight="false" outlineLevel="0" collapsed="false">
      <c r="A73" s="7" t="s">
        <v>1154</v>
      </c>
      <c r="B73" s="8" t="n">
        <v>100.572696</v>
      </c>
      <c r="C73" s="9" t="n">
        <f aca="false">IF(AND(ISNUMBER(B73),ISNUMBER(B72),B72&lt;&gt;0),B73/B72-1,"")</f>
        <v>0.000207733708776248</v>
      </c>
    </row>
    <row r="74" customFormat="false" ht="15" hidden="false" customHeight="false" outlineLevel="0" collapsed="false">
      <c r="A74" s="7" t="s">
        <v>1155</v>
      </c>
      <c r="B74" s="8" t="n">
        <v>100.662186</v>
      </c>
      <c r="C74" s="9" t="n">
        <f aca="false">IF(AND(ISNUMBER(B74),ISNUMBER(B73),B73&lt;&gt;0),B74/B73-1,"")</f>
        <v>0.000889804127354843</v>
      </c>
    </row>
    <row r="75" customFormat="false" ht="15" hidden="false" customHeight="false" outlineLevel="0" collapsed="false">
      <c r="A75" s="7" t="s">
        <v>1156</v>
      </c>
      <c r="B75" s="8" t="n">
        <v>100.660516</v>
      </c>
      <c r="C75" s="9" t="n">
        <f aca="false">IF(AND(ISNUMBER(B75),ISNUMBER(B74),B74&lt;&gt;0),B75/B74-1,"")</f>
        <v>-1.65901423997417E-005</v>
      </c>
    </row>
    <row r="76" customFormat="false" ht="15" hidden="false" customHeight="false" outlineLevel="0" collapsed="false">
      <c r="A76" s="7" t="s">
        <v>1157</v>
      </c>
      <c r="B76" s="8" t="n">
        <v>100.679811</v>
      </c>
      <c r="C76" s="9" t="n">
        <f aca="false">IF(AND(ISNUMBER(B76),ISNUMBER(B75),B75&lt;&gt;0),B76/B75-1,"")</f>
        <v>0.000191683897189598</v>
      </c>
    </row>
    <row r="77" customFormat="false" ht="15" hidden="false" customHeight="false" outlineLevel="0" collapsed="false">
      <c r="A77" s="7" t="s">
        <v>1158</v>
      </c>
      <c r="B77" s="8" t="n">
        <v>100.749714</v>
      </c>
      <c r="C77" s="9" t="n">
        <f aca="false">IF(AND(ISNUMBER(B77),ISNUMBER(B76),B76&lt;&gt;0),B77/B76-1,"")</f>
        <v>0.000694310004217158</v>
      </c>
    </row>
    <row r="78" customFormat="false" ht="15" hidden="false" customHeight="false" outlineLevel="0" collapsed="false">
      <c r="A78" s="7" t="s">
        <v>1159</v>
      </c>
      <c r="B78" s="8" t="n">
        <v>100.775196</v>
      </c>
      <c r="C78" s="9" t="n">
        <f aca="false">IF(AND(ISNUMBER(B78),ISNUMBER(B77),B77&lt;&gt;0),B78/B77-1,"")</f>
        <v>0.000252923794900273</v>
      </c>
    </row>
    <row r="79" customFormat="false" ht="15" hidden="false" customHeight="false" outlineLevel="0" collapsed="false">
      <c r="A79" s="7" t="s">
        <v>1160</v>
      </c>
      <c r="B79" s="8" t="n">
        <v>100.635666</v>
      </c>
      <c r="C79" s="9" t="n">
        <f aca="false">IF(AND(ISNUMBER(B79),ISNUMBER(B78),B78&lt;&gt;0),B79/B78-1,"")</f>
        <v>-0.0013845668928294</v>
      </c>
    </row>
    <row r="80" customFormat="false" ht="15" hidden="false" customHeight="false" outlineLevel="0" collapsed="false">
      <c r="A80" s="7" t="s">
        <v>1161</v>
      </c>
      <c r="B80" s="8" t="n">
        <v>100.476535</v>
      </c>
      <c r="C80" s="9" t="n">
        <f aca="false">IF(AND(ISNUMBER(B80),ISNUMBER(B79),B79&lt;&gt;0),B80/B79-1,"")</f>
        <v>-0.00158125847748647</v>
      </c>
    </row>
    <row r="81" customFormat="false" ht="15" hidden="false" customHeight="false" outlineLevel="0" collapsed="false">
      <c r="A81" s="7" t="s">
        <v>1162</v>
      </c>
      <c r="B81" s="8" t="n">
        <v>100.506678</v>
      </c>
      <c r="C81" s="9" t="n">
        <f aca="false">IF(AND(ISNUMBER(B81),ISNUMBER(B80),B80&lt;&gt;0),B81/B80-1,"")</f>
        <v>0.000300000393126609</v>
      </c>
    </row>
    <row r="82" customFormat="false" ht="15" hidden="false" customHeight="false" outlineLevel="0" collapsed="false">
      <c r="A82" s="7" t="s">
        <v>1163</v>
      </c>
      <c r="B82" s="8" t="n">
        <v>100.439777</v>
      </c>
      <c r="C82" s="9" t="n">
        <f aca="false">IF(AND(ISNUMBER(B82),ISNUMBER(B81),B81&lt;&gt;0),B82/B81-1,"")</f>
        <v>-0.000665637361927152</v>
      </c>
    </row>
    <row r="83" customFormat="false" ht="15" hidden="false" customHeight="false" outlineLevel="0" collapsed="false">
      <c r="A83" s="7" t="s">
        <v>1164</v>
      </c>
      <c r="B83" s="8" t="n">
        <v>100.576441</v>
      </c>
      <c r="C83" s="9" t="n">
        <f aca="false">IF(AND(ISNUMBER(B83),ISNUMBER(B82),B82&lt;&gt;0),B83/B82-1,"")</f>
        <v>0.00136065614721548</v>
      </c>
    </row>
    <row r="84" customFormat="false" ht="15" hidden="false" customHeight="false" outlineLevel="0" collapsed="false">
      <c r="A84" s="7" t="s">
        <v>1165</v>
      </c>
      <c r="B84" s="8" t="n">
        <v>100.539873</v>
      </c>
      <c r="C84" s="9" t="n">
        <f aca="false">IF(AND(ISNUMBER(B84),ISNUMBER(B83),B83&lt;&gt;0),B84/B83-1,"")</f>
        <v>-0.000363584151879093</v>
      </c>
    </row>
    <row r="85" customFormat="false" ht="15" hidden="false" customHeight="false" outlineLevel="0" collapsed="false">
      <c r="A85" s="7" t="s">
        <v>1166</v>
      </c>
      <c r="B85" s="8" t="n">
        <v>100.123595</v>
      </c>
      <c r="C85" s="9" t="n">
        <f aca="false">IF(AND(ISNUMBER(B85),ISNUMBER(B84),B84&lt;&gt;0),B85/B84-1,"")</f>
        <v>-0.00414042695279715</v>
      </c>
    </row>
    <row r="86" customFormat="false" ht="15" hidden="false" customHeight="false" outlineLevel="0" collapsed="false">
      <c r="A86" s="7" t="s">
        <v>1167</v>
      </c>
      <c r="B86" s="8" t="n">
        <v>99.817927</v>
      </c>
      <c r="C86" s="9" t="n">
        <f aca="false">IF(AND(ISNUMBER(B86),ISNUMBER(B85),B85&lt;&gt;0),B86/B85-1,"")</f>
        <v>-0.00305290675989012</v>
      </c>
    </row>
    <row r="87" customFormat="false" ht="15" hidden="false" customHeight="false" outlineLevel="0" collapsed="false">
      <c r="A87" s="7" t="s">
        <v>1168</v>
      </c>
      <c r="B87" s="8" t="n">
        <v>99.816102</v>
      </c>
      <c r="C87" s="9" t="n">
        <f aca="false">IF(AND(ISNUMBER(B87),ISNUMBER(B86),B86&lt;&gt;0),B87/B86-1,"")</f>
        <v>-1.82832889326079E-005</v>
      </c>
    </row>
    <row r="88" customFormat="false" ht="15" hidden="false" customHeight="false" outlineLevel="0" collapsed="false">
      <c r="A88" s="7" t="s">
        <v>1169</v>
      </c>
      <c r="B88" s="8" t="n">
        <v>99.90273</v>
      </c>
      <c r="C88" s="9" t="n">
        <f aca="false">IF(AND(ISNUMBER(B88),ISNUMBER(B87),B87&lt;&gt;0),B88/B87-1,"")</f>
        <v>0.000867876006618751</v>
      </c>
    </row>
    <row r="89" customFormat="false" ht="15" hidden="false" customHeight="false" outlineLevel="0" collapsed="false">
      <c r="A89" s="7" t="s">
        <v>1170</v>
      </c>
      <c r="B89" s="8" t="n">
        <v>99.969183</v>
      </c>
      <c r="C89" s="9" t="n">
        <f aca="false">IF(AND(ISNUMBER(B89),ISNUMBER(B88),B88&lt;&gt;0),B89/B88-1,"")</f>
        <v>0.000665177017685092</v>
      </c>
    </row>
    <row r="90" customFormat="false" ht="15" hidden="false" customHeight="false" outlineLevel="0" collapsed="false">
      <c r="A90" s="7" t="s">
        <v>1171</v>
      </c>
      <c r="B90" s="8" t="n">
        <v>100.020071</v>
      </c>
      <c r="C90" s="9" t="n">
        <f aca="false">IF(AND(ISNUMBER(B90),ISNUMBER(B89),B89&lt;&gt;0),B90/B89-1,"")</f>
        <v>0.000509036869892121</v>
      </c>
    </row>
    <row r="91" customFormat="false" ht="15" hidden="false" customHeight="false" outlineLevel="0" collapsed="false">
      <c r="A91" s="7" t="s">
        <v>1172</v>
      </c>
      <c r="B91" s="8" t="n">
        <v>99.942617</v>
      </c>
      <c r="C91" s="9" t="n">
        <f aca="false">IF(AND(ISNUMBER(B91),ISNUMBER(B90),B90&lt;&gt;0),B91/B90-1,"")</f>
        <v>-0.00077438457327228</v>
      </c>
    </row>
    <row r="92" customFormat="false" ht="15" hidden="false" customHeight="false" outlineLevel="0" collapsed="false">
      <c r="A92" s="7" t="s">
        <v>1173</v>
      </c>
      <c r="B92" s="8" t="n">
        <v>99.889386</v>
      </c>
      <c r="C92" s="9" t="n">
        <f aca="false">IF(AND(ISNUMBER(B92),ISNUMBER(B91),B91&lt;&gt;0),B92/B91-1,"")</f>
        <v>-0.000532615630827404</v>
      </c>
    </row>
    <row r="93" customFormat="false" ht="15" hidden="false" customHeight="false" outlineLevel="0" collapsed="false">
      <c r="A93" s="7" t="s">
        <v>1174</v>
      </c>
      <c r="B93" s="8" t="n">
        <v>99.912744</v>
      </c>
      <c r="C93" s="9" t="n">
        <f aca="false">IF(AND(ISNUMBER(B93),ISNUMBER(B92),B92&lt;&gt;0),B93/B92-1,"")</f>
        <v>0.000233838658293406</v>
      </c>
    </row>
    <row r="94" customFormat="false" ht="15" hidden="false" customHeight="false" outlineLevel="0" collapsed="false">
      <c r="A94" s="7" t="s">
        <v>1175</v>
      </c>
      <c r="B94" s="8" t="n">
        <v>99.876409</v>
      </c>
      <c r="C94" s="9" t="n">
        <f aca="false">IF(AND(ISNUMBER(B94),ISNUMBER(B93),B93&lt;&gt;0),B94/B93-1,"")</f>
        <v>-0.000363667321558236</v>
      </c>
    </row>
    <row r="95" customFormat="false" ht="15" hidden="false" customHeight="false" outlineLevel="0" collapsed="false">
      <c r="A95" s="7" t="s">
        <v>1176</v>
      </c>
      <c r="B95" s="8" t="n">
        <v>99.945231</v>
      </c>
      <c r="C95" s="9" t="n">
        <f aca="false">IF(AND(ISNUMBER(B95),ISNUMBER(B94),B94&lt;&gt;0),B95/B94-1,"")</f>
        <v>0.000689071630519011</v>
      </c>
    </row>
    <row r="96" customFormat="false" ht="15" hidden="false" customHeight="false" outlineLevel="0" collapsed="false">
      <c r="A96" s="7" t="s">
        <v>1177</v>
      </c>
      <c r="B96" s="8" t="n">
        <v>99.811863</v>
      </c>
      <c r="C96" s="9" t="n">
        <f aca="false">IF(AND(ISNUMBER(B96),ISNUMBER(B95),B95&lt;&gt;0),B96/B95-1,"")</f>
        <v>-0.00133441084347485</v>
      </c>
    </row>
    <row r="97" customFormat="false" ht="15" hidden="false" customHeight="false" outlineLevel="0" collapsed="false">
      <c r="A97" s="7" t="s">
        <v>1178</v>
      </c>
      <c r="B97" s="8" t="n">
        <v>99.84879</v>
      </c>
      <c r="C97" s="9" t="n">
        <f aca="false">IF(AND(ISNUMBER(B97),ISNUMBER(B96),B96&lt;&gt;0),B97/B96-1,"")</f>
        <v>0.000369966043014314</v>
      </c>
    </row>
    <row r="98" customFormat="false" ht="15" hidden="false" customHeight="false" outlineLevel="0" collapsed="false">
      <c r="A98" s="7" t="s">
        <v>1179</v>
      </c>
      <c r="B98" s="8" t="n">
        <v>99.87879</v>
      </c>
      <c r="C98" s="9" t="n">
        <f aca="false">IF(AND(ISNUMBER(B98),ISNUMBER(B97),B97&lt;&gt;0),B98/B97-1,"")</f>
        <v>0.000300454316972676</v>
      </c>
    </row>
    <row r="99" customFormat="false" ht="15" hidden="false" customHeight="false" outlineLevel="0" collapsed="false">
      <c r="A99" s="7" t="s">
        <v>1180</v>
      </c>
      <c r="B99" s="8" t="n">
        <v>99.932371</v>
      </c>
      <c r="C99" s="9" t="n">
        <f aca="false">IF(AND(ISNUMBER(B99),ISNUMBER(B98),B98&lt;&gt;0),B99/B98-1,"")</f>
        <v>0.000536460243461212</v>
      </c>
    </row>
    <row r="100" customFormat="false" ht="15" hidden="false" customHeight="false" outlineLevel="0" collapsed="false">
      <c r="A100" s="7" t="s">
        <v>1181</v>
      </c>
      <c r="B100" s="8" t="n">
        <v>99.910464</v>
      </c>
      <c r="C100" s="9" t="n">
        <f aca="false">IF(AND(ISNUMBER(B100),ISNUMBER(B99),B99&lt;&gt;0),B100/B99-1,"")</f>
        <v>-0.000219218255113729</v>
      </c>
    </row>
    <row r="101" customFormat="false" ht="15" hidden="false" customHeight="false" outlineLevel="0" collapsed="false">
      <c r="A101" s="7" t="s">
        <v>1182</v>
      </c>
      <c r="B101" s="8" t="n">
        <v>99.978051</v>
      </c>
      <c r="C101" s="9" t="n">
        <f aca="false">IF(AND(ISNUMBER(B101),ISNUMBER(B100),B100&lt;&gt;0),B101/B100-1,"")</f>
        <v>0.000676475689272982</v>
      </c>
    </row>
    <row r="102" customFormat="false" ht="15" hidden="false" customHeight="false" outlineLevel="0" collapsed="false">
      <c r="A102" s="7" t="s">
        <v>1183</v>
      </c>
      <c r="B102" s="8" t="n">
        <v>99.965759</v>
      </c>
      <c r="C102" s="9" t="n">
        <f aca="false">IF(AND(ISNUMBER(B102),ISNUMBER(B101),B101&lt;&gt;0),B102/B101-1,"")</f>
        <v>-0.000122946985633754</v>
      </c>
    </row>
    <row r="103" customFormat="false" ht="15" hidden="false" customHeight="false" outlineLevel="0" collapsed="false">
      <c r="A103" s="7" t="s">
        <v>1184</v>
      </c>
      <c r="B103" s="8" t="n">
        <v>100.000121</v>
      </c>
      <c r="C103" s="9" t="n">
        <f aca="false">IF(AND(ISNUMBER(B103),ISNUMBER(B102),B102&lt;&gt;0),B103/B102-1,"")</f>
        <v>0.000343737699225466</v>
      </c>
    </row>
    <row r="104" customFormat="false" ht="15" hidden="false" customHeight="false" outlineLevel="0" collapsed="false">
      <c r="A104" s="7" t="s">
        <v>1185</v>
      </c>
      <c r="B104" s="8" t="n">
        <v>100.118699</v>
      </c>
      <c r="C104" s="9" t="n">
        <f aca="false">IF(AND(ISNUMBER(B104),ISNUMBER(B103),B103&lt;&gt;0),B104/B103-1,"")</f>
        <v>0.00118577856520807</v>
      </c>
    </row>
    <row r="105" customFormat="false" ht="15" hidden="false" customHeight="false" outlineLevel="0" collapsed="false">
      <c r="A105" s="7" t="s">
        <v>1186</v>
      </c>
      <c r="B105" s="8" t="n">
        <v>100.076678</v>
      </c>
      <c r="C105" s="9" t="n">
        <f aca="false">IF(AND(ISNUMBER(B105),ISNUMBER(B104),B104&lt;&gt;0),B105/B104-1,"")</f>
        <v>-0.000419711806283085</v>
      </c>
    </row>
    <row r="106" customFormat="false" ht="15" hidden="false" customHeight="false" outlineLevel="0" collapsed="false">
      <c r="A106" s="7" t="s">
        <v>1187</v>
      </c>
      <c r="B106" s="8" t="n">
        <v>100.170714</v>
      </c>
      <c r="C106" s="9" t="n">
        <f aca="false">IF(AND(ISNUMBER(B106),ISNUMBER(B105),B105&lt;&gt;0),B106/B105-1,"")</f>
        <v>0.000939639503221734</v>
      </c>
    </row>
    <row r="107" customFormat="false" ht="15" hidden="false" customHeight="false" outlineLevel="0" collapsed="false">
      <c r="A107" s="7" t="s">
        <v>1188</v>
      </c>
      <c r="B107" s="8" t="n">
        <v>100.599554</v>
      </c>
      <c r="C107" s="9" t="n">
        <f aca="false">IF(AND(ISNUMBER(B107),ISNUMBER(B106),B106&lt;&gt;0),B107/B106-1,"")</f>
        <v>0.00428109157732459</v>
      </c>
    </row>
    <row r="108" customFormat="false" ht="15" hidden="false" customHeight="false" outlineLevel="0" collapsed="false">
      <c r="A108" s="7" t="s">
        <v>1189</v>
      </c>
      <c r="B108" s="8" t="n">
        <v>100.652533</v>
      </c>
      <c r="C108" s="9" t="n">
        <f aca="false">IF(AND(ISNUMBER(B108),ISNUMBER(B107),B107&lt;&gt;0),B108/B107-1,"")</f>
        <v>0.000526632553460527</v>
      </c>
    </row>
    <row r="109" customFormat="false" ht="15" hidden="false" customHeight="false" outlineLevel="0" collapsed="false">
      <c r="A109" s="7" t="s">
        <v>1190</v>
      </c>
      <c r="B109" s="8" t="n">
        <v>100.560719</v>
      </c>
      <c r="C109" s="9" t="n">
        <f aca="false">IF(AND(ISNUMBER(B109),ISNUMBER(B108),B108&lt;&gt;0),B109/B108-1,"")</f>
        <v>-0.000912187674402598</v>
      </c>
    </row>
    <row r="110" customFormat="false" ht="15" hidden="false" customHeight="false" outlineLevel="0" collapsed="false">
      <c r="A110" s="7" t="s">
        <v>1191</v>
      </c>
      <c r="B110" s="8" t="n">
        <v>100.61295</v>
      </c>
      <c r="C110" s="9" t="n">
        <f aca="false">IF(AND(ISNUMBER(B110),ISNUMBER(B109),B109&lt;&gt;0),B110/B109-1,"")</f>
        <v>0.00051939763875386</v>
      </c>
    </row>
    <row r="111" customFormat="false" ht="15" hidden="false" customHeight="false" outlineLevel="0" collapsed="false">
      <c r="A111" s="7" t="s">
        <v>1192</v>
      </c>
      <c r="B111" s="8" t="n">
        <v>100.478449</v>
      </c>
      <c r="C111" s="9" t="n">
        <f aca="false">IF(AND(ISNUMBER(B111),ISNUMBER(B110),B110&lt;&gt;0),B111/B110-1,"")</f>
        <v>-0.00133681598641133</v>
      </c>
    </row>
    <row r="112" customFormat="false" ht="15" hidden="false" customHeight="false" outlineLevel="0" collapsed="false">
      <c r="A112" s="7" t="s">
        <v>1193</v>
      </c>
      <c r="B112" s="8" t="n">
        <v>100.635402</v>
      </c>
      <c r="C112" s="9" t="n">
        <f aca="false">IF(AND(ISNUMBER(B112),ISNUMBER(B111),B111&lt;&gt;0),B112/B111-1,"")</f>
        <v>0.0015620563569807</v>
      </c>
    </row>
    <row r="113" customFormat="false" ht="15" hidden="false" customHeight="false" outlineLevel="0" collapsed="false">
      <c r="A113" s="7" t="s">
        <v>1194</v>
      </c>
      <c r="B113" s="8" t="n">
        <v>100.500693</v>
      </c>
      <c r="C113" s="9" t="n">
        <f aca="false">IF(AND(ISNUMBER(B113),ISNUMBER(B112),B112&lt;&gt;0),B113/B112-1,"")</f>
        <v>-0.00133858460663772</v>
      </c>
    </row>
    <row r="114" customFormat="false" ht="15" hidden="false" customHeight="false" outlineLevel="0" collapsed="false">
      <c r="A114" s="7" t="s">
        <v>1195</v>
      </c>
      <c r="B114" s="8" t="n">
        <v>100.390846</v>
      </c>
      <c r="C114" s="9" t="n">
        <f aca="false">IF(AND(ISNUMBER(B114),ISNUMBER(B113),B113&lt;&gt;0),B114/B113-1,"")</f>
        <v>-0.00109299743833613</v>
      </c>
    </row>
    <row r="115" customFormat="false" ht="15" hidden="false" customHeight="false" outlineLevel="0" collapsed="false">
      <c r="A115" s="7" t="s">
        <v>1196</v>
      </c>
      <c r="B115" s="8" t="n">
        <v>100.380272</v>
      </c>
      <c r="C115" s="9" t="n">
        <f aca="false">IF(AND(ISNUMBER(B115),ISNUMBER(B114),B114&lt;&gt;0),B115/B114-1,"")</f>
        <v>-0.000105328328441345</v>
      </c>
    </row>
    <row r="116" customFormat="false" ht="15" hidden="false" customHeight="false" outlineLevel="0" collapsed="false">
      <c r="A116" s="7" t="s">
        <v>1197</v>
      </c>
      <c r="B116" s="8" t="n">
        <v>100.333463</v>
      </c>
      <c r="C116" s="9" t="n">
        <f aca="false">IF(AND(ISNUMBER(B116),ISNUMBER(B115),B115&lt;&gt;0),B116/B115-1,"")</f>
        <v>-0.000466316728051974</v>
      </c>
    </row>
    <row r="117" customFormat="false" ht="15" hidden="false" customHeight="false" outlineLevel="0" collapsed="false">
      <c r="A117" s="7" t="s">
        <v>1198</v>
      </c>
      <c r="B117" s="8" t="n">
        <v>100.294825</v>
      </c>
      <c r="C117" s="9" t="n">
        <f aca="false">IF(AND(ISNUMBER(B117),ISNUMBER(B116),B116&lt;&gt;0),B117/B116-1,"")</f>
        <v>-0.000385095847832861</v>
      </c>
    </row>
    <row r="118" customFormat="false" ht="15" hidden="false" customHeight="false" outlineLevel="0" collapsed="false">
      <c r="A118" s="7" t="s">
        <v>1199</v>
      </c>
      <c r="B118" s="8" t="n">
        <v>100.432883</v>
      </c>
      <c r="C118" s="9" t="n">
        <f aca="false">IF(AND(ISNUMBER(B118),ISNUMBER(B117),B117&lt;&gt;0),B118/B117-1,"")</f>
        <v>0.00137652166998636</v>
      </c>
    </row>
    <row r="119" customFormat="false" ht="15" hidden="false" customHeight="false" outlineLevel="0" collapsed="false">
      <c r="A119" s="7" t="s">
        <v>1200</v>
      </c>
      <c r="B119" s="8" t="n">
        <v>100.369421</v>
      </c>
      <c r="C119" s="9" t="n">
        <f aca="false">IF(AND(ISNUMBER(B119),ISNUMBER(B118),B118&lt;&gt;0),B119/B118-1,"")</f>
        <v>-0.000631884678646499</v>
      </c>
    </row>
    <row r="120" customFormat="false" ht="15" hidden="false" customHeight="false" outlineLevel="0" collapsed="false">
      <c r="A120" s="7" t="s">
        <v>1201</v>
      </c>
      <c r="B120" s="8" t="n">
        <v>100.330732</v>
      </c>
      <c r="C120" s="9" t="n">
        <f aca="false">IF(AND(ISNUMBER(B120),ISNUMBER(B119),B119&lt;&gt;0),B120/B119-1,"")</f>
        <v>-0.000385466007620017</v>
      </c>
    </row>
    <row r="121" customFormat="false" ht="15" hidden="false" customHeight="false" outlineLevel="0" collapsed="false">
      <c r="A121" s="7" t="s">
        <v>1202</v>
      </c>
      <c r="B121" s="8" t="n">
        <v>100.341285</v>
      </c>
      <c r="C121" s="9" t="n">
        <f aca="false">IF(AND(ISNUMBER(B121),ISNUMBER(B120),B120&lt;&gt;0),B121/B120-1,"")</f>
        <v>0.000105182129040982</v>
      </c>
    </row>
    <row r="122" customFormat="false" ht="15" hidden="false" customHeight="false" outlineLevel="0" collapsed="false">
      <c r="A122" s="7" t="s">
        <v>1203</v>
      </c>
      <c r="B122" s="8" t="n">
        <v>100.22629</v>
      </c>
      <c r="C122" s="9" t="n">
        <f aca="false">IF(AND(ISNUMBER(B122),ISNUMBER(B121),B121&lt;&gt;0),B122/B121-1,"")</f>
        <v>-0.0011460387416804</v>
      </c>
    </row>
    <row r="123" customFormat="false" ht="15" hidden="false" customHeight="false" outlineLevel="0" collapsed="false">
      <c r="A123" s="7" t="s">
        <v>1204</v>
      </c>
      <c r="B123" s="8" t="n">
        <v>99.99191</v>
      </c>
      <c r="C123" s="9" t="n">
        <f aca="false">IF(AND(ISNUMBER(B123),ISNUMBER(B122),B122&lt;&gt;0),B123/B122-1,"")</f>
        <v>-0.00233850818981729</v>
      </c>
    </row>
    <row r="124" customFormat="false" ht="15" hidden="false" customHeight="false" outlineLevel="0" collapsed="false">
      <c r="A124" s="7" t="s">
        <v>1205</v>
      </c>
      <c r="B124" s="8" t="n">
        <v>100.007264</v>
      </c>
      <c r="C124" s="9" t="n">
        <f aca="false">IF(AND(ISNUMBER(B124),ISNUMBER(B123),B123&lt;&gt;0),B124/B123-1,"")</f>
        <v>0.000153552422391012</v>
      </c>
    </row>
    <row r="125" customFormat="false" ht="15" hidden="false" customHeight="false" outlineLevel="0" collapsed="false">
      <c r="A125" s="7" t="s">
        <v>1206</v>
      </c>
      <c r="B125" s="8" t="n">
        <v>100.031425</v>
      </c>
      <c r="C125" s="9" t="n">
        <f aca="false">IF(AND(ISNUMBER(B125),ISNUMBER(B124),B124&lt;&gt;0),B125/B124-1,"")</f>
        <v>0.000241592450724193</v>
      </c>
    </row>
    <row r="126" customFormat="false" ht="15" hidden="false" customHeight="false" outlineLevel="0" collapsed="false">
      <c r="A126" s="7" t="s">
        <v>1207</v>
      </c>
      <c r="B126" s="8" t="n">
        <v>100.00919</v>
      </c>
      <c r="C126" s="9" t="n">
        <f aca="false">IF(AND(ISNUMBER(B126),ISNUMBER(B125),B125&lt;&gt;0),B126/B125-1,"")</f>
        <v>-0.000222280148463261</v>
      </c>
    </row>
    <row r="127" customFormat="false" ht="15" hidden="false" customHeight="false" outlineLevel="0" collapsed="false">
      <c r="A127" s="7" t="s">
        <v>1208</v>
      </c>
      <c r="B127" s="8" t="n">
        <v>100.048165</v>
      </c>
      <c r="C127" s="9" t="n">
        <f aca="false">IF(AND(ISNUMBER(B127),ISNUMBER(B126),B126&lt;&gt;0),B127/B126-1,"")</f>
        <v>0.000389714185266232</v>
      </c>
    </row>
    <row r="128" customFormat="false" ht="15" hidden="false" customHeight="false" outlineLevel="0" collapsed="false">
      <c r="A128" s="7" t="s">
        <v>1209</v>
      </c>
      <c r="B128" s="8" t="n">
        <v>100.184282</v>
      </c>
      <c r="C128" s="9" t="n">
        <f aca="false">IF(AND(ISNUMBER(B128),ISNUMBER(B127),B127&lt;&gt;0),B128/B127-1,"")</f>
        <v>0.00136051470809084</v>
      </c>
    </row>
    <row r="129" customFormat="false" ht="15" hidden="false" customHeight="false" outlineLevel="0" collapsed="false">
      <c r="A129" s="7" t="s">
        <v>1210</v>
      </c>
      <c r="B129" s="8" t="n">
        <v>100.250003</v>
      </c>
      <c r="C129" s="9" t="n">
        <f aca="false">IF(AND(ISNUMBER(B129),ISNUMBER(B128),B128&lt;&gt;0),B129/B128-1,"")</f>
        <v>0.000656001108038096</v>
      </c>
    </row>
    <row r="130" customFormat="false" ht="15" hidden="false" customHeight="false" outlineLevel="0" collapsed="false">
      <c r="A130" s="7" t="s">
        <v>1211</v>
      </c>
      <c r="B130" s="8" t="n">
        <v>100.332247</v>
      </c>
      <c r="C130" s="9" t="n">
        <f aca="false">IF(AND(ISNUMBER(B130),ISNUMBER(B129),B129&lt;&gt;0),B130/B129-1,"")</f>
        <v>0.000820389002881061</v>
      </c>
    </row>
    <row r="131" customFormat="false" ht="15" hidden="false" customHeight="false" outlineLevel="0" collapsed="false">
      <c r="A131" s="7" t="s">
        <v>1212</v>
      </c>
      <c r="B131" s="8" t="n">
        <v>100.356815</v>
      </c>
      <c r="C131" s="9" t="n">
        <f aca="false">IF(AND(ISNUMBER(B131),ISNUMBER(B130),B130&lt;&gt;0),B131/B130-1,"")</f>
        <v>0.000244866438603664</v>
      </c>
    </row>
    <row r="132" customFormat="false" ht="15" hidden="false" customHeight="false" outlineLevel="0" collapsed="false">
      <c r="A132" s="7" t="s">
        <v>1213</v>
      </c>
      <c r="B132" s="8" t="n">
        <v>100.323659</v>
      </c>
      <c r="C132" s="9" t="n">
        <f aca="false">IF(AND(ISNUMBER(B132),ISNUMBER(B131),B131&lt;&gt;0),B132/B131-1,"")</f>
        <v>-0.000330381150497772</v>
      </c>
    </row>
    <row r="133" customFormat="false" ht="15" hidden="false" customHeight="false" outlineLevel="0" collapsed="false">
      <c r="A133" s="7" t="s">
        <v>1214</v>
      </c>
      <c r="B133" s="8" t="n">
        <v>100.302782</v>
      </c>
      <c r="C133" s="9" t="n">
        <f aca="false">IF(AND(ISNUMBER(B133),ISNUMBER(B132),B132&lt;&gt;0),B133/B132-1,"")</f>
        <v>-0.000208096477023578</v>
      </c>
    </row>
    <row r="134" customFormat="false" ht="15" hidden="false" customHeight="false" outlineLevel="0" collapsed="false">
      <c r="A134" s="7" t="s">
        <v>1215</v>
      </c>
      <c r="B134" s="8" t="n">
        <v>100.219754</v>
      </c>
      <c r="C134" s="9" t="n">
        <f aca="false">IF(AND(ISNUMBER(B134),ISNUMBER(B133),B133&lt;&gt;0),B134/B133-1,"")</f>
        <v>-0.000827773650385888</v>
      </c>
    </row>
    <row r="135" customFormat="false" ht="15" hidden="false" customHeight="false" outlineLevel="0" collapsed="false">
      <c r="A135" s="7" t="s">
        <v>1216</v>
      </c>
      <c r="B135" s="8" t="n">
        <v>100.268549</v>
      </c>
      <c r="C135" s="9" t="n">
        <f aca="false">IF(AND(ISNUMBER(B135),ISNUMBER(B134),B134&lt;&gt;0),B135/B134-1,"")</f>
        <v>0.000486880061589368</v>
      </c>
    </row>
    <row r="136" customFormat="false" ht="15" hidden="false" customHeight="false" outlineLevel="0" collapsed="false">
      <c r="A136" s="7" t="s">
        <v>1217</v>
      </c>
      <c r="B136" s="8" t="n">
        <v>100.326134</v>
      </c>
      <c r="C136" s="9" t="n">
        <f aca="false">IF(AND(ISNUMBER(B136),ISNUMBER(B135),B135&lt;&gt;0),B136/B135-1,"")</f>
        <v>0.000574307702408294</v>
      </c>
    </row>
    <row r="137" customFormat="false" ht="15" hidden="false" customHeight="false" outlineLevel="0" collapsed="false">
      <c r="A137" s="7" t="s">
        <v>1218</v>
      </c>
      <c r="B137" s="8" t="n">
        <v>100.373565</v>
      </c>
      <c r="C137" s="9" t="n">
        <f aca="false">IF(AND(ISNUMBER(B137),ISNUMBER(B136),B136&lt;&gt;0),B137/B136-1,"")</f>
        <v>0.000472768142346647</v>
      </c>
    </row>
    <row r="138" customFormat="false" ht="15" hidden="false" customHeight="false" outlineLevel="0" collapsed="false">
      <c r="A138" s="7" t="s">
        <v>1219</v>
      </c>
      <c r="B138" s="8" t="n">
        <v>100.37215</v>
      </c>
      <c r="C138" s="9" t="n">
        <f aca="false">IF(AND(ISNUMBER(B138),ISNUMBER(B137),B137&lt;&gt;0),B138/B137-1,"")</f>
        <v>-1.40973372819708E-005</v>
      </c>
    </row>
    <row r="139" customFormat="false" ht="15" hidden="false" customHeight="false" outlineLevel="0" collapsed="false">
      <c r="A139" s="7" t="s">
        <v>1220</v>
      </c>
      <c r="B139" s="8" t="n">
        <v>100.382789</v>
      </c>
      <c r="C139" s="9" t="n">
        <f aca="false">IF(AND(ISNUMBER(B139),ISNUMBER(B138),B138&lt;&gt;0),B139/B138-1,"")</f>
        <v>0.000105995537606818</v>
      </c>
    </row>
    <row r="140" customFormat="false" ht="15" hidden="false" customHeight="false" outlineLevel="0" collapsed="false">
      <c r="A140" s="7" t="s">
        <v>1221</v>
      </c>
      <c r="B140" s="8" t="n">
        <v>100.473333</v>
      </c>
      <c r="C140" s="9" t="n">
        <f aca="false">IF(AND(ISNUMBER(B140),ISNUMBER(B139),B139&lt;&gt;0),B140/B139-1,"")</f>
        <v>0.000901987291865192</v>
      </c>
    </row>
    <row r="141" customFormat="false" ht="15" hidden="false" customHeight="false" outlineLevel="0" collapsed="false">
      <c r="A141" s="7" t="s">
        <v>1222</v>
      </c>
      <c r="B141" s="8" t="n">
        <v>100.477281</v>
      </c>
      <c r="C141" s="9" t="n">
        <f aca="false">IF(AND(ISNUMBER(B141),ISNUMBER(B140),B140&lt;&gt;0),B141/B140-1,"")</f>
        <v>3.92940084907867E-005</v>
      </c>
    </row>
    <row r="142" customFormat="false" ht="15" hidden="false" customHeight="false" outlineLevel="0" collapsed="false">
      <c r="A142" s="7" t="s">
        <v>1223</v>
      </c>
      <c r="B142" s="8" t="n">
        <v>100.515128</v>
      </c>
      <c r="C142" s="9" t="n">
        <f aca="false">IF(AND(ISNUMBER(B142),ISNUMBER(B141),B141&lt;&gt;0),B142/B141-1,"")</f>
        <v>0.000376672215085083</v>
      </c>
    </row>
    <row r="143" customFormat="false" ht="15" hidden="false" customHeight="false" outlineLevel="0" collapsed="false">
      <c r="A143" s="7" t="s">
        <v>1224</v>
      </c>
      <c r="B143" s="8" t="n">
        <v>100.64812</v>
      </c>
      <c r="C143" s="9" t="n">
        <f aca="false">IF(AND(ISNUMBER(B143),ISNUMBER(B142),B142&lt;&gt;0),B143/B142-1,"")</f>
        <v>0.00132310431918259</v>
      </c>
    </row>
    <row r="144" customFormat="false" ht="15" hidden="false" customHeight="false" outlineLevel="0" collapsed="false">
      <c r="A144" s="7" t="s">
        <v>1225</v>
      </c>
      <c r="B144" s="8" t="n">
        <v>100.583279</v>
      </c>
      <c r="C144" s="9" t="n">
        <f aca="false">IF(AND(ISNUMBER(B144),ISNUMBER(B143),B143&lt;&gt;0),B144/B143-1,"")</f>
        <v>-0.000644234586796078</v>
      </c>
    </row>
    <row r="145" customFormat="false" ht="15" hidden="false" customHeight="false" outlineLevel="0" collapsed="false">
      <c r="A145" s="7" t="s">
        <v>1226</v>
      </c>
      <c r="B145" s="8" t="n">
        <v>100.573507</v>
      </c>
      <c r="C145" s="9" t="n">
        <f aca="false">IF(AND(ISNUMBER(B145),ISNUMBER(B144),B144&lt;&gt;0),B145/B144-1,"")</f>
        <v>-9.71533250571088E-005</v>
      </c>
    </row>
    <row r="146" customFormat="false" ht="15" hidden="false" customHeight="false" outlineLevel="0" collapsed="false">
      <c r="A146" s="7" t="s">
        <v>1227</v>
      </c>
      <c r="B146" s="8" t="n">
        <v>100.668271</v>
      </c>
      <c r="C146" s="9" t="n">
        <f aca="false">IF(AND(ISNUMBER(B146),ISNUMBER(B145),B145&lt;&gt;0),B146/B145-1,"")</f>
        <v>0.000942236209382719</v>
      </c>
    </row>
    <row r="147" customFormat="false" ht="15" hidden="false" customHeight="false" outlineLevel="0" collapsed="false">
      <c r="A147" s="7" t="s">
        <v>1228</v>
      </c>
      <c r="B147" s="8" t="n">
        <v>100.62299</v>
      </c>
      <c r="C147" s="9" t="n">
        <f aca="false">IF(AND(ISNUMBER(B147),ISNUMBER(B146),B146&lt;&gt;0),B147/B146-1,"")</f>
        <v>-0.000449804089711625</v>
      </c>
    </row>
    <row r="148" customFormat="false" ht="15" hidden="false" customHeight="false" outlineLevel="0" collapsed="false">
      <c r="A148" s="7" t="s">
        <v>1229</v>
      </c>
      <c r="B148" s="8" t="n">
        <v>100.636298</v>
      </c>
      <c r="C148" s="9" t="n">
        <f aca="false">IF(AND(ISNUMBER(B148),ISNUMBER(B147),B147&lt;&gt;0),B148/B147-1,"")</f>
        <v>0.000132256057984392</v>
      </c>
    </row>
    <row r="149" customFormat="false" ht="15" hidden="false" customHeight="false" outlineLevel="0" collapsed="false">
      <c r="A149" s="7" t="s">
        <v>1230</v>
      </c>
      <c r="B149" s="8" t="n">
        <v>100.679543</v>
      </c>
      <c r="C149" s="9" t="n">
        <f aca="false">IF(AND(ISNUMBER(B149),ISNUMBER(B148),B148&lt;&gt;0),B149/B148-1,"")</f>
        <v>0.000429715727420676</v>
      </c>
    </row>
    <row r="150" customFormat="false" ht="15" hidden="false" customHeight="false" outlineLevel="0" collapsed="false">
      <c r="A150" s="7" t="s">
        <v>1231</v>
      </c>
      <c r="B150" s="8" t="n">
        <v>100.613947</v>
      </c>
      <c r="C150" s="9" t="n">
        <f aca="false">IF(AND(ISNUMBER(B150),ISNUMBER(B149),B149&lt;&gt;0),B150/B149-1,"")</f>
        <v>-0.000651532556122159</v>
      </c>
    </row>
    <row r="151" customFormat="false" ht="15" hidden="false" customHeight="false" outlineLevel="0" collapsed="false">
      <c r="A151" s="7" t="s">
        <v>1232</v>
      </c>
      <c r="B151" s="8" t="n">
        <v>100.587349</v>
      </c>
      <c r="C151" s="9" t="n">
        <f aca="false">IF(AND(ISNUMBER(B151),ISNUMBER(B150),B150&lt;&gt;0),B151/B150-1,"")</f>
        <v>-0.000264356988201597</v>
      </c>
    </row>
    <row r="152" customFormat="false" ht="15" hidden="false" customHeight="false" outlineLevel="0" collapsed="false">
      <c r="A152" s="7" t="s">
        <v>1233</v>
      </c>
      <c r="B152" s="8" t="n">
        <v>100.652954</v>
      </c>
      <c r="C152" s="9" t="n">
        <f aca="false">IF(AND(ISNUMBER(B152),ISNUMBER(B151),B151&lt;&gt;0),B152/B151-1,"")</f>
        <v>0.000652219197068149</v>
      </c>
    </row>
    <row r="153" customFormat="false" ht="15" hidden="false" customHeight="false" outlineLevel="0" collapsed="false">
      <c r="A153" s="7" t="s">
        <v>1234</v>
      </c>
      <c r="B153" s="8" t="n">
        <v>100.640864</v>
      </c>
      <c r="C153" s="9" t="n">
        <f aca="false">IF(AND(ISNUMBER(B153),ISNUMBER(B152),B152&lt;&gt;0),B153/B152-1,"")</f>
        <v>-0.000120115699733914</v>
      </c>
    </row>
    <row r="154" customFormat="false" ht="15" hidden="false" customHeight="false" outlineLevel="0" collapsed="false">
      <c r="A154" s="7" t="s">
        <v>1235</v>
      </c>
      <c r="B154" s="8" t="n">
        <v>100.661239</v>
      </c>
      <c r="C154" s="9" t="n">
        <f aca="false">IF(AND(ISNUMBER(B154),ISNUMBER(B153),B153&lt;&gt;0),B154/B153-1,"")</f>
        <v>0.000202452554461496</v>
      </c>
    </row>
    <row r="155" customFormat="false" ht="15" hidden="false" customHeight="false" outlineLevel="0" collapsed="false">
      <c r="A155" s="7" t="s">
        <v>1236</v>
      </c>
      <c r="B155" s="8" t="n">
        <v>100.709106</v>
      </c>
      <c r="C155" s="9" t="n">
        <f aca="false">IF(AND(ISNUMBER(B155),ISNUMBER(B154),B154&lt;&gt;0),B155/B154-1,"")</f>
        <v>0.000475525639019869</v>
      </c>
    </row>
    <row r="156" customFormat="false" ht="15" hidden="false" customHeight="false" outlineLevel="0" collapsed="false">
      <c r="A156" s="7" t="s">
        <v>1237</v>
      </c>
      <c r="B156" s="8" t="n">
        <v>100.678294</v>
      </c>
      <c r="C156" s="9" t="n">
        <f aca="false">IF(AND(ISNUMBER(B156),ISNUMBER(B155),B155&lt;&gt;0),B156/B155-1,"")</f>
        <v>-0.000305950486741646</v>
      </c>
    </row>
    <row r="157" customFormat="false" ht="15" hidden="false" customHeight="false" outlineLevel="0" collapsed="false">
      <c r="A157" s="7" t="s">
        <v>1238</v>
      </c>
      <c r="B157" s="8" t="n">
        <v>100.577525</v>
      </c>
      <c r="C157" s="9" t="n">
        <f aca="false">IF(AND(ISNUMBER(B157),ISNUMBER(B156),B156&lt;&gt;0),B157/B156-1,"")</f>
        <v>-0.00100090094891758</v>
      </c>
    </row>
    <row r="158" customFormat="false" ht="15" hidden="false" customHeight="false" outlineLevel="0" collapsed="false">
      <c r="A158" s="7" t="s">
        <v>1239</v>
      </c>
      <c r="B158" s="8" t="n">
        <v>100.558243</v>
      </c>
      <c r="C158" s="9" t="n">
        <f aca="false">IF(AND(ISNUMBER(B158),ISNUMBER(B157),B157&lt;&gt;0),B158/B157-1,"")</f>
        <v>-0.000191712810590494</v>
      </c>
    </row>
    <row r="159" customFormat="false" ht="15" hidden="false" customHeight="false" outlineLevel="0" collapsed="false">
      <c r="A159" s="7" t="s">
        <v>1240</v>
      </c>
      <c r="B159" s="8" t="n">
        <v>100.615444</v>
      </c>
      <c r="C159" s="9" t="n">
        <f aca="false">IF(AND(ISNUMBER(B159),ISNUMBER(B158),B158&lt;&gt;0),B159/B158-1,"")</f>
        <v>0.000568834521104344</v>
      </c>
    </row>
    <row r="160" customFormat="false" ht="15" hidden="false" customHeight="false" outlineLevel="0" collapsed="false">
      <c r="A160" s="7" t="s">
        <v>1241</v>
      </c>
      <c r="B160" s="8" t="n">
        <v>100.606775</v>
      </c>
      <c r="C160" s="9" t="n">
        <f aca="false">IF(AND(ISNUMBER(B160),ISNUMBER(B159),B159&lt;&gt;0),B160/B159-1,"")</f>
        <v>-8.61597350799714E-005</v>
      </c>
    </row>
    <row r="161" customFormat="false" ht="15" hidden="false" customHeight="false" outlineLevel="0" collapsed="false">
      <c r="A161" s="7" t="s">
        <v>1242</v>
      </c>
      <c r="B161" s="8" t="n">
        <v>100.727256</v>
      </c>
      <c r="C161" s="9" t="n">
        <f aca="false">IF(AND(ISNUMBER(B161),ISNUMBER(B160),B160&lt;&gt;0),B161/B160-1,"")</f>
        <v>0.00119754360479196</v>
      </c>
    </row>
    <row r="162" customFormat="false" ht="15" hidden="false" customHeight="false" outlineLevel="0" collapsed="false">
      <c r="A162" s="7" t="s">
        <v>1243</v>
      </c>
      <c r="B162" s="8" t="n">
        <v>100.709339</v>
      </c>
      <c r="C162" s="9" t="n">
        <f aca="false">IF(AND(ISNUMBER(B162),ISNUMBER(B161),B161&lt;&gt;0),B162/B161-1,"")</f>
        <v>-0.000177876383329667</v>
      </c>
    </row>
    <row r="163" customFormat="false" ht="15" hidden="false" customHeight="false" outlineLevel="0" collapsed="false">
      <c r="A163" s="7" t="s">
        <v>1244</v>
      </c>
      <c r="B163" s="8" t="n">
        <v>100.693873</v>
      </c>
      <c r="C163" s="9" t="n">
        <f aca="false">IF(AND(ISNUMBER(B163),ISNUMBER(B162),B162&lt;&gt;0),B163/B162-1,"")</f>
        <v>-0.000153570663392055</v>
      </c>
    </row>
    <row r="164" customFormat="false" ht="15" hidden="false" customHeight="false" outlineLevel="0" collapsed="false">
      <c r="A164" s="7" t="s">
        <v>1245</v>
      </c>
      <c r="B164" s="8" t="n">
        <v>100.845015</v>
      </c>
      <c r="C164" s="9" t="n">
        <f aca="false">IF(AND(ISNUMBER(B164),ISNUMBER(B163),B163&lt;&gt;0),B164/B163-1,"")</f>
        <v>0.00150100493204786</v>
      </c>
    </row>
    <row r="165" customFormat="false" ht="15" hidden="false" customHeight="false" outlineLevel="0" collapsed="false">
      <c r="A165" s="7" t="s">
        <v>1246</v>
      </c>
      <c r="B165" s="8" t="n">
        <v>100.861609</v>
      </c>
      <c r="C165" s="9" t="n">
        <f aca="false">IF(AND(ISNUMBER(B165),ISNUMBER(B164),B164&lt;&gt;0),B165/B164-1,"")</f>
        <v>0.000164549531774139</v>
      </c>
    </row>
    <row r="166" customFormat="false" ht="15" hidden="false" customHeight="false" outlineLevel="0" collapsed="false">
      <c r="A166" s="7" t="s">
        <v>1247</v>
      </c>
      <c r="B166" s="8" t="n">
        <v>100.813596</v>
      </c>
      <c r="C166" s="9" t="n">
        <f aca="false">IF(AND(ISNUMBER(B166),ISNUMBER(B165),B165&lt;&gt;0),B166/B165-1,"")</f>
        <v>-0.000476028495638992</v>
      </c>
    </row>
    <row r="167" customFormat="false" ht="15" hidden="false" customHeight="false" outlineLevel="0" collapsed="false">
      <c r="A167" s="7" t="s">
        <v>1248</v>
      </c>
      <c r="B167" s="8" t="n">
        <v>100.819492</v>
      </c>
      <c r="C167" s="9" t="n">
        <f aca="false">IF(AND(ISNUMBER(B167),ISNUMBER(B166),B166&lt;&gt;0),B167/B166-1,"")</f>
        <v>5.84841750908005E-005</v>
      </c>
    </row>
    <row r="168" customFormat="false" ht="15" hidden="false" customHeight="false" outlineLevel="0" collapsed="false">
      <c r="A168" s="7" t="s">
        <v>1249</v>
      </c>
      <c r="B168" s="8" t="n">
        <v>100.50002</v>
      </c>
      <c r="C168" s="9" t="n">
        <f aca="false">IF(AND(ISNUMBER(B168),ISNUMBER(B167),B167&lt;&gt;0),B168/B167-1,"")</f>
        <v>-0.00316875232817071</v>
      </c>
    </row>
    <row r="169" customFormat="false" ht="15" hidden="false" customHeight="false" outlineLevel="0" collapsed="false">
      <c r="A169" s="7" t="s">
        <v>1250</v>
      </c>
      <c r="B169" s="8" t="n">
        <v>100.577424</v>
      </c>
      <c r="C169" s="9" t="n">
        <f aca="false">IF(AND(ISNUMBER(B169),ISNUMBER(B168),B168&lt;&gt;0),B169/B168-1,"")</f>
        <v>0.00077018890145486</v>
      </c>
    </row>
    <row r="170" customFormat="false" ht="15" hidden="false" customHeight="false" outlineLevel="0" collapsed="false">
      <c r="A170" s="7" t="s">
        <v>1251</v>
      </c>
      <c r="B170" s="8" t="n">
        <v>100.563321</v>
      </c>
      <c r="C170" s="9" t="n">
        <f aca="false">IF(AND(ISNUMBER(B170),ISNUMBER(B169),B169&lt;&gt;0),B170/B169-1,"")</f>
        <v>-0.000140220334137742</v>
      </c>
    </row>
    <row r="171" customFormat="false" ht="15" hidden="false" customHeight="false" outlineLevel="0" collapsed="false">
      <c r="A171" s="7" t="s">
        <v>1252</v>
      </c>
      <c r="B171" s="8" t="n">
        <v>100.44244</v>
      </c>
      <c r="C171" s="9" t="n">
        <f aca="false">IF(AND(ISNUMBER(B171),ISNUMBER(B170),B170&lt;&gt;0),B171/B170-1,"")</f>
        <v>-0.00120203866377877</v>
      </c>
    </row>
    <row r="172" customFormat="false" ht="15" hidden="false" customHeight="false" outlineLevel="0" collapsed="false">
      <c r="A172" s="7" t="s">
        <v>1253</v>
      </c>
      <c r="B172" s="8" t="n">
        <v>100.466618</v>
      </c>
      <c r="C172" s="9" t="n">
        <f aca="false">IF(AND(ISNUMBER(B172),ISNUMBER(B171),B171&lt;&gt;0),B172/B171-1,"")</f>
        <v>0.0002407149806396</v>
      </c>
    </row>
    <row r="173" customFormat="false" ht="15" hidden="false" customHeight="false" outlineLevel="0" collapsed="false">
      <c r="A173" s="7" t="s">
        <v>1254</v>
      </c>
      <c r="B173" s="8" t="n">
        <v>100.482951</v>
      </c>
      <c r="C173" s="9" t="n">
        <f aca="false">IF(AND(ISNUMBER(B173),ISNUMBER(B172),B172&lt;&gt;0),B173/B172-1,"")</f>
        <v>0.000162571412526402</v>
      </c>
    </row>
    <row r="174" customFormat="false" ht="15" hidden="false" customHeight="false" outlineLevel="0" collapsed="false">
      <c r="A174" s="7" t="s">
        <v>1255</v>
      </c>
      <c r="B174" s="8" t="n">
        <v>100.620161</v>
      </c>
      <c r="C174" s="9" t="n">
        <f aca="false">IF(AND(ISNUMBER(B174),ISNUMBER(B173),B173&lt;&gt;0),B174/B173-1,"")</f>
        <v>0.00136550527860191</v>
      </c>
    </row>
    <row r="175" customFormat="false" ht="15" hidden="false" customHeight="false" outlineLevel="0" collapsed="false">
      <c r="A175" s="7" t="s">
        <v>1256</v>
      </c>
      <c r="B175" s="8" t="n">
        <v>100.636952</v>
      </c>
      <c r="C175" s="9" t="n">
        <f aca="false">IF(AND(ISNUMBER(B175),ISNUMBER(B174),B174&lt;&gt;0),B175/B174-1,"")</f>
        <v>0.000166875105675812</v>
      </c>
    </row>
    <row r="176" customFormat="false" ht="15" hidden="false" customHeight="false" outlineLevel="0" collapsed="false">
      <c r="A176" s="7" t="s">
        <v>1257</v>
      </c>
      <c r="B176" s="8" t="n">
        <v>100.559103</v>
      </c>
      <c r="C176" s="9" t="n">
        <f aca="false">IF(AND(ISNUMBER(B176),ISNUMBER(B175),B175&lt;&gt;0),B176/B175-1,"")</f>
        <v>-0.000773562776424264</v>
      </c>
    </row>
    <row r="177" customFormat="false" ht="15" hidden="false" customHeight="false" outlineLevel="0" collapsed="false">
      <c r="A177" s="7" t="s">
        <v>1258</v>
      </c>
      <c r="B177" s="8" t="n">
        <v>100.493602</v>
      </c>
      <c r="C177" s="9" t="n">
        <f aca="false">IF(AND(ISNUMBER(B177),ISNUMBER(B176),B176&lt;&gt;0),B177/B176-1,"")</f>
        <v>-0.000651368180959233</v>
      </c>
    </row>
    <row r="178" customFormat="false" ht="15" hidden="false" customHeight="false" outlineLevel="0" collapsed="false">
      <c r="A178" s="7" t="s">
        <v>1259</v>
      </c>
      <c r="B178" s="8" t="n">
        <v>100.589713</v>
      </c>
      <c r="C178" s="9" t="n">
        <f aca="false">IF(AND(ISNUMBER(B178),ISNUMBER(B177),B177&lt;&gt;0),B178/B177-1,"")</f>
        <v>0.000956389243566003</v>
      </c>
    </row>
    <row r="179" customFormat="false" ht="15" hidden="false" customHeight="false" outlineLevel="0" collapsed="false">
      <c r="A179" s="7" t="s">
        <v>1260</v>
      </c>
      <c r="B179" s="8" t="n">
        <v>100.564154</v>
      </c>
      <c r="C179" s="9" t="n">
        <f aca="false">IF(AND(ISNUMBER(B179),ISNUMBER(B178),B178&lt;&gt;0),B179/B178-1,"")</f>
        <v>-0.000254091588868577</v>
      </c>
    </row>
    <row r="180" customFormat="false" ht="15" hidden="false" customHeight="false" outlineLevel="0" collapsed="false">
      <c r="A180" s="7" t="s">
        <v>1261</v>
      </c>
      <c r="B180" s="8" t="n">
        <v>100.552467</v>
      </c>
      <c r="C180" s="9" t="n">
        <f aca="false">IF(AND(ISNUMBER(B180),ISNUMBER(B179),B179&lt;&gt;0),B180/B179-1,"")</f>
        <v>-0.000116214371972068</v>
      </c>
    </row>
    <row r="181" customFormat="false" ht="15" hidden="false" customHeight="false" outlineLevel="0" collapsed="false">
      <c r="A181" s="7" t="s">
        <v>1262</v>
      </c>
      <c r="B181" s="8" t="n">
        <v>100.551031</v>
      </c>
      <c r="C181" s="9" t="n">
        <f aca="false">IF(AND(ISNUMBER(B181),ISNUMBER(B180),B180&lt;&gt;0),B181/B180-1,"")</f>
        <v>-1.42811016262678E-005</v>
      </c>
    </row>
    <row r="182" customFormat="false" ht="15" hidden="false" customHeight="false" outlineLevel="0" collapsed="false">
      <c r="A182" s="7" t="s">
        <v>1263</v>
      </c>
      <c r="B182" s="8" t="n">
        <v>100.554706</v>
      </c>
      <c r="C182" s="9" t="n">
        <f aca="false">IF(AND(ISNUMBER(B182),ISNUMBER(B181),B181&lt;&gt;0),B182/B181-1,"")</f>
        <v>3.65486058517828E-005</v>
      </c>
    </row>
    <row r="183" customFormat="false" ht="15" hidden="false" customHeight="false" outlineLevel="0" collapsed="false">
      <c r="A183" s="7" t="s">
        <v>1264</v>
      </c>
      <c r="B183" s="8" t="n">
        <v>100.144853</v>
      </c>
      <c r="C183" s="9" t="n">
        <f aca="false">IF(AND(ISNUMBER(B183),ISNUMBER(B182),B182&lt;&gt;0),B183/B182-1,"")</f>
        <v>-0.00407592062374484</v>
      </c>
    </row>
    <row r="184" customFormat="false" ht="15" hidden="false" customHeight="false" outlineLevel="0" collapsed="false">
      <c r="A184" s="7" t="s">
        <v>1265</v>
      </c>
      <c r="B184" s="8" t="n">
        <v>100.115604</v>
      </c>
      <c r="C184" s="9" t="n">
        <f aca="false">IF(AND(ISNUMBER(B184),ISNUMBER(B183),B183&lt;&gt;0),B184/B183-1,"")</f>
        <v>-0.00029206693228645</v>
      </c>
    </row>
    <row r="185" customFormat="false" ht="15" hidden="false" customHeight="false" outlineLevel="0" collapsed="false">
      <c r="A185" s="7" t="s">
        <v>1266</v>
      </c>
      <c r="B185" s="8" t="n">
        <v>99.838135</v>
      </c>
      <c r="C185" s="9" t="n">
        <f aca="false">IF(AND(ISNUMBER(B185),ISNUMBER(B184),B184&lt;&gt;0),B185/B184-1,"")</f>
        <v>-0.00277148605126543</v>
      </c>
    </row>
    <row r="186" customFormat="false" ht="15" hidden="false" customHeight="false" outlineLevel="0" collapsed="false">
      <c r="A186" s="7" t="s">
        <v>1267</v>
      </c>
      <c r="B186" s="8" t="n">
        <v>99.820737</v>
      </c>
      <c r="C186" s="9" t="n">
        <f aca="false">IF(AND(ISNUMBER(B186),ISNUMBER(B185),B185&lt;&gt;0),B186/B185-1,"")</f>
        <v>-0.000174262069298492</v>
      </c>
    </row>
    <row r="187" customFormat="false" ht="15" hidden="false" customHeight="false" outlineLevel="0" collapsed="false">
      <c r="A187" s="7" t="s">
        <v>1268</v>
      </c>
      <c r="B187" s="8" t="n">
        <v>99.866435</v>
      </c>
      <c r="C187" s="9" t="n">
        <f aca="false">IF(AND(ISNUMBER(B187),ISNUMBER(B186),B186&lt;&gt;0),B187/B186-1,"")</f>
        <v>0.000457800667210018</v>
      </c>
    </row>
    <row r="188" customFormat="false" ht="15" hidden="false" customHeight="false" outlineLevel="0" collapsed="false">
      <c r="A188" s="7" t="s">
        <v>1269</v>
      </c>
      <c r="B188" s="8" t="n">
        <v>99.754778</v>
      </c>
      <c r="C188" s="9" t="n">
        <f aca="false">IF(AND(ISNUMBER(B188),ISNUMBER(B187),B187&lt;&gt;0),B188/B187-1,"")</f>
        <v>-0.00111806334130171</v>
      </c>
    </row>
    <row r="189" customFormat="false" ht="15" hidden="false" customHeight="false" outlineLevel="0" collapsed="false">
      <c r="A189" s="7" t="s">
        <v>1270</v>
      </c>
      <c r="B189" s="8" t="n">
        <v>99.768897</v>
      </c>
      <c r="C189" s="9" t="n">
        <f aca="false">IF(AND(ISNUMBER(B189),ISNUMBER(B188),B188&lt;&gt;0),B189/B188-1,"")</f>
        <v>0.000141537080058374</v>
      </c>
    </row>
    <row r="190" customFormat="false" ht="15" hidden="false" customHeight="false" outlineLevel="0" collapsed="false">
      <c r="A190" s="7" t="s">
        <v>1271</v>
      </c>
      <c r="B190" s="8" t="n">
        <v>99.999767</v>
      </c>
      <c r="C190" s="9" t="n">
        <f aca="false">IF(AND(ISNUMBER(B190),ISNUMBER(B189),B189&lt;&gt;0),B190/B189-1,"")</f>
        <v>0.00231404783396583</v>
      </c>
    </row>
    <row r="191" customFormat="false" ht="15" hidden="false" customHeight="false" outlineLevel="0" collapsed="false">
      <c r="A191" s="7" t="s">
        <v>1272</v>
      </c>
      <c r="B191" s="8" t="n">
        <v>99.809058</v>
      </c>
      <c r="C191" s="9" t="n">
        <f aca="false">IF(AND(ISNUMBER(B191),ISNUMBER(B190),B190&lt;&gt;0),B191/B190-1,"")</f>
        <v>-0.00190709444353021</v>
      </c>
    </row>
    <row r="192" customFormat="false" ht="15" hidden="false" customHeight="false" outlineLevel="0" collapsed="false">
      <c r="A192" s="7" t="s">
        <v>1273</v>
      </c>
      <c r="B192" s="8" t="n">
        <v>99.79652</v>
      </c>
      <c r="C192" s="9" t="n">
        <f aca="false">IF(AND(ISNUMBER(B192),ISNUMBER(B191),B191&lt;&gt;0),B192/B191-1,"")</f>
        <v>-0.000125619861075066</v>
      </c>
    </row>
    <row r="193" customFormat="false" ht="15" hidden="false" customHeight="false" outlineLevel="0" collapsed="false">
      <c r="A193" s="7" t="s">
        <v>1274</v>
      </c>
      <c r="B193" s="8" t="n">
        <v>99.792312</v>
      </c>
      <c r="C193" s="9" t="n">
        <f aca="false">IF(AND(ISNUMBER(B193),ISNUMBER(B192),B192&lt;&gt;0),B193/B192-1,"")</f>
        <v>-4.21657989677637E-005</v>
      </c>
    </row>
    <row r="194" customFormat="false" ht="15" hidden="false" customHeight="false" outlineLevel="0" collapsed="false">
      <c r="A194" s="7" t="s">
        <v>1275</v>
      </c>
      <c r="B194" s="8" t="n">
        <v>99.606962</v>
      </c>
      <c r="C194" s="9" t="n">
        <f aca="false">IF(AND(ISNUMBER(B194),ISNUMBER(B193),B193&lt;&gt;0),B194/B193-1,"")</f>
        <v>-0.00185735750866256</v>
      </c>
    </row>
    <row r="195" customFormat="false" ht="15" hidden="false" customHeight="false" outlineLevel="0" collapsed="false">
      <c r="A195" s="7" t="s">
        <v>1276</v>
      </c>
      <c r="B195" s="8" t="n">
        <v>99.679188</v>
      </c>
      <c r="C195" s="9" t="n">
        <f aca="false">IF(AND(ISNUMBER(B195),ISNUMBER(B194),B194&lt;&gt;0),B195/B194-1,"")</f>
        <v>0.000725109957675496</v>
      </c>
    </row>
    <row r="196" customFormat="false" ht="15" hidden="false" customHeight="false" outlineLevel="0" collapsed="false">
      <c r="A196" s="7" t="s">
        <v>1277</v>
      </c>
      <c r="B196" s="8" t="n">
        <v>99.631982</v>
      </c>
      <c r="C196" s="9" t="n">
        <f aca="false">IF(AND(ISNUMBER(B196),ISNUMBER(B195),B195&lt;&gt;0),B196/B195-1,"")</f>
        <v>-0.000473579299221427</v>
      </c>
    </row>
    <row r="197" customFormat="false" ht="15" hidden="false" customHeight="false" outlineLevel="0" collapsed="false">
      <c r="A197" s="7" t="s">
        <v>1278</v>
      </c>
      <c r="B197" s="8" t="n">
        <v>99.56957</v>
      </c>
      <c r="C197" s="9" t="n">
        <f aca="false">IF(AND(ISNUMBER(B197),ISNUMBER(B196),B196&lt;&gt;0),B197/B196-1,"")</f>
        <v>-0.000626425358074223</v>
      </c>
    </row>
    <row r="198" customFormat="false" ht="15" hidden="false" customHeight="false" outlineLevel="0" collapsed="false">
      <c r="A198" s="7" t="s">
        <v>1279</v>
      </c>
      <c r="B198" s="8" t="n">
        <v>99.6283</v>
      </c>
      <c r="C198" s="9" t="n">
        <f aca="false">IF(AND(ISNUMBER(B198),ISNUMBER(B197),B197&lt;&gt;0),B198/B197-1,"")</f>
        <v>0.000589838843333412</v>
      </c>
    </row>
    <row r="199" customFormat="false" ht="15" hidden="false" customHeight="false" outlineLevel="0" collapsed="false">
      <c r="A199" s="7" t="s">
        <v>1280</v>
      </c>
      <c r="B199" s="8" t="n">
        <v>99.64296</v>
      </c>
      <c r="C199" s="9" t="n">
        <f aca="false">IF(AND(ISNUMBER(B199),ISNUMBER(B198),B198&lt;&gt;0),B199/B198-1,"")</f>
        <v>0.000147146945195464</v>
      </c>
    </row>
    <row r="200" customFormat="false" ht="15" hidden="false" customHeight="false" outlineLevel="0" collapsed="false">
      <c r="A200" s="7" t="s">
        <v>1281</v>
      </c>
      <c r="B200" s="8" t="n">
        <v>99.554563</v>
      </c>
      <c r="C200" s="9" t="n">
        <f aca="false">IF(AND(ISNUMBER(B200),ISNUMBER(B199),B199&lt;&gt;0),B200/B199-1,"")</f>
        <v>-0.00088713743549973</v>
      </c>
    </row>
    <row r="201" customFormat="false" ht="15" hidden="false" customHeight="false" outlineLevel="0" collapsed="false">
      <c r="A201" s="7" t="s">
        <v>1282</v>
      </c>
      <c r="B201" s="8" t="n">
        <v>99.562657</v>
      </c>
      <c r="C201" s="9" t="n">
        <f aca="false">IF(AND(ISNUMBER(B201),ISNUMBER(B200),B200&lt;&gt;0),B201/B200-1,"")</f>
        <v>8.13021498573541E-005</v>
      </c>
    </row>
    <row r="202" customFormat="false" ht="15" hidden="false" customHeight="false" outlineLevel="0" collapsed="false">
      <c r="A202" s="7" t="s">
        <v>1283</v>
      </c>
      <c r="B202" s="8" t="n">
        <v>99.564548</v>
      </c>
      <c r="C202" s="9" t="n">
        <f aca="false">IF(AND(ISNUMBER(B202),ISNUMBER(B201),B201&lt;&gt;0),B202/B201-1,"")</f>
        <v>1.89930648395453E-005</v>
      </c>
    </row>
    <row r="203" customFormat="false" ht="15" hidden="false" customHeight="false" outlineLevel="0" collapsed="false">
      <c r="A203" s="7" t="s">
        <v>1284</v>
      </c>
      <c r="B203" s="8" t="n">
        <v>99.562407</v>
      </c>
      <c r="C203" s="9" t="n">
        <f aca="false">IF(AND(ISNUMBER(B203),ISNUMBER(B202),B202&lt;&gt;0),B203/B202-1,"")</f>
        <v>-2.15036380218914E-005</v>
      </c>
    </row>
    <row r="204" customFormat="false" ht="15" hidden="false" customHeight="false" outlineLevel="0" collapsed="false">
      <c r="A204" s="7" t="s">
        <v>1285</v>
      </c>
      <c r="B204" s="8" t="n">
        <v>99.564119</v>
      </c>
      <c r="C204" s="9" t="n">
        <f aca="false">IF(AND(ISNUMBER(B204),ISNUMBER(B203),B203&lt;&gt;0),B204/B203-1,"")</f>
        <v>1.71952451895052E-005</v>
      </c>
    </row>
    <row r="205" customFormat="false" ht="15" hidden="false" customHeight="false" outlineLevel="0" collapsed="false">
      <c r="A205" s="7" t="s">
        <v>1286</v>
      </c>
      <c r="B205" s="8" t="n">
        <v>99.555927</v>
      </c>
      <c r="C205" s="9" t="n">
        <f aca="false">IF(AND(ISNUMBER(B205),ISNUMBER(B204),B204&lt;&gt;0),B205/B204-1,"")</f>
        <v>-8.22786369455431E-005</v>
      </c>
    </row>
    <row r="206" customFormat="false" ht="15" hidden="false" customHeight="false" outlineLevel="0" collapsed="false">
      <c r="A206" s="7" t="s">
        <v>1287</v>
      </c>
      <c r="B206" s="8" t="n">
        <v>99.533044</v>
      </c>
      <c r="C206" s="9" t="n">
        <f aca="false">IF(AND(ISNUMBER(B206),ISNUMBER(B205),B205&lt;&gt;0),B206/B205-1,"")</f>
        <v>-0.000229850704920764</v>
      </c>
    </row>
    <row r="207" customFormat="false" ht="15" hidden="false" customHeight="false" outlineLevel="0" collapsed="false">
      <c r="A207" s="7" t="s">
        <v>1288</v>
      </c>
      <c r="B207" s="8" t="n">
        <v>99.642984</v>
      </c>
      <c r="C207" s="9" t="n">
        <f aca="false">IF(AND(ISNUMBER(B207),ISNUMBER(B206),B206&lt;&gt;0),B207/B206-1,"")</f>
        <v>0.0011045577989155</v>
      </c>
    </row>
    <row r="208" customFormat="false" ht="15" hidden="false" customHeight="false" outlineLevel="0" collapsed="false">
      <c r="A208" s="7" t="s">
        <v>1289</v>
      </c>
      <c r="B208" s="8" t="n">
        <v>99.421601</v>
      </c>
      <c r="C208" s="9" t="n">
        <f aca="false">IF(AND(ISNUMBER(B208),ISNUMBER(B207),B207&lt;&gt;0),B208/B207-1,"")</f>
        <v>-0.00222176204598612</v>
      </c>
    </row>
    <row r="209" customFormat="false" ht="15" hidden="false" customHeight="false" outlineLevel="0" collapsed="false">
      <c r="A209" s="7" t="s">
        <v>1290</v>
      </c>
      <c r="B209" s="8" t="n">
        <v>99.379779</v>
      </c>
      <c r="C209" s="9" t="n">
        <f aca="false">IF(AND(ISNUMBER(B209),ISNUMBER(B208),B208&lt;&gt;0),B209/B208-1,"")</f>
        <v>-0.000420653053052278</v>
      </c>
    </row>
    <row r="210" customFormat="false" ht="15" hidden="false" customHeight="false" outlineLevel="0" collapsed="false">
      <c r="A210" s="7" t="s">
        <v>1291</v>
      </c>
      <c r="B210" s="8" t="n">
        <v>99.39928</v>
      </c>
      <c r="C210" s="9" t="n">
        <f aca="false">IF(AND(ISNUMBER(B210),ISNUMBER(B209),B209&lt;&gt;0),B210/B209-1,"")</f>
        <v>0.000196227041318053</v>
      </c>
    </row>
    <row r="211" customFormat="false" ht="15" hidden="false" customHeight="false" outlineLevel="0" collapsed="false">
      <c r="A211" s="7" t="s">
        <v>1292</v>
      </c>
      <c r="B211" s="8" t="n">
        <v>99.325208</v>
      </c>
      <c r="C211" s="9" t="n">
        <f aca="false">IF(AND(ISNUMBER(B211),ISNUMBER(B210),B210&lt;&gt;0),B211/B210-1,"")</f>
        <v>-0.000745196544683191</v>
      </c>
    </row>
    <row r="212" customFormat="false" ht="15" hidden="false" customHeight="false" outlineLevel="0" collapsed="false">
      <c r="A212" s="7" t="s">
        <v>1293</v>
      </c>
      <c r="B212" s="8" t="n">
        <v>99.528443</v>
      </c>
      <c r="C212" s="9" t="n">
        <f aca="false">IF(AND(ISNUMBER(B212),ISNUMBER(B211),B211&lt;&gt;0),B212/B211-1,"")</f>
        <v>0.00204615730580682</v>
      </c>
    </row>
    <row r="213" customFormat="false" ht="15" hidden="false" customHeight="false" outlineLevel="0" collapsed="false">
      <c r="A213" s="7" t="s">
        <v>1294</v>
      </c>
      <c r="B213" s="8" t="n">
        <v>99.602357</v>
      </c>
      <c r="C213" s="9" t="n">
        <f aca="false">IF(AND(ISNUMBER(B213),ISNUMBER(B212),B212&lt;&gt;0),B213/B212-1,"")</f>
        <v>0.000742641980242764</v>
      </c>
    </row>
    <row r="214" customFormat="false" ht="15" hidden="false" customHeight="false" outlineLevel="0" collapsed="false">
      <c r="A214" s="7" t="s">
        <v>1295</v>
      </c>
      <c r="B214" s="8" t="n">
        <v>99.584535</v>
      </c>
      <c r="C214" s="9" t="n">
        <f aca="false">IF(AND(ISNUMBER(B214),ISNUMBER(B213),B213&lt;&gt;0),B214/B213-1,"")</f>
        <v>-0.000178931508618807</v>
      </c>
    </row>
    <row r="215" customFormat="false" ht="15" hidden="false" customHeight="false" outlineLevel="0" collapsed="false">
      <c r="A215" s="7" t="s">
        <v>1296</v>
      </c>
      <c r="B215" s="8" t="n">
        <v>99.567094</v>
      </c>
      <c r="C215" s="9" t="n">
        <f aca="false">IF(AND(ISNUMBER(B215),ISNUMBER(B214),B214&lt;&gt;0),B215/B214-1,"")</f>
        <v>-0.000175137635577749</v>
      </c>
    </row>
    <row r="216" customFormat="false" ht="15" hidden="false" customHeight="false" outlineLevel="0" collapsed="false">
      <c r="A216" s="7" t="s">
        <v>1297</v>
      </c>
      <c r="B216" s="8" t="n">
        <v>99.530529</v>
      </c>
      <c r="C216" s="9" t="n">
        <f aca="false">IF(AND(ISNUMBER(B216),ISNUMBER(B215),B215&lt;&gt;0),B216/B215-1,"")</f>
        <v>-0.000367239803142128</v>
      </c>
    </row>
    <row r="217" customFormat="false" ht="15" hidden="false" customHeight="false" outlineLevel="0" collapsed="false">
      <c r="A217" s="7" t="s">
        <v>1298</v>
      </c>
      <c r="B217" s="8" t="n">
        <v>99.42623</v>
      </c>
      <c r="C217" s="9" t="n">
        <f aca="false">IF(AND(ISNUMBER(B217),ISNUMBER(B216),B216&lt;&gt;0),B217/B216-1,"")</f>
        <v>-0.00104790963182766</v>
      </c>
    </row>
    <row r="218" customFormat="false" ht="15" hidden="false" customHeight="false" outlineLevel="0" collapsed="false">
      <c r="A218" s="7" t="s">
        <v>1299</v>
      </c>
      <c r="B218" s="8" t="n">
        <v>99.464461</v>
      </c>
      <c r="C218" s="9" t="n">
        <f aca="false">IF(AND(ISNUMBER(B218),ISNUMBER(B217),B217&lt;&gt;0),B218/B217-1,"")</f>
        <v>0.000384516238823407</v>
      </c>
    </row>
    <row r="219" customFormat="false" ht="15" hidden="false" customHeight="false" outlineLevel="0" collapsed="false">
      <c r="A219" s="7" t="s">
        <v>1300</v>
      </c>
      <c r="B219" s="8" t="n">
        <v>99.537413</v>
      </c>
      <c r="C219" s="9" t="n">
        <f aca="false">IF(AND(ISNUMBER(B219),ISNUMBER(B218),B218&lt;&gt;0),B219/B218-1,"")</f>
        <v>0.000733447899546658</v>
      </c>
    </row>
    <row r="220" customFormat="false" ht="15" hidden="false" customHeight="false" outlineLevel="0" collapsed="false">
      <c r="A220" s="7" t="s">
        <v>1301</v>
      </c>
      <c r="B220" s="8" t="n">
        <v>99.4502</v>
      </c>
      <c r="C220" s="9" t="n">
        <f aca="false">IF(AND(ISNUMBER(B220),ISNUMBER(B219),B219&lt;&gt;0),B220/B219-1,"")</f>
        <v>-0.000876183109159268</v>
      </c>
    </row>
    <row r="221" customFormat="false" ht="15" hidden="false" customHeight="false" outlineLevel="0" collapsed="false">
      <c r="A221" s="7" t="s">
        <v>1302</v>
      </c>
      <c r="B221" s="8" t="n">
        <v>99.598312</v>
      </c>
      <c r="C221" s="9" t="n">
        <f aca="false">IF(AND(ISNUMBER(B221),ISNUMBER(B220),B220&lt;&gt;0),B221/B220-1,"")</f>
        <v>0.00148930821657478</v>
      </c>
    </row>
    <row r="222" customFormat="false" ht="15" hidden="false" customHeight="false" outlineLevel="0" collapsed="false">
      <c r="A222" s="7" t="s">
        <v>1303</v>
      </c>
      <c r="B222" s="8" t="n">
        <v>99.608279</v>
      </c>
      <c r="C222" s="9" t="n">
        <f aca="false">IF(AND(ISNUMBER(B222),ISNUMBER(B221),B221&lt;&gt;0),B222/B221-1,"")</f>
        <v>0.000100071977123362</v>
      </c>
    </row>
    <row r="223" customFormat="false" ht="15" hidden="false" customHeight="false" outlineLevel="0" collapsed="false">
      <c r="A223" s="7" t="s">
        <v>1304</v>
      </c>
      <c r="B223" s="8" t="n">
        <v>99.847551</v>
      </c>
      <c r="C223" s="9" t="n">
        <f aca="false">IF(AND(ISNUMBER(B223),ISNUMBER(B222),B222&lt;&gt;0),B223/B222-1,"")</f>
        <v>0.00240212964627173</v>
      </c>
    </row>
    <row r="224" customFormat="false" ht="15" hidden="false" customHeight="false" outlineLevel="0" collapsed="false">
      <c r="A224" s="7" t="s">
        <v>1305</v>
      </c>
      <c r="B224" s="8" t="n">
        <v>99.848171</v>
      </c>
      <c r="C224" s="9" t="n">
        <f aca="false">IF(AND(ISNUMBER(B224),ISNUMBER(B223),B223&lt;&gt;0),B224/B223-1,"")</f>
        <v>6.20946626916918E-006</v>
      </c>
    </row>
    <row r="225" customFormat="false" ht="15" hidden="false" customHeight="false" outlineLevel="0" collapsed="false">
      <c r="A225" s="7" t="s">
        <v>1306</v>
      </c>
      <c r="B225" s="8" t="n">
        <v>100.113564</v>
      </c>
      <c r="C225" s="9" t="n">
        <f aca="false">IF(AND(ISNUMBER(B225),ISNUMBER(B224),B224&lt;&gt;0),B225/B224-1,"")</f>
        <v>0.00265796556253406</v>
      </c>
    </row>
    <row r="226" customFormat="false" ht="15" hidden="false" customHeight="false" outlineLevel="0" collapsed="false">
      <c r="A226" s="7" t="s">
        <v>1307</v>
      </c>
      <c r="B226" s="8" t="n">
        <v>100.014399</v>
      </c>
      <c r="C226" s="9" t="n">
        <f aca="false">IF(AND(ISNUMBER(B226),ISNUMBER(B225),B225&lt;&gt;0),B226/B225-1,"")</f>
        <v>-0.00099052512005271</v>
      </c>
    </row>
    <row r="227" customFormat="false" ht="15" hidden="false" customHeight="false" outlineLevel="0" collapsed="false">
      <c r="A227" s="7" t="s">
        <v>1308</v>
      </c>
      <c r="B227" s="8" t="n">
        <v>100.101044</v>
      </c>
      <c r="C227" s="9" t="n">
        <f aca="false">IF(AND(ISNUMBER(B227),ISNUMBER(B226),B226&lt;&gt;0),B227/B226-1,"")</f>
        <v>0.000866325257826262</v>
      </c>
    </row>
    <row r="228" customFormat="false" ht="15" hidden="false" customHeight="false" outlineLevel="0" collapsed="false">
      <c r="A228" s="7" t="s">
        <v>1309</v>
      </c>
      <c r="B228" s="8" t="n">
        <v>100.080056</v>
      </c>
      <c r="C228" s="9" t="n">
        <f aca="false">IF(AND(ISNUMBER(B228),ISNUMBER(B227),B227&lt;&gt;0),B228/B227-1,"")</f>
        <v>-0.000209668142921671</v>
      </c>
    </row>
    <row r="229" customFormat="false" ht="15" hidden="false" customHeight="false" outlineLevel="0" collapsed="false">
      <c r="A229" s="7" t="s">
        <v>1310</v>
      </c>
      <c r="B229" s="8" t="n">
        <v>100.050639</v>
      </c>
      <c r="C229" s="9" t="n">
        <f aca="false">IF(AND(ISNUMBER(B229),ISNUMBER(B228),B228&lt;&gt;0),B229/B228-1,"")</f>
        <v>-0.00029393468764638</v>
      </c>
    </row>
    <row r="230" customFormat="false" ht="15" hidden="false" customHeight="false" outlineLevel="0" collapsed="false">
      <c r="A230" s="7" t="s">
        <v>1311</v>
      </c>
      <c r="B230" s="8" t="n">
        <v>100.136256</v>
      </c>
      <c r="C230" s="9" t="n">
        <f aca="false">IF(AND(ISNUMBER(B230),ISNUMBER(B229),B229&lt;&gt;0),B230/B229-1,"")</f>
        <v>0.000855736663510909</v>
      </c>
    </row>
    <row r="231" customFormat="false" ht="15" hidden="false" customHeight="false" outlineLevel="0" collapsed="false">
      <c r="A231" s="7" t="s">
        <v>1312</v>
      </c>
      <c r="B231" s="8" t="n">
        <v>100.140085</v>
      </c>
      <c r="C231" s="9" t="n">
        <f aca="false">IF(AND(ISNUMBER(B231),ISNUMBER(B230),B230&lt;&gt;0),B231/B230-1,"")</f>
        <v>3.8237898568827E-005</v>
      </c>
    </row>
    <row r="232" customFormat="false" ht="15" hidden="false" customHeight="false" outlineLevel="0" collapsed="false">
      <c r="A232" s="7" t="s">
        <v>1313</v>
      </c>
      <c r="B232" s="8" t="n">
        <v>100.130031</v>
      </c>
      <c r="C232" s="9" t="n">
        <f aca="false">IF(AND(ISNUMBER(B232),ISNUMBER(B231),B231&lt;&gt;0),B232/B231-1,"")</f>
        <v>-0.000100399355562719</v>
      </c>
    </row>
    <row r="233" customFormat="false" ht="15" hidden="false" customHeight="false" outlineLevel="0" collapsed="false">
      <c r="A233" s="7" t="s">
        <v>1314</v>
      </c>
      <c r="B233" s="8" t="n">
        <v>100.130151</v>
      </c>
      <c r="C233" s="9" t="n">
        <f aca="false">IF(AND(ISNUMBER(B233),ISNUMBER(B232),B232&lt;&gt;0),B233/B232-1,"")</f>
        <v>1.19844165435978E-006</v>
      </c>
    </row>
    <row r="234" customFormat="false" ht="15" hidden="false" customHeight="false" outlineLevel="0" collapsed="false">
      <c r="A234" s="7" t="s">
        <v>1315</v>
      </c>
      <c r="B234" s="8" t="n">
        <v>100.113288</v>
      </c>
      <c r="C234" s="9" t="n">
        <f aca="false">IF(AND(ISNUMBER(B234),ISNUMBER(B233),B233&lt;&gt;0),B234/B233-1,"")</f>
        <v>-0.000168410811644537</v>
      </c>
    </row>
    <row r="235" customFormat="false" ht="15" hidden="false" customHeight="false" outlineLevel="0" collapsed="false">
      <c r="A235" s="7" t="s">
        <v>1316</v>
      </c>
      <c r="B235" s="8" t="n">
        <v>100.147474</v>
      </c>
      <c r="C235" s="9" t="n">
        <f aca="false">IF(AND(ISNUMBER(B235),ISNUMBER(B234),B234&lt;&gt;0),B235/B234-1,"")</f>
        <v>0.00034147315189581</v>
      </c>
    </row>
    <row r="236" customFormat="false" ht="15" hidden="false" customHeight="false" outlineLevel="0" collapsed="false">
      <c r="A236" s="7" t="s">
        <v>1317</v>
      </c>
      <c r="B236" s="8" t="n">
        <v>100.204873</v>
      </c>
      <c r="C236" s="9" t="n">
        <f aca="false">IF(AND(ISNUMBER(B236),ISNUMBER(B235),B235&lt;&gt;0),B236/B235-1,"")</f>
        <v>0.000573144760495969</v>
      </c>
    </row>
    <row r="237" customFormat="false" ht="15" hidden="false" customHeight="false" outlineLevel="0" collapsed="false">
      <c r="A237" s="7" t="s">
        <v>1318</v>
      </c>
      <c r="B237" s="8" t="n">
        <v>100.156246</v>
      </c>
      <c r="C237" s="9" t="n">
        <f aca="false">IF(AND(ISNUMBER(B237),ISNUMBER(B236),B236&lt;&gt;0),B237/B236-1,"")</f>
        <v>-0.000485275800908513</v>
      </c>
    </row>
    <row r="238" customFormat="false" ht="15" hidden="false" customHeight="false" outlineLevel="0" collapsed="false">
      <c r="A238" s="7" t="s">
        <v>1319</v>
      </c>
      <c r="B238" s="8" t="n">
        <v>100.133619</v>
      </c>
      <c r="C238" s="9" t="n">
        <f aca="false">IF(AND(ISNUMBER(B238),ISNUMBER(B237),B237&lt;&gt;0),B238/B237-1,"")</f>
        <v>-0.000225917013702781</v>
      </c>
    </row>
    <row r="239" customFormat="false" ht="15" hidden="false" customHeight="false" outlineLevel="0" collapsed="false">
      <c r="A239" s="7" t="s">
        <v>1320</v>
      </c>
      <c r="B239" s="8" t="n">
        <v>100.190895</v>
      </c>
      <c r="C239" s="9" t="n">
        <f aca="false">IF(AND(ISNUMBER(B239),ISNUMBER(B238),B238&lt;&gt;0),B239/B238-1,"")</f>
        <v>0.000571995705058948</v>
      </c>
    </row>
    <row r="240" customFormat="false" ht="15" hidden="false" customHeight="false" outlineLevel="0" collapsed="false">
      <c r="A240" s="7" t="s">
        <v>1321</v>
      </c>
      <c r="B240" s="8" t="n">
        <v>100.184157</v>
      </c>
      <c r="C240" s="9" t="n">
        <f aca="false">IF(AND(ISNUMBER(B240),ISNUMBER(B239),B239&lt;&gt;0),B240/B239-1,"")</f>
        <v>-6.72516200199702E-005</v>
      </c>
    </row>
    <row r="241" customFormat="false" ht="15" hidden="false" customHeight="false" outlineLevel="0" collapsed="false">
      <c r="A241" s="7" t="s">
        <v>1322</v>
      </c>
      <c r="B241" s="8" t="n">
        <v>99.937384</v>
      </c>
      <c r="C241" s="9" t="n">
        <f aca="false">IF(AND(ISNUMBER(B241),ISNUMBER(B240),B240&lt;&gt;0),B241/B240-1,"")</f>
        <v>-0.00246319385609051</v>
      </c>
    </row>
    <row r="242" customFormat="false" ht="15" hidden="false" customHeight="false" outlineLevel="0" collapsed="false">
      <c r="A242" s="7" t="s">
        <v>1323</v>
      </c>
      <c r="B242" s="8" t="n">
        <v>99.962566</v>
      </c>
      <c r="C242" s="9" t="n">
        <f aca="false">IF(AND(ISNUMBER(B242),ISNUMBER(B241),B241&lt;&gt;0),B242/B241-1,"")</f>
        <v>0.000251977778405799</v>
      </c>
    </row>
    <row r="243" customFormat="false" ht="15" hidden="false" customHeight="false" outlineLevel="0" collapsed="false">
      <c r="A243" s="7" t="s">
        <v>1324</v>
      </c>
      <c r="B243" s="8" t="n">
        <v>99.94868</v>
      </c>
      <c r="C243" s="9" t="n">
        <f aca="false">IF(AND(ISNUMBER(B243),ISNUMBER(B242),B242&lt;&gt;0),B243/B242-1,"")</f>
        <v>-0.000138912000318236</v>
      </c>
    </row>
    <row r="244" customFormat="false" ht="15" hidden="false" customHeight="false" outlineLevel="0" collapsed="false">
      <c r="A244" s="7" t="s">
        <v>1325</v>
      </c>
      <c r="B244" s="8" t="n">
        <v>99.974987</v>
      </c>
      <c r="C244" s="9" t="n">
        <f aca="false">IF(AND(ISNUMBER(B244),ISNUMBER(B243),B243&lt;&gt;0),B244/B243-1,"")</f>
        <v>0.000263205076845408</v>
      </c>
    </row>
    <row r="245" customFormat="false" ht="15" hidden="false" customHeight="false" outlineLevel="0" collapsed="false">
      <c r="A245" s="7" t="s">
        <v>1326</v>
      </c>
      <c r="B245" s="8" t="n">
        <v>100.039091</v>
      </c>
      <c r="C245" s="9" t="n">
        <f aca="false">IF(AND(ISNUMBER(B245),ISNUMBER(B244),B244&lt;&gt;0),B245/B244-1,"")</f>
        <v>0.000641200383451945</v>
      </c>
    </row>
    <row r="246" customFormat="false" ht="15" hidden="false" customHeight="false" outlineLevel="0" collapsed="false">
      <c r="A246" s="7" t="s">
        <v>1327</v>
      </c>
      <c r="B246" s="8" t="n">
        <v>100.201463</v>
      </c>
      <c r="C246" s="9" t="n">
        <f aca="false">IF(AND(ISNUMBER(B246),ISNUMBER(B245),B245&lt;&gt;0),B246/B245-1,"")</f>
        <v>0.00162308551963952</v>
      </c>
    </row>
    <row r="247" customFormat="false" ht="15" hidden="false" customHeight="false" outlineLevel="0" collapsed="false">
      <c r="A247" s="7" t="s">
        <v>1328</v>
      </c>
      <c r="B247" s="8" t="n">
        <v>100.276992</v>
      </c>
      <c r="C247" s="9" t="n">
        <f aca="false">IF(AND(ISNUMBER(B247),ISNUMBER(B246),B246&lt;&gt;0),B247/B246-1,"")</f>
        <v>0.000753771429464978</v>
      </c>
    </row>
    <row r="248" customFormat="false" ht="15" hidden="false" customHeight="false" outlineLevel="0" collapsed="false">
      <c r="A248" s="7" t="s">
        <v>1329</v>
      </c>
      <c r="B248" s="8" t="n">
        <v>100.158562</v>
      </c>
      <c r="C248" s="9" t="n">
        <f aca="false">IF(AND(ISNUMBER(B248),ISNUMBER(B247),B247&lt;&gt;0),B248/B247-1,"")</f>
        <v>-0.00118102864513525</v>
      </c>
    </row>
    <row r="249" customFormat="false" ht="15" hidden="false" customHeight="false" outlineLevel="0" collapsed="false">
      <c r="A249" s="7" t="s">
        <v>1330</v>
      </c>
      <c r="B249" s="8" t="n">
        <v>100.093411</v>
      </c>
      <c r="C249" s="9" t="n">
        <f aca="false">IF(AND(ISNUMBER(B249),ISNUMBER(B248),B248&lt;&gt;0),B249/B248-1,"")</f>
        <v>-0.000650478588141046</v>
      </c>
    </row>
    <row r="250" customFormat="false" ht="15" hidden="false" customHeight="false" outlineLevel="0" collapsed="false">
      <c r="A250" s="7" t="s">
        <v>1331</v>
      </c>
      <c r="B250" s="8" t="n">
        <v>100.06559</v>
      </c>
      <c r="C250" s="9" t="n">
        <f aca="false">IF(AND(ISNUMBER(B250),ISNUMBER(B249),B249&lt;&gt;0),B250/B249-1,"")</f>
        <v>-0.000277950363785751</v>
      </c>
    </row>
    <row r="251" customFormat="false" ht="15" hidden="false" customHeight="false" outlineLevel="0" collapsed="false">
      <c r="A251" s="7" t="s">
        <v>1332</v>
      </c>
      <c r="B251" s="8" t="n">
        <v>100.231855</v>
      </c>
      <c r="C251" s="9" t="n">
        <f aca="false">IF(AND(ISNUMBER(B251),ISNUMBER(B250),B250&lt;&gt;0),B251/B250-1,"")</f>
        <v>0.00166156018267616</v>
      </c>
    </row>
    <row r="252" customFormat="false" ht="15" hidden="false" customHeight="false" outlineLevel="0" collapsed="false">
      <c r="A252" s="7" t="s">
        <v>1333</v>
      </c>
      <c r="B252" s="8" t="n">
        <v>100.315648</v>
      </c>
      <c r="C252" s="9" t="n">
        <f aca="false">IF(AND(ISNUMBER(B252),ISNUMBER(B251),B251&lt;&gt;0),B252/B251-1,"")</f>
        <v>0.000835991711417572</v>
      </c>
    </row>
    <row r="253" customFormat="false" ht="15" hidden="false" customHeight="false" outlineLevel="0" collapsed="false">
      <c r="A253" s="7" t="s">
        <v>1334</v>
      </c>
      <c r="B253" s="8" t="n">
        <v>100.231771</v>
      </c>
      <c r="C253" s="9" t="n">
        <f aca="false">IF(AND(ISNUMBER(B253),ISNUMBER(B252),B252&lt;&gt;0),B253/B252-1,"")</f>
        <v>-0.000836130769947263</v>
      </c>
    </row>
    <row r="254" customFormat="false" ht="15" hidden="false" customHeight="false" outlineLevel="0" collapsed="false">
      <c r="A254" s="7" t="s">
        <v>1335</v>
      </c>
      <c r="B254" s="8" t="n">
        <v>100.234442</v>
      </c>
      <c r="C254" s="9" t="n">
        <f aca="false">IF(AND(ISNUMBER(B254),ISNUMBER(B253),B253&lt;&gt;0),B254/B253-1,"")</f>
        <v>2.66482371145127E-005</v>
      </c>
    </row>
    <row r="255" customFormat="false" ht="15" hidden="false" customHeight="false" outlineLevel="0" collapsed="false">
      <c r="A255" s="7" t="s">
        <v>1336</v>
      </c>
      <c r="B255" s="8" t="n">
        <v>100.199084</v>
      </c>
      <c r="C255" s="9" t="n">
        <f aca="false">IF(AND(ISNUMBER(B255),ISNUMBER(B254),B254&lt;&gt;0),B255/B254-1,"")</f>
        <v>-0.000352752998814543</v>
      </c>
    </row>
    <row r="256" customFormat="false" ht="15" hidden="false" customHeight="false" outlineLevel="0" collapsed="false">
      <c r="A256" s="7" t="s">
        <v>1337</v>
      </c>
      <c r="B256" s="8" t="n">
        <v>100.341072</v>
      </c>
      <c r="C256" s="9" t="n">
        <f aca="false">IF(AND(ISNUMBER(B256),ISNUMBER(B255),B255&lt;&gt;0),B256/B255-1,"")</f>
        <v>0.00141705886253418</v>
      </c>
    </row>
    <row r="257" customFormat="false" ht="15" hidden="false" customHeight="false" outlineLevel="0" collapsed="false">
      <c r="A257" s="7" t="s">
        <v>1338</v>
      </c>
      <c r="B257" s="8" t="n">
        <v>100.287876</v>
      </c>
      <c r="C257" s="9" t="n">
        <f aca="false">IF(AND(ISNUMBER(B257),ISNUMBER(B256),B256&lt;&gt;0),B257/B256-1,"")</f>
        <v>-0.000530151800650525</v>
      </c>
    </row>
    <row r="258" customFormat="false" ht="15" hidden="false" customHeight="false" outlineLevel="0" collapsed="false">
      <c r="A258" s="7" t="s">
        <v>1339</v>
      </c>
      <c r="B258" s="8" t="n">
        <v>100.368943</v>
      </c>
      <c r="C258" s="9" t="n">
        <f aca="false">IF(AND(ISNUMBER(B258),ISNUMBER(B257),B257&lt;&gt;0),B258/B257-1,"")</f>
        <v>0.000808342974578657</v>
      </c>
    </row>
    <row r="259" customFormat="false" ht="15" hidden="false" customHeight="false" outlineLevel="0" collapsed="false">
      <c r="A259" s="7" t="s">
        <v>1340</v>
      </c>
      <c r="B259" s="8" t="n">
        <v>100.437994</v>
      </c>
      <c r="C259" s="9" t="n">
        <f aca="false">IF(AND(ISNUMBER(B259),ISNUMBER(B258),B258&lt;&gt;0),B259/B258-1,"")</f>
        <v>0.00068797177628932</v>
      </c>
    </row>
    <row r="260" customFormat="false" ht="15" hidden="false" customHeight="false" outlineLevel="0" collapsed="false">
      <c r="A260" s="7" t="s">
        <v>1341</v>
      </c>
      <c r="B260" s="8" t="n">
        <v>100.465442</v>
      </c>
      <c r="C260" s="9" t="n">
        <f aca="false">IF(AND(ISNUMBER(B260),ISNUMBER(B259),B259&lt;&gt;0),B260/B259-1,"")</f>
        <v>0.00027328303669627</v>
      </c>
    </row>
    <row r="261" customFormat="false" ht="15" hidden="false" customHeight="false" outlineLevel="0" collapsed="false">
      <c r="A261" s="7" t="s">
        <v>1342</v>
      </c>
      <c r="B261" s="8" t="n">
        <v>100.392689</v>
      </c>
      <c r="C261" s="9" t="n">
        <f aca="false">IF(AND(ISNUMBER(B261),ISNUMBER(B260),B260&lt;&gt;0),B261/B260-1,"")</f>
        <v>-0.000724159457736628</v>
      </c>
    </row>
    <row r="262" customFormat="false" ht="15" hidden="false" customHeight="false" outlineLevel="0" collapsed="false">
      <c r="A262" s="7" t="s">
        <v>1343</v>
      </c>
      <c r="B262" s="8" t="n">
        <v>100.367761</v>
      </c>
      <c r="C262" s="9" t="n">
        <f aca="false">IF(AND(ISNUMBER(B262),ISNUMBER(B261),B261&lt;&gt;0),B262/B261-1,"")</f>
        <v>-0.000248304933838428</v>
      </c>
    </row>
    <row r="263" customFormat="false" ht="15" hidden="false" customHeight="false" outlineLevel="0" collapsed="false">
      <c r="A263" s="7" t="s">
        <v>1344</v>
      </c>
      <c r="B263" s="8" t="n">
        <v>100.420447</v>
      </c>
      <c r="C263" s="9" t="n">
        <f aca="false">IF(AND(ISNUMBER(B263),ISNUMBER(B262),B262&lt;&gt;0),B263/B262-1,"")</f>
        <v>0.000524929513969985</v>
      </c>
    </row>
    <row r="264" customFormat="false" ht="15" hidden="false" customHeight="false" outlineLevel="0" collapsed="false">
      <c r="A264" s="7" t="s">
        <v>1345</v>
      </c>
      <c r="B264" s="8" t="n">
        <v>100.42991</v>
      </c>
      <c r="C264" s="9" t="n">
        <f aca="false">IF(AND(ISNUMBER(B264),ISNUMBER(B263),B263&lt;&gt;0),B264/B263-1,"")</f>
        <v>9.42337968283802E-005</v>
      </c>
    </row>
    <row r="265" customFormat="false" ht="15" hidden="false" customHeight="false" outlineLevel="0" collapsed="false">
      <c r="A265" s="7" t="s">
        <v>1346</v>
      </c>
      <c r="B265" s="8" t="n">
        <v>100.352065</v>
      </c>
      <c r="C265" s="9" t="n">
        <f aca="false">IF(AND(ISNUMBER(B265),ISNUMBER(B264),B264&lt;&gt;0),B265/B264-1,"")</f>
        <v>-0.00077511769153249</v>
      </c>
    </row>
    <row r="266" customFormat="false" ht="15" hidden="false" customHeight="false" outlineLevel="0" collapsed="false">
      <c r="A266" s="7" t="s">
        <v>1347</v>
      </c>
      <c r="B266" s="8" t="n">
        <v>100.332105</v>
      </c>
      <c r="C266" s="9" t="n">
        <f aca="false">IF(AND(ISNUMBER(B266),ISNUMBER(B265),B265&lt;&gt;0),B266/B265-1,"")</f>
        <v>-0.000198899743617642</v>
      </c>
    </row>
    <row r="267" customFormat="false" ht="15" hidden="false" customHeight="false" outlineLevel="0" collapsed="false">
      <c r="A267" s="7" t="s">
        <v>1348</v>
      </c>
      <c r="B267" s="8" t="n">
        <v>100.307549</v>
      </c>
      <c r="C267" s="9" t="n">
        <f aca="false">IF(AND(ISNUMBER(B267),ISNUMBER(B266),B266&lt;&gt;0),B267/B266-1,"")</f>
        <v>-0.000244747182369998</v>
      </c>
    </row>
    <row r="268" customFormat="false" ht="15" hidden="false" customHeight="false" outlineLevel="0" collapsed="false">
      <c r="A268" s="7" t="s">
        <v>1349</v>
      </c>
      <c r="B268" s="8" t="n">
        <v>100.280971</v>
      </c>
      <c r="C268" s="9" t="n">
        <f aca="false">IF(AND(ISNUMBER(B268),ISNUMBER(B267),B267&lt;&gt;0),B268/B267-1,"")</f>
        <v>-0.000264965102476977</v>
      </c>
    </row>
    <row r="269" customFormat="false" ht="15" hidden="false" customHeight="false" outlineLevel="0" collapsed="false">
      <c r="A269" s="7" t="s">
        <v>1350</v>
      </c>
      <c r="B269" s="8" t="n">
        <v>100.234114</v>
      </c>
      <c r="C269" s="9" t="n">
        <f aca="false">IF(AND(ISNUMBER(B269),ISNUMBER(B268),B268&lt;&gt;0),B269/B268-1,"")</f>
        <v>-0.000467257142932831</v>
      </c>
    </row>
    <row r="270" customFormat="false" ht="15" hidden="false" customHeight="false" outlineLevel="0" collapsed="false">
      <c r="A270" s="7" t="s">
        <v>1351</v>
      </c>
      <c r="B270" s="8" t="n">
        <v>100.279439</v>
      </c>
      <c r="C270" s="9" t="n">
        <f aca="false">IF(AND(ISNUMBER(B270),ISNUMBER(B269),B269&lt;&gt;0),B270/B269-1,"")</f>
        <v>0.000452191356727028</v>
      </c>
    </row>
    <row r="271" customFormat="false" ht="15" hidden="false" customHeight="false" outlineLevel="0" collapsed="false">
      <c r="A271" s="7" t="s">
        <v>1352</v>
      </c>
      <c r="B271" s="8" t="n">
        <v>100.23568</v>
      </c>
      <c r="C271" s="9" t="n">
        <f aca="false">IF(AND(ISNUMBER(B271),ISNUMBER(B270),B270&lt;&gt;0),B271/B270-1,"")</f>
        <v>-0.000436370610330195</v>
      </c>
    </row>
    <row r="272" customFormat="false" ht="15" hidden="false" customHeight="false" outlineLevel="0" collapsed="false">
      <c r="A272" s="7" t="s">
        <v>1353</v>
      </c>
      <c r="B272" s="8" t="n">
        <v>100.240556</v>
      </c>
      <c r="C272" s="9" t="n">
        <f aca="false">IF(AND(ISNUMBER(B272),ISNUMBER(B271),B271&lt;&gt;0),B272/B271-1,"")</f>
        <v>4.86453526329367E-005</v>
      </c>
    </row>
    <row r="273" customFormat="false" ht="15" hidden="false" customHeight="false" outlineLevel="0" collapsed="false">
      <c r="A273" s="7" t="s">
        <v>1354</v>
      </c>
      <c r="B273" s="8" t="n">
        <v>100.449043</v>
      </c>
      <c r="C273" s="9" t="n">
        <f aca="false">IF(AND(ISNUMBER(B273),ISNUMBER(B272),B272&lt;&gt;0),B273/B272-1,"")</f>
        <v>0.00207986675572713</v>
      </c>
    </row>
    <row r="274" customFormat="false" ht="15" hidden="false" customHeight="false" outlineLevel="0" collapsed="false">
      <c r="A274" s="7" t="s">
        <v>1355</v>
      </c>
      <c r="B274" s="8" t="n">
        <v>100.652477</v>
      </c>
      <c r="C274" s="9" t="n">
        <f aca="false">IF(AND(ISNUMBER(B274),ISNUMBER(B273),B273&lt;&gt;0),B274/B273-1,"")</f>
        <v>0.00202524577561181</v>
      </c>
    </row>
    <row r="275" customFormat="false" ht="15" hidden="false" customHeight="false" outlineLevel="0" collapsed="false">
      <c r="A275" s="7" t="s">
        <v>1356</v>
      </c>
      <c r="B275" s="8" t="n">
        <v>100.67418</v>
      </c>
      <c r="C275" s="9" t="n">
        <f aca="false">IF(AND(ISNUMBER(B275),ISNUMBER(B274),B274&lt;&gt;0),B275/B274-1,"")</f>
        <v>0.000215623108808405</v>
      </c>
    </row>
    <row r="276" customFormat="false" ht="15" hidden="false" customHeight="false" outlineLevel="0" collapsed="false">
      <c r="A276" s="7" t="s">
        <v>1357</v>
      </c>
      <c r="B276" s="8" t="n">
        <v>100.648009</v>
      </c>
      <c r="C276" s="9" t="n">
        <f aca="false">IF(AND(ISNUMBER(B276),ISNUMBER(B275),B275&lt;&gt;0),B276/B275-1,"")</f>
        <v>-0.000259957419072143</v>
      </c>
    </row>
    <row r="277" customFormat="false" ht="15" hidden="false" customHeight="false" outlineLevel="0" collapsed="false">
      <c r="A277" s="7" t="s">
        <v>1358</v>
      </c>
      <c r="B277" s="8" t="n">
        <v>100.599906</v>
      </c>
      <c r="C277" s="9" t="n">
        <f aca="false">IF(AND(ISNUMBER(B277),ISNUMBER(B276),B276&lt;&gt;0),B277/B276-1,"")</f>
        <v>-0.000477932951460591</v>
      </c>
    </row>
    <row r="278" customFormat="false" ht="15" hidden="false" customHeight="false" outlineLevel="0" collapsed="false">
      <c r="A278" s="7" t="s">
        <v>1359</v>
      </c>
      <c r="B278" s="8" t="n">
        <v>100.635018</v>
      </c>
      <c r="C278" s="9" t="n">
        <f aca="false">IF(AND(ISNUMBER(B278),ISNUMBER(B277),B277&lt;&gt;0),B278/B277-1,"")</f>
        <v>0.000349026171058142</v>
      </c>
    </row>
    <row r="279" customFormat="false" ht="15" hidden="false" customHeight="false" outlineLevel="0" collapsed="false">
      <c r="A279" s="7" t="s">
        <v>1360</v>
      </c>
      <c r="B279" s="8" t="n">
        <v>100.641343</v>
      </c>
      <c r="C279" s="9" t="n">
        <f aca="false">IF(AND(ISNUMBER(B279),ISNUMBER(B278),B278&lt;&gt;0),B279/B278-1,"")</f>
        <v>6.28508855635701E-005</v>
      </c>
    </row>
    <row r="280" customFormat="false" ht="15" hidden="false" customHeight="false" outlineLevel="0" collapsed="false">
      <c r="A280" s="7" t="s">
        <v>1361</v>
      </c>
      <c r="B280" s="8" t="n">
        <v>100.903974</v>
      </c>
      <c r="C280" s="9" t="n">
        <f aca="false">IF(AND(ISNUMBER(B280),ISNUMBER(B279),B279&lt;&gt;0),B280/B279-1,"")</f>
        <v>0.00260957368186143</v>
      </c>
    </row>
    <row r="281" customFormat="false" ht="15" hidden="false" customHeight="false" outlineLevel="0" collapsed="false">
      <c r="A281" s="7" t="s">
        <v>1362</v>
      </c>
      <c r="B281" s="8" t="n">
        <v>100.922833</v>
      </c>
      <c r="C281" s="9" t="n">
        <f aca="false">IF(AND(ISNUMBER(B281),ISNUMBER(B280),B280&lt;&gt;0),B281/B280-1,"")</f>
        <v>0.000186900468360118</v>
      </c>
    </row>
    <row r="282" customFormat="false" ht="15" hidden="false" customHeight="false" outlineLevel="0" collapsed="false">
      <c r="A282" s="7" t="s">
        <v>1363</v>
      </c>
      <c r="B282" s="8" t="n">
        <v>100.898845</v>
      </c>
      <c r="C282" s="9" t="n">
        <f aca="false">IF(AND(ISNUMBER(B282),ISNUMBER(B281),B281&lt;&gt;0),B282/B281-1,"")</f>
        <v>-0.000237686550079386</v>
      </c>
    </row>
    <row r="283" customFormat="false" ht="15" hidden="false" customHeight="false" outlineLevel="0" collapsed="false">
      <c r="A283" s="7" t="s">
        <v>1364</v>
      </c>
      <c r="B283" s="8" t="n">
        <v>100.936525</v>
      </c>
      <c r="C283" s="9" t="n">
        <f aca="false">IF(AND(ISNUMBER(B283),ISNUMBER(B282),B282&lt;&gt;0),B283/B282-1,"")</f>
        <v>0.000373443323360201</v>
      </c>
    </row>
    <row r="284" customFormat="false" ht="15" hidden="false" customHeight="false" outlineLevel="0" collapsed="false">
      <c r="A284" s="7" t="s">
        <v>1365</v>
      </c>
      <c r="B284" s="8" t="n">
        <v>100.969215</v>
      </c>
      <c r="C284" s="9" t="n">
        <f aca="false">IF(AND(ISNUMBER(B284),ISNUMBER(B283),B283&lt;&gt;0),B284/B283-1,"")</f>
        <v>0.00032386690546371</v>
      </c>
    </row>
    <row r="285" customFormat="false" ht="15" hidden="false" customHeight="false" outlineLevel="0" collapsed="false">
      <c r="A285" s="7" t="s">
        <v>1366</v>
      </c>
      <c r="B285" s="8" t="n">
        <v>100.9237</v>
      </c>
      <c r="C285" s="9" t="n">
        <f aca="false">IF(AND(ISNUMBER(B285),ISNUMBER(B284),B284&lt;&gt;0),B285/B284-1,"")</f>
        <v>-0.000450780963286768</v>
      </c>
    </row>
    <row r="286" customFormat="false" ht="15" hidden="false" customHeight="false" outlineLevel="0" collapsed="false">
      <c r="A286" s="7" t="s">
        <v>1367</v>
      </c>
      <c r="B286" s="8" t="n">
        <v>101.095436</v>
      </c>
      <c r="C286" s="9" t="n">
        <f aca="false">IF(AND(ISNUMBER(B286),ISNUMBER(B285),B285&lt;&gt;0),B286/B285-1,"")</f>
        <v>0.00170164193346078</v>
      </c>
    </row>
    <row r="287" customFormat="false" ht="15" hidden="false" customHeight="false" outlineLevel="0" collapsed="false">
      <c r="A287" s="7" t="s">
        <v>1368</v>
      </c>
      <c r="B287" s="8" t="n">
        <v>101.145496</v>
      </c>
      <c r="C287" s="9" t="n">
        <f aca="false">IF(AND(ISNUMBER(B287),ISNUMBER(B286),B286&lt;&gt;0),B287/B286-1,"")</f>
        <v>0.000495175667475145</v>
      </c>
    </row>
    <row r="288" customFormat="false" ht="15" hidden="false" customHeight="false" outlineLevel="0" collapsed="false">
      <c r="A288" s="7" t="s">
        <v>1369</v>
      </c>
      <c r="B288" s="8" t="n">
        <v>101.167795</v>
      </c>
      <c r="C288" s="9" t="n">
        <f aca="false">IF(AND(ISNUMBER(B288),ISNUMBER(B287),B287&lt;&gt;0),B288/B287-1,"")</f>
        <v>0.000220464586974778</v>
      </c>
    </row>
    <row r="289" customFormat="false" ht="15" hidden="false" customHeight="false" outlineLevel="0" collapsed="false">
      <c r="A289" s="7" t="s">
        <v>1370</v>
      </c>
      <c r="B289" s="8" t="n">
        <v>101.184918</v>
      </c>
      <c r="C289" s="9" t="n">
        <f aca="false">IF(AND(ISNUMBER(B289),ISNUMBER(B288),B288&lt;&gt;0),B289/B288-1,"")</f>
        <v>0.000169253466481001</v>
      </c>
    </row>
    <row r="290" customFormat="false" ht="15" hidden="false" customHeight="false" outlineLevel="0" collapsed="false">
      <c r="A290" s="7" t="s">
        <v>1371</v>
      </c>
      <c r="B290" s="8" t="n">
        <v>101.101224</v>
      </c>
      <c r="C290" s="9" t="n">
        <f aca="false">IF(AND(ISNUMBER(B290),ISNUMBER(B289),B289&lt;&gt;0),B290/B289-1,"")</f>
        <v>-0.000827139080154193</v>
      </c>
    </row>
    <row r="291" customFormat="false" ht="15" hidden="false" customHeight="false" outlineLevel="0" collapsed="false">
      <c r="A291" s="7" t="s">
        <v>1372</v>
      </c>
      <c r="B291" s="8" t="n">
        <v>101.254472</v>
      </c>
      <c r="C291" s="9" t="n">
        <f aca="false">IF(AND(ISNUMBER(B291),ISNUMBER(B290),B290&lt;&gt;0),B291/B290-1,"")</f>
        <v>0.0015157877811649</v>
      </c>
    </row>
    <row r="292" customFormat="false" ht="15" hidden="false" customHeight="false" outlineLevel="0" collapsed="false">
      <c r="A292" s="7" t="s">
        <v>1373</v>
      </c>
      <c r="B292" s="8" t="n">
        <v>101.116197</v>
      </c>
      <c r="C292" s="9" t="n">
        <f aca="false">IF(AND(ISNUMBER(B292),ISNUMBER(B291),B291&lt;&gt;0),B292/B291-1,"")</f>
        <v>-0.00136561869583407</v>
      </c>
    </row>
    <row r="293" customFormat="false" ht="15" hidden="false" customHeight="false" outlineLevel="0" collapsed="false">
      <c r="A293" s="7" t="s">
        <v>1374</v>
      </c>
      <c r="B293" s="8" t="n">
        <v>101.096175</v>
      </c>
      <c r="C293" s="9" t="n">
        <f aca="false">IF(AND(ISNUMBER(B293),ISNUMBER(B292),B292&lt;&gt;0),B293/B292-1,"")</f>
        <v>-0.000198009820325806</v>
      </c>
    </row>
    <row r="294" customFormat="false" ht="15" hidden="false" customHeight="false" outlineLevel="0" collapsed="false">
      <c r="A294" s="7" t="s">
        <v>1375</v>
      </c>
      <c r="B294" s="8" t="n">
        <v>101.114572</v>
      </c>
      <c r="C294" s="9" t="n">
        <f aca="false">IF(AND(ISNUMBER(B294),ISNUMBER(B293),B293&lt;&gt;0),B294/B293-1,"")</f>
        <v>0.000181975232989684</v>
      </c>
    </row>
    <row r="295" customFormat="false" ht="15" hidden="false" customHeight="false" outlineLevel="0" collapsed="false">
      <c r="A295" s="7" t="s">
        <v>1376</v>
      </c>
      <c r="B295" s="8" t="n">
        <v>101.161435</v>
      </c>
      <c r="C295" s="9" t="n">
        <f aca="false">IF(AND(ISNUMBER(B295),ISNUMBER(B294),B294&lt;&gt;0),B295/B294-1,"")</f>
        <v>0.000463464356057486</v>
      </c>
    </row>
    <row r="296" customFormat="false" ht="15" hidden="false" customHeight="false" outlineLevel="0" collapsed="false">
      <c r="A296" s="7" t="s">
        <v>1377</v>
      </c>
      <c r="B296" s="8" t="n">
        <v>101.221926</v>
      </c>
      <c r="C296" s="9" t="n">
        <f aca="false">IF(AND(ISNUMBER(B296),ISNUMBER(B295),B295&lt;&gt;0),B296/B295-1,"")</f>
        <v>0.000597965024912828</v>
      </c>
    </row>
    <row r="297" customFormat="false" ht="15" hidden="false" customHeight="false" outlineLevel="0" collapsed="false">
      <c r="A297" s="7" t="s">
        <v>1378</v>
      </c>
      <c r="B297" s="8" t="n">
        <v>101.305129</v>
      </c>
      <c r="C297" s="9" t="n">
        <f aca="false">IF(AND(ISNUMBER(B297),ISNUMBER(B296),B296&lt;&gt;0),B297/B296-1,"")</f>
        <v>0.00082198594008176</v>
      </c>
    </row>
    <row r="298" customFormat="false" ht="15" hidden="false" customHeight="false" outlineLevel="0" collapsed="false">
      <c r="A298" s="7" t="s">
        <v>1379</v>
      </c>
      <c r="B298" s="8" t="n">
        <v>101.367199</v>
      </c>
      <c r="C298" s="9" t="n">
        <f aca="false">IF(AND(ISNUMBER(B298),ISNUMBER(B297),B297&lt;&gt;0),B298/B297-1,"")</f>
        <v>0.00061270342985309</v>
      </c>
    </row>
    <row r="299" customFormat="false" ht="15" hidden="false" customHeight="false" outlineLevel="0" collapsed="false">
      <c r="A299" s="7" t="s">
        <v>1380</v>
      </c>
      <c r="B299" s="8" t="n">
        <v>101.35636</v>
      </c>
      <c r="C299" s="9" t="n">
        <f aca="false">IF(AND(ISNUMBER(B299),ISNUMBER(B298),B298&lt;&gt;0),B299/B298-1,"")</f>
        <v>-0.000106928080354729</v>
      </c>
    </row>
    <row r="300" customFormat="false" ht="15" hidden="false" customHeight="false" outlineLevel="0" collapsed="false">
      <c r="A300" s="7" t="s">
        <v>1381</v>
      </c>
      <c r="B300" s="8" t="n">
        <v>101.367722</v>
      </c>
      <c r="C300" s="9" t="n">
        <f aca="false">IF(AND(ISNUMBER(B300),ISNUMBER(B299),B299&lt;&gt;0),B300/B299-1,"")</f>
        <v>0.000112099526857534</v>
      </c>
    </row>
    <row r="301" customFormat="false" ht="15" hidden="false" customHeight="false" outlineLevel="0" collapsed="false">
      <c r="A301" s="7" t="s">
        <v>1382</v>
      </c>
      <c r="B301" s="8" t="n">
        <v>101.283024</v>
      </c>
      <c r="C301" s="9" t="n">
        <f aca="false">IF(AND(ISNUMBER(B301),ISNUMBER(B300),B300&lt;&gt;0),B301/B300-1,"")</f>
        <v>-0.000835551971859472</v>
      </c>
    </row>
    <row r="302" customFormat="false" ht="15" hidden="false" customHeight="false" outlineLevel="0" collapsed="false">
      <c r="A302" s="7" t="s">
        <v>1383</v>
      </c>
      <c r="B302" s="8" t="n">
        <v>101.190127</v>
      </c>
      <c r="C302" s="9" t="n">
        <f aca="false">IF(AND(ISNUMBER(B302),ISNUMBER(B301),B301&lt;&gt;0),B302/B301-1,"")</f>
        <v>-0.00091720207722068</v>
      </c>
    </row>
    <row r="303" customFormat="false" ht="15" hidden="false" customHeight="false" outlineLevel="0" collapsed="false">
      <c r="A303" s="7" t="s">
        <v>1384</v>
      </c>
      <c r="B303" s="8" t="n">
        <v>101.469187</v>
      </c>
      <c r="C303" s="9" t="n">
        <f aca="false">IF(AND(ISNUMBER(B303),ISNUMBER(B302),B302&lt;&gt;0),B303/B302-1,"")</f>
        <v>0.00275777892837303</v>
      </c>
    </row>
    <row r="304" customFormat="false" ht="15" hidden="false" customHeight="false" outlineLevel="0" collapsed="false">
      <c r="A304" s="7" t="s">
        <v>1385</v>
      </c>
      <c r="B304" s="8" t="n">
        <v>101.592492</v>
      </c>
      <c r="C304" s="9" t="n">
        <f aca="false">IF(AND(ISNUMBER(B304),ISNUMBER(B303),B303&lt;&gt;0),B304/B303-1,"")</f>
        <v>0.00121519649112778</v>
      </c>
    </row>
    <row r="305" customFormat="false" ht="15" hidden="false" customHeight="false" outlineLevel="0" collapsed="false">
      <c r="A305" s="7" t="s">
        <v>1386</v>
      </c>
      <c r="B305" s="8" t="n">
        <v>101.46924</v>
      </c>
      <c r="C305" s="9" t="n">
        <f aca="false">IF(AND(ISNUMBER(B305),ISNUMBER(B304),B304&lt;&gt;0),B305/B304-1,"")</f>
        <v>-0.0012131998888264</v>
      </c>
    </row>
    <row r="306" customFormat="false" ht="15" hidden="false" customHeight="false" outlineLevel="0" collapsed="false">
      <c r="A306" s="7" t="s">
        <v>1387</v>
      </c>
      <c r="B306" s="8" t="n">
        <v>101.506184</v>
      </c>
      <c r="C306" s="9" t="n">
        <f aca="false">IF(AND(ISNUMBER(B306),ISNUMBER(B305),B305&lt;&gt;0),B306/B305-1,"")</f>
        <v>0.000364090634757952</v>
      </c>
    </row>
    <row r="307" customFormat="false" ht="15" hidden="false" customHeight="false" outlineLevel="0" collapsed="false">
      <c r="A307" s="7" t="s">
        <v>1388</v>
      </c>
      <c r="B307" s="8" t="n">
        <v>101.613328</v>
      </c>
      <c r="C307" s="9" t="n">
        <f aca="false">IF(AND(ISNUMBER(B307),ISNUMBER(B306),B306&lt;&gt;0),B307/B306-1,"")</f>
        <v>0.00105554160128807</v>
      </c>
    </row>
    <row r="308" customFormat="false" ht="15" hidden="false" customHeight="false" outlineLevel="0" collapsed="false">
      <c r="A308" s="7" t="s">
        <v>1389</v>
      </c>
      <c r="B308" s="8" t="n">
        <v>101.44381</v>
      </c>
      <c r="C308" s="9" t="n">
        <f aca="false">IF(AND(ISNUMBER(B308),ISNUMBER(B307),B307&lt;&gt;0),B308/B307-1,"")</f>
        <v>-0.00166826540707332</v>
      </c>
    </row>
    <row r="309" customFormat="false" ht="15" hidden="false" customHeight="false" outlineLevel="0" collapsed="false">
      <c r="A309" s="7" t="s">
        <v>1390</v>
      </c>
      <c r="B309" s="8" t="n">
        <v>101.355842</v>
      </c>
      <c r="C309" s="9" t="n">
        <f aca="false">IF(AND(ISNUMBER(B309),ISNUMBER(B308),B308&lt;&gt;0),B309/B308-1,"")</f>
        <v>-0.000867159859236355</v>
      </c>
    </row>
    <row r="310" customFormat="false" ht="15" hidden="false" customHeight="false" outlineLevel="0" collapsed="false">
      <c r="A310" s="7" t="s">
        <v>1391</v>
      </c>
      <c r="B310" s="8" t="n">
        <v>101.257541</v>
      </c>
      <c r="C310" s="9" t="n">
        <f aca="false">IF(AND(ISNUMBER(B310),ISNUMBER(B309),B309&lt;&gt;0),B310/B309-1,"")</f>
        <v>-0.000969860227691632</v>
      </c>
    </row>
    <row r="311" customFormat="false" ht="15" hidden="false" customHeight="false" outlineLevel="0" collapsed="false">
      <c r="A311" s="7" t="s">
        <v>1392</v>
      </c>
      <c r="B311" s="8" t="n">
        <v>101.301708</v>
      </c>
      <c r="C311" s="9" t="n">
        <f aca="false">IF(AND(ISNUMBER(B311),ISNUMBER(B310),B310&lt;&gt;0),B311/B310-1,"")</f>
        <v>0.000436184797337758</v>
      </c>
    </row>
    <row r="312" customFormat="false" ht="15" hidden="false" customHeight="false" outlineLevel="0" collapsed="false">
      <c r="A312" s="7" t="s">
        <v>1393</v>
      </c>
      <c r="B312" s="8" t="n">
        <v>101.222883</v>
      </c>
      <c r="C312" s="9" t="n">
        <f aca="false">IF(AND(ISNUMBER(B312),ISNUMBER(B311),B311&lt;&gt;0),B312/B311-1,"")</f>
        <v>-0.000778121134936916</v>
      </c>
    </row>
    <row r="313" customFormat="false" ht="15" hidden="false" customHeight="false" outlineLevel="0" collapsed="false">
      <c r="A313" s="7" t="s">
        <v>1394</v>
      </c>
      <c r="B313" s="8" t="n">
        <v>101.196103</v>
      </c>
      <c r="C313" s="9" t="n">
        <f aca="false">IF(AND(ISNUMBER(B313),ISNUMBER(B312),B312&lt;&gt;0),B313/B312-1,"")</f>
        <v>-0.000264564683461921</v>
      </c>
    </row>
    <row r="314" customFormat="false" ht="15" hidden="false" customHeight="false" outlineLevel="0" collapsed="false">
      <c r="A314" s="7" t="s">
        <v>1395</v>
      </c>
      <c r="B314" s="8" t="n">
        <v>101.223827</v>
      </c>
      <c r="C314" s="9" t="n">
        <f aca="false">IF(AND(ISNUMBER(B314),ISNUMBER(B313),B313&lt;&gt;0),B314/B313-1,"")</f>
        <v>0.000273963118915921</v>
      </c>
    </row>
    <row r="315" customFormat="false" ht="15" hidden="false" customHeight="false" outlineLevel="0" collapsed="false">
      <c r="A315" s="7" t="s">
        <v>1396</v>
      </c>
      <c r="B315" s="8" t="n">
        <v>101.278098</v>
      </c>
      <c r="C315" s="9" t="n">
        <f aca="false">IF(AND(ISNUMBER(B315),ISNUMBER(B314),B314&lt;&gt;0),B315/B314-1,"")</f>
        <v>0.000536148470260844</v>
      </c>
    </row>
    <row r="316" customFormat="false" ht="15" hidden="false" customHeight="false" outlineLevel="0" collapsed="false">
      <c r="A316" s="7" t="s">
        <v>1397</v>
      </c>
      <c r="B316" s="8" t="n">
        <v>101.090736</v>
      </c>
      <c r="C316" s="9" t="n">
        <f aca="false">IF(AND(ISNUMBER(B316),ISNUMBER(B315),B315&lt;&gt;0),B316/B315-1,"")</f>
        <v>-0.00184997550013222</v>
      </c>
    </row>
    <row r="317" customFormat="false" ht="15" hidden="false" customHeight="false" outlineLevel="0" collapsed="false">
      <c r="A317" s="7" t="s">
        <v>1398</v>
      </c>
      <c r="B317" s="8" t="n">
        <v>101.006336</v>
      </c>
      <c r="C317" s="9" t="n">
        <f aca="false">IF(AND(ISNUMBER(B317),ISNUMBER(B316),B316&lt;&gt;0),B317/B316-1,"")</f>
        <v>-0.000834893515860857</v>
      </c>
    </row>
    <row r="318" customFormat="false" ht="15" hidden="false" customHeight="false" outlineLevel="0" collapsed="false">
      <c r="A318" s="7" t="s">
        <v>1399</v>
      </c>
      <c r="B318" s="8" t="n">
        <v>100.895996</v>
      </c>
      <c r="C318" s="9" t="n">
        <f aca="false">IF(AND(ISNUMBER(B318),ISNUMBER(B317),B317&lt;&gt;0),B318/B317-1,"")</f>
        <v>-0.00109240671793109</v>
      </c>
    </row>
    <row r="319" customFormat="false" ht="15" hidden="false" customHeight="false" outlineLevel="0" collapsed="false">
      <c r="A319" s="7" t="s">
        <v>1400</v>
      </c>
      <c r="B319" s="8" t="n">
        <v>100.939796</v>
      </c>
      <c r="C319" s="9" t="n">
        <f aca="false">IF(AND(ISNUMBER(B319),ISNUMBER(B318),B318&lt;&gt;0),B319/B318-1,"")</f>
        <v>0.000434110388285447</v>
      </c>
    </row>
    <row r="320" customFormat="false" ht="15" hidden="false" customHeight="false" outlineLevel="0" collapsed="false">
      <c r="A320" s="7" t="s">
        <v>1401</v>
      </c>
      <c r="B320" s="8" t="n">
        <v>100.895687</v>
      </c>
      <c r="C320" s="9" t="n">
        <f aca="false">IF(AND(ISNUMBER(B320),ISNUMBER(B319),B319&lt;&gt;0),B320/B319-1,"")</f>
        <v>-0.000436983248906175</v>
      </c>
    </row>
    <row r="321" customFormat="false" ht="15" hidden="false" customHeight="false" outlineLevel="0" collapsed="false">
      <c r="A321" s="7" t="s">
        <v>1402</v>
      </c>
      <c r="B321" s="8" t="n">
        <v>100.844992</v>
      </c>
      <c r="C321" s="9" t="n">
        <f aca="false">IF(AND(ISNUMBER(B321),ISNUMBER(B320),B320&lt;&gt;0),B321/B320-1,"")</f>
        <v>-0.000502449624035894</v>
      </c>
    </row>
    <row r="322" customFormat="false" ht="15" hidden="false" customHeight="false" outlineLevel="0" collapsed="false">
      <c r="A322" s="7" t="s">
        <v>1403</v>
      </c>
      <c r="B322" s="8" t="n">
        <v>100.731672</v>
      </c>
      <c r="C322" s="9" t="n">
        <f aca="false">IF(AND(ISNUMBER(B322),ISNUMBER(B321),B321&lt;&gt;0),B322/B321-1,"")</f>
        <v>-0.00112370478446766</v>
      </c>
    </row>
    <row r="323" customFormat="false" ht="15" hidden="false" customHeight="false" outlineLevel="0" collapsed="false">
      <c r="A323" s="7" t="s">
        <v>1404</v>
      </c>
      <c r="B323" s="8" t="n">
        <v>100.64802</v>
      </c>
      <c r="C323" s="9" t="n">
        <f aca="false">IF(AND(ISNUMBER(B323),ISNUMBER(B322),B322&lt;&gt;0),B323/B322-1,"")</f>
        <v>-0.00083044387469311</v>
      </c>
    </row>
    <row r="324" customFormat="false" ht="15" hidden="false" customHeight="false" outlineLevel="0" collapsed="false">
      <c r="A324" s="7" t="s">
        <v>1405</v>
      </c>
      <c r="B324" s="8" t="n">
        <v>100.468032</v>
      </c>
      <c r="C324" s="9" t="n">
        <f aca="false">IF(AND(ISNUMBER(B324),ISNUMBER(B323),B323&lt;&gt;0),B324/B323-1,"")</f>
        <v>-0.00178829151333537</v>
      </c>
    </row>
    <row r="325" customFormat="false" ht="15" hidden="false" customHeight="false" outlineLevel="0" collapsed="false">
      <c r="A325" s="7" t="s">
        <v>1406</v>
      </c>
      <c r="B325" s="8" t="n">
        <v>100.383783</v>
      </c>
      <c r="C325" s="9" t="n">
        <f aca="false">IF(AND(ISNUMBER(B325),ISNUMBER(B324),B324&lt;&gt;0),B325/B324-1,"")</f>
        <v>-0.000838565246306433</v>
      </c>
    </row>
    <row r="326" customFormat="false" ht="15" hidden="false" customHeight="false" outlineLevel="0" collapsed="false">
      <c r="A326" s="7" t="s">
        <v>1407</v>
      </c>
      <c r="B326" s="8" t="n">
        <v>100.516945</v>
      </c>
      <c r="C326" s="9" t="n">
        <f aca="false">IF(AND(ISNUMBER(B326),ISNUMBER(B325),B325&lt;&gt;0),B326/B325-1,"")</f>
        <v>0.00132652900718044</v>
      </c>
    </row>
    <row r="327" customFormat="false" ht="15" hidden="false" customHeight="false" outlineLevel="0" collapsed="false">
      <c r="A327" s="7" t="s">
        <v>1408</v>
      </c>
      <c r="B327" s="8" t="n">
        <v>100.346592</v>
      </c>
      <c r="C327" s="9" t="n">
        <f aca="false">IF(AND(ISNUMBER(B327),ISNUMBER(B326),B326&lt;&gt;0),B327/B326-1,"")</f>
        <v>-0.00169476897651444</v>
      </c>
    </row>
    <row r="328" customFormat="false" ht="15" hidden="false" customHeight="false" outlineLevel="0" collapsed="false">
      <c r="A328" s="7" t="s">
        <v>1409</v>
      </c>
      <c r="B328" s="8" t="n">
        <v>100.298307</v>
      </c>
      <c r="C328" s="9" t="n">
        <f aca="false">IF(AND(ISNUMBER(B328),ISNUMBER(B327),B327&lt;&gt;0),B328/B327-1,"")</f>
        <v>-0.000481182260778756</v>
      </c>
    </row>
    <row r="329" customFormat="false" ht="15" hidden="false" customHeight="false" outlineLevel="0" collapsed="false">
      <c r="A329" s="7" t="s">
        <v>1410</v>
      </c>
      <c r="B329" s="8" t="n">
        <v>100.27195</v>
      </c>
      <c r="C329" s="9" t="n">
        <f aca="false">IF(AND(ISNUMBER(B329),ISNUMBER(B328),B328&lt;&gt;0),B329/B328-1,"")</f>
        <v>-0.000262786090696299</v>
      </c>
    </row>
    <row r="330" customFormat="false" ht="15" hidden="false" customHeight="false" outlineLevel="0" collapsed="false">
      <c r="A330" s="7" t="s">
        <v>1411</v>
      </c>
      <c r="B330" s="8" t="n">
        <v>100.222143</v>
      </c>
      <c r="C330" s="9" t="n">
        <f aca="false">IF(AND(ISNUMBER(B330),ISNUMBER(B329),B329&lt;&gt;0),B330/B329-1,"")</f>
        <v>-0.000496719172211169</v>
      </c>
    </row>
    <row r="331" customFormat="false" ht="15" hidden="false" customHeight="false" outlineLevel="0" collapsed="false">
      <c r="A331" s="7" t="s">
        <v>1412</v>
      </c>
      <c r="B331" s="8" t="n">
        <v>100.181524</v>
      </c>
      <c r="C331" s="9" t="n">
        <f aca="false">IF(AND(ISNUMBER(B331),ISNUMBER(B330),B330&lt;&gt;0),B331/B330-1,"")</f>
        <v>-0.000405289677352094</v>
      </c>
    </row>
    <row r="332" customFormat="false" ht="15" hidden="false" customHeight="false" outlineLevel="0" collapsed="false">
      <c r="A332" s="7" t="s">
        <v>1413</v>
      </c>
      <c r="B332" s="8" t="n">
        <v>100.174044</v>
      </c>
      <c r="C332" s="9" t="n">
        <f aca="false">IF(AND(ISNUMBER(B332),ISNUMBER(B331),B331&lt;&gt;0),B332/B331-1,"")</f>
        <v>-7.46644660746254E-005</v>
      </c>
    </row>
    <row r="333" customFormat="false" ht="15" hidden="false" customHeight="false" outlineLevel="0" collapsed="false">
      <c r="A333" s="7" t="s">
        <v>1414</v>
      </c>
      <c r="B333" s="8" t="n">
        <v>100.155386</v>
      </c>
      <c r="C333" s="9" t="n">
        <f aca="false">IF(AND(ISNUMBER(B333),ISNUMBER(B332),B332&lt;&gt;0),B333/B332-1,"")</f>
        <v>-0.000186255832898219</v>
      </c>
    </row>
    <row r="334" customFormat="false" ht="15" hidden="false" customHeight="false" outlineLevel="0" collapsed="false">
      <c r="A334" s="7" t="s">
        <v>1415</v>
      </c>
      <c r="B334" s="8" t="n">
        <v>100.412859</v>
      </c>
      <c r="C334" s="9" t="n">
        <f aca="false">IF(AND(ISNUMBER(B334),ISNUMBER(B333),B333&lt;&gt;0),B334/B333-1,"")</f>
        <v>0.0025707354370339</v>
      </c>
    </row>
    <row r="335" customFormat="false" ht="15" hidden="false" customHeight="false" outlineLevel="0" collapsed="false">
      <c r="A335" s="7" t="s">
        <v>1416</v>
      </c>
      <c r="B335" s="8" t="n">
        <v>100.295525</v>
      </c>
      <c r="C335" s="9" t="n">
        <f aca="false">IF(AND(ISNUMBER(B335),ISNUMBER(B334),B334&lt;&gt;0),B335/B334-1,"")</f>
        <v>-0.00116851567785758</v>
      </c>
    </row>
    <row r="336" customFormat="false" ht="15" hidden="false" customHeight="false" outlineLevel="0" collapsed="false">
      <c r="A336" s="7" t="s">
        <v>1417</v>
      </c>
      <c r="B336" s="8" t="n">
        <v>100.326398</v>
      </c>
      <c r="C336" s="9" t="n">
        <f aca="false">IF(AND(ISNUMBER(B336),ISNUMBER(B335),B335&lt;&gt;0),B336/B335-1,"")</f>
        <v>0.000307820314016993</v>
      </c>
    </row>
    <row r="337" customFormat="false" ht="15" hidden="false" customHeight="false" outlineLevel="0" collapsed="false">
      <c r="A337" s="7" t="s">
        <v>1418</v>
      </c>
      <c r="B337" s="8" t="n">
        <v>100.328791</v>
      </c>
      <c r="C337" s="9" t="n">
        <f aca="false">IF(AND(ISNUMBER(B337),ISNUMBER(B336),B336&lt;&gt;0),B337/B336-1,"")</f>
        <v>2.38521470690145E-005</v>
      </c>
    </row>
    <row r="338" customFormat="false" ht="15" hidden="false" customHeight="false" outlineLevel="0" collapsed="false">
      <c r="A338" s="7" t="s">
        <v>1419</v>
      </c>
      <c r="B338" s="8" t="n">
        <v>100.310692</v>
      </c>
      <c r="C338" s="9" t="n">
        <f aca="false">IF(AND(ISNUMBER(B338),ISNUMBER(B337),B337&lt;&gt;0),B338/B337-1,"")</f>
        <v>-0.000180396871322763</v>
      </c>
    </row>
    <row r="339" customFormat="false" ht="15" hidden="false" customHeight="false" outlineLevel="0" collapsed="false">
      <c r="A339" s="7" t="s">
        <v>1420</v>
      </c>
      <c r="B339" s="8" t="n">
        <v>100.186193</v>
      </c>
      <c r="C339" s="9" t="n">
        <f aca="false">IF(AND(ISNUMBER(B339),ISNUMBER(B338),B338&lt;&gt;0),B339/B338-1,"")</f>
        <v>-0.001241133896275</v>
      </c>
    </row>
    <row r="340" customFormat="false" ht="15" hidden="false" customHeight="false" outlineLevel="0" collapsed="false">
      <c r="A340" s="7" t="s">
        <v>1421</v>
      </c>
      <c r="B340" s="8" t="n">
        <v>100.219705</v>
      </c>
      <c r="C340" s="9" t="n">
        <f aca="false">IF(AND(ISNUMBER(B340),ISNUMBER(B339),B339&lt;&gt;0),B340/B339-1,"")</f>
        <v>0.000334497189647731</v>
      </c>
    </row>
    <row r="341" customFormat="false" ht="15" hidden="false" customHeight="false" outlineLevel="0" collapsed="false">
      <c r="A341" s="7" t="s">
        <v>1422</v>
      </c>
      <c r="B341" s="8" t="n">
        <v>100.224753</v>
      </c>
      <c r="C341" s="9" t="n">
        <f aca="false">IF(AND(ISNUMBER(B341),ISNUMBER(B340),B340&lt;&gt;0),B341/B340-1,"")</f>
        <v>5.03693360502933E-005</v>
      </c>
    </row>
    <row r="342" customFormat="false" ht="15" hidden="false" customHeight="false" outlineLevel="0" collapsed="false">
      <c r="A342" s="7" t="s">
        <v>1423</v>
      </c>
      <c r="B342" s="8" t="n">
        <v>100.216589</v>
      </c>
      <c r="C342" s="9" t="n">
        <f aca="false">IF(AND(ISNUMBER(B342),ISNUMBER(B341),B341&lt;&gt;0),B342/B341-1,"")</f>
        <v>-8.145692312167E-005</v>
      </c>
    </row>
    <row r="343" customFormat="false" ht="15" hidden="false" customHeight="false" outlineLevel="0" collapsed="false">
      <c r="A343" s="7" t="s">
        <v>1424</v>
      </c>
      <c r="B343" s="8" t="n">
        <v>100.173077</v>
      </c>
      <c r="C343" s="9" t="n">
        <f aca="false">IF(AND(ISNUMBER(B343),ISNUMBER(B342),B342&lt;&gt;0),B343/B342-1,"")</f>
        <v>-0.000434179614714259</v>
      </c>
    </row>
    <row r="344" customFormat="false" ht="15" hidden="false" customHeight="false" outlineLevel="0" collapsed="false">
      <c r="A344" s="7" t="s">
        <v>1425</v>
      </c>
      <c r="B344" s="8" t="n">
        <v>100.191018</v>
      </c>
      <c r="C344" s="9" t="n">
        <f aca="false">IF(AND(ISNUMBER(B344),ISNUMBER(B343),B343&lt;&gt;0),B344/B343-1,"")</f>
        <v>0.000179100019059852</v>
      </c>
    </row>
    <row r="345" customFormat="false" ht="15" hidden="false" customHeight="false" outlineLevel="0" collapsed="false">
      <c r="A345" s="7" t="s">
        <v>1426</v>
      </c>
      <c r="B345" s="8" t="n">
        <v>100.253198</v>
      </c>
      <c r="C345" s="9" t="n">
        <f aca="false">IF(AND(ISNUMBER(B345),ISNUMBER(B344),B344&lt;&gt;0),B345/B344-1,"")</f>
        <v>0.000620614514566631</v>
      </c>
    </row>
    <row r="346" customFormat="false" ht="15" hidden="false" customHeight="false" outlineLevel="0" collapsed="false">
      <c r="A346" s="7" t="s">
        <v>1427</v>
      </c>
      <c r="B346" s="8" t="n">
        <v>100.345028</v>
      </c>
      <c r="C346" s="9" t="n">
        <f aca="false">IF(AND(ISNUMBER(B346),ISNUMBER(B345),B345&lt;&gt;0),B346/B345-1,"")</f>
        <v>0.000915980755047841</v>
      </c>
    </row>
    <row r="347" customFormat="false" ht="15" hidden="false" customHeight="false" outlineLevel="0" collapsed="false">
      <c r="A347" s="7" t="s">
        <v>1428</v>
      </c>
      <c r="B347" s="8" t="n">
        <v>100.356046</v>
      </c>
      <c r="C347" s="9" t="n">
        <f aca="false">IF(AND(ISNUMBER(B347),ISNUMBER(B346),B346&lt;&gt;0),B347/B346-1,"")</f>
        <v>0.00010980115527004</v>
      </c>
    </row>
    <row r="348" customFormat="false" ht="15" hidden="false" customHeight="false" outlineLevel="0" collapsed="false">
      <c r="A348" s="7" t="s">
        <v>1429</v>
      </c>
      <c r="B348" s="8" t="n">
        <v>100.388382</v>
      </c>
      <c r="C348" s="9" t="n">
        <f aca="false">IF(AND(ISNUMBER(B348),ISNUMBER(B347),B347&lt;&gt;0),B348/B347-1,"")</f>
        <v>0.000322212774305442</v>
      </c>
    </row>
    <row r="349" customFormat="false" ht="15" hidden="false" customHeight="false" outlineLevel="0" collapsed="false">
      <c r="A349" s="7" t="s">
        <v>1430</v>
      </c>
      <c r="B349" s="8" t="n">
        <v>100.337518</v>
      </c>
      <c r="C349" s="9" t="n">
        <f aca="false">IF(AND(ISNUMBER(B349),ISNUMBER(B348),B348&lt;&gt;0),B349/B348-1,"")</f>
        <v>-0.000506672176467493</v>
      </c>
    </row>
    <row r="350" customFormat="false" ht="15" hidden="false" customHeight="false" outlineLevel="0" collapsed="false">
      <c r="A350" s="7" t="s">
        <v>1431</v>
      </c>
      <c r="B350" s="8" t="n">
        <v>100.111764</v>
      </c>
      <c r="C350" s="9" t="n">
        <f aca="false">IF(AND(ISNUMBER(B350),ISNUMBER(B349),B349&lt;&gt;0),B350/B349-1,"")</f>
        <v>-0.0022499460271681</v>
      </c>
    </row>
    <row r="351" customFormat="false" ht="15" hidden="false" customHeight="false" outlineLevel="0" collapsed="false">
      <c r="A351" s="7" t="s">
        <v>1432</v>
      </c>
      <c r="B351" s="8" t="n">
        <v>99.950158</v>
      </c>
      <c r="C351" s="9" t="n">
        <f aca="false">IF(AND(ISNUMBER(B351),ISNUMBER(B350),B350&lt;&gt;0),B351/B350-1,"")</f>
        <v>-0.00161425584309949</v>
      </c>
    </row>
    <row r="352" customFormat="false" ht="15" hidden="false" customHeight="false" outlineLevel="0" collapsed="false">
      <c r="A352" s="7" t="s">
        <v>1433</v>
      </c>
      <c r="B352" s="8" t="n">
        <v>100.064137</v>
      </c>
      <c r="C352" s="9" t="n">
        <f aca="false">IF(AND(ISNUMBER(B352),ISNUMBER(B351),B351&lt;&gt;0),B352/B351-1,"")</f>
        <v>0.00114035837742255</v>
      </c>
    </row>
    <row r="353" customFormat="false" ht="15" hidden="false" customHeight="false" outlineLevel="0" collapsed="false">
      <c r="A353" s="7" t="s">
        <v>1434</v>
      </c>
      <c r="B353" s="8" t="n">
        <v>100.038479</v>
      </c>
      <c r="C353" s="9" t="n">
        <f aca="false">IF(AND(ISNUMBER(B353),ISNUMBER(B352),B352&lt;&gt;0),B353/B352-1,"")</f>
        <v>-0.000256415542763455</v>
      </c>
    </row>
    <row r="354" customFormat="false" ht="15" hidden="false" customHeight="false" outlineLevel="0" collapsed="false">
      <c r="A354" s="7" t="s">
        <v>1435</v>
      </c>
      <c r="B354" s="8" t="n">
        <v>100.017423</v>
      </c>
      <c r="C354" s="9" t="n">
        <f aca="false">IF(AND(ISNUMBER(B354),ISNUMBER(B353),B353&lt;&gt;0),B354/B353-1,"")</f>
        <v>-0.000210479009781883</v>
      </c>
    </row>
    <row r="355" customFormat="false" ht="15" hidden="false" customHeight="false" outlineLevel="0" collapsed="false">
      <c r="A355" s="7" t="s">
        <v>1436</v>
      </c>
      <c r="B355" s="8" t="n">
        <v>100.031189</v>
      </c>
      <c r="C355" s="9" t="n">
        <f aca="false">IF(AND(ISNUMBER(B355),ISNUMBER(B354),B354&lt;&gt;0),B355/B354-1,"")</f>
        <v>0.000137636019676313</v>
      </c>
    </row>
    <row r="356" customFormat="false" ht="15" hidden="false" customHeight="false" outlineLevel="0" collapsed="false">
      <c r="A356" s="7" t="s">
        <v>1437</v>
      </c>
      <c r="B356" s="8" t="n">
        <v>100.226342</v>
      </c>
      <c r="C356" s="9" t="n">
        <f aca="false">IF(AND(ISNUMBER(B356),ISNUMBER(B355),B355&lt;&gt;0),B356/B355-1,"")</f>
        <v>0.00195092152708498</v>
      </c>
    </row>
    <row r="357" customFormat="false" ht="15" hidden="false" customHeight="false" outlineLevel="0" collapsed="false">
      <c r="A357" s="7" t="s">
        <v>1438</v>
      </c>
      <c r="B357" s="8" t="n">
        <v>100.175009</v>
      </c>
      <c r="C357" s="9" t="n">
        <f aca="false">IF(AND(ISNUMBER(B357),ISNUMBER(B356),B356&lt;&gt;0),B357/B356-1,"")</f>
        <v>-0.000512170742497986</v>
      </c>
    </row>
    <row r="358" customFormat="false" ht="15" hidden="false" customHeight="false" outlineLevel="0" collapsed="false">
      <c r="A358" s="7" t="s">
        <v>1439</v>
      </c>
      <c r="B358" s="8" t="n">
        <v>100.188203</v>
      </c>
      <c r="C358" s="9" t="n">
        <f aca="false">IF(AND(ISNUMBER(B358),ISNUMBER(B357),B357&lt;&gt;0),B358/B357-1,"")</f>
        <v>0.000131709496527188</v>
      </c>
    </row>
    <row r="359" customFormat="false" ht="15" hidden="false" customHeight="false" outlineLevel="0" collapsed="false">
      <c r="A359" s="7" t="s">
        <v>1440</v>
      </c>
      <c r="B359" s="8" t="n">
        <v>100.135433</v>
      </c>
      <c r="C359" s="9" t="n">
        <f aca="false">IF(AND(ISNUMBER(B359),ISNUMBER(B358),B358&lt;&gt;0),B359/B358-1,"")</f>
        <v>-0.000526708718390667</v>
      </c>
    </row>
    <row r="360" customFormat="false" ht="15" hidden="false" customHeight="false" outlineLevel="0" collapsed="false">
      <c r="A360" s="7" t="s">
        <v>1441</v>
      </c>
      <c r="B360" s="8" t="n">
        <v>100.15491</v>
      </c>
      <c r="C360" s="9" t="n">
        <f aca="false">IF(AND(ISNUMBER(B360),ISNUMBER(B359),B359&lt;&gt;0),B360/B359-1,"")</f>
        <v>0.000194506573911735</v>
      </c>
    </row>
    <row r="361" customFormat="false" ht="15" hidden="false" customHeight="false" outlineLevel="0" collapsed="false">
      <c r="A361" s="7" t="s">
        <v>1442</v>
      </c>
      <c r="B361" s="8" t="n">
        <v>99.986956</v>
      </c>
      <c r="C361" s="9" t="n">
        <f aca="false">IF(AND(ISNUMBER(B361),ISNUMBER(B360),B360&lt;&gt;0),B361/B360-1,"")</f>
        <v>-0.00167694224876236</v>
      </c>
    </row>
    <row r="362" customFormat="false" ht="15" hidden="false" customHeight="false" outlineLevel="0" collapsed="false">
      <c r="A362" s="7" t="s">
        <v>1443</v>
      </c>
      <c r="B362" s="8" t="n">
        <v>99.935022</v>
      </c>
      <c r="C362" s="9" t="n">
        <f aca="false">IF(AND(ISNUMBER(B362),ISNUMBER(B361),B361&lt;&gt;0),B362/B361-1,"")</f>
        <v>-0.00051940775154713</v>
      </c>
    </row>
    <row r="363" customFormat="false" ht="15" hidden="false" customHeight="false" outlineLevel="0" collapsed="false">
      <c r="A363" s="7" t="s">
        <v>1444</v>
      </c>
      <c r="B363" s="8" t="n">
        <v>99.965025</v>
      </c>
      <c r="C363" s="9" t="n">
        <f aca="false">IF(AND(ISNUMBER(B363),ISNUMBER(B362),B362&lt;&gt;0),B363/B362-1,"")</f>
        <v>0.000300225080252625</v>
      </c>
    </row>
    <row r="364" customFormat="false" ht="15" hidden="false" customHeight="false" outlineLevel="0" collapsed="false">
      <c r="A364" s="7" t="s">
        <v>1445</v>
      </c>
      <c r="B364" s="8" t="n">
        <v>100.031618</v>
      </c>
      <c r="C364" s="9" t="n">
        <f aca="false">IF(AND(ISNUMBER(B364),ISNUMBER(B363),B363&lt;&gt;0),B364/B363-1,"")</f>
        <v>0.000666162990505814</v>
      </c>
    </row>
    <row r="365" customFormat="false" ht="15" hidden="false" customHeight="false" outlineLevel="0" collapsed="false">
      <c r="A365" s="7" t="s">
        <v>1446</v>
      </c>
      <c r="B365" s="8" t="n">
        <v>100.015849</v>
      </c>
      <c r="C365" s="9" t="n">
        <f aca="false">IF(AND(ISNUMBER(B365),ISNUMBER(B364),B364&lt;&gt;0),B365/B364-1,"")</f>
        <v>-0.000157640157334993</v>
      </c>
    </row>
    <row r="366" customFormat="false" ht="15" hidden="false" customHeight="false" outlineLevel="0" collapsed="false">
      <c r="A366" s="7" t="s">
        <v>1447</v>
      </c>
      <c r="B366" s="8" t="n">
        <v>99.863165</v>
      </c>
      <c r="C366" s="9" t="n">
        <f aca="false">IF(AND(ISNUMBER(B366),ISNUMBER(B365),B365&lt;&gt;0),B366/B365-1,"")</f>
        <v>-0.00152659804947519</v>
      </c>
    </row>
    <row r="367" customFormat="false" ht="15" hidden="false" customHeight="false" outlineLevel="0" collapsed="false">
      <c r="A367" s="7" t="s">
        <v>1448</v>
      </c>
      <c r="B367" s="8" t="n">
        <v>99.779951</v>
      </c>
      <c r="C367" s="9" t="n">
        <f aca="false">IF(AND(ISNUMBER(B367),ISNUMBER(B366),B366&lt;&gt;0),B367/B366-1,"")</f>
        <v>-0.000833280218987653</v>
      </c>
    </row>
    <row r="368" customFormat="false" ht="15" hidden="false" customHeight="false" outlineLevel="0" collapsed="false">
      <c r="A368" s="7" t="s">
        <v>1449</v>
      </c>
      <c r="B368" s="8" t="n">
        <v>99.7988</v>
      </c>
      <c r="C368" s="9" t="n">
        <f aca="false">IF(AND(ISNUMBER(B368),ISNUMBER(B367),B367&lt;&gt;0),B368/B367-1,"")</f>
        <v>0.000188905685071017</v>
      </c>
    </row>
    <row r="369" customFormat="false" ht="15" hidden="false" customHeight="false" outlineLevel="0" collapsed="false">
      <c r="A369" s="7" t="s">
        <v>1450</v>
      </c>
      <c r="B369" s="8" t="n">
        <v>99.822147</v>
      </c>
      <c r="C369" s="9" t="n">
        <f aca="false">IF(AND(ISNUMBER(B369),ISNUMBER(B368),B368&lt;&gt;0),B369/B368-1,"")</f>
        <v>0.000233940688665557</v>
      </c>
    </row>
    <row r="370" customFormat="false" ht="15" hidden="false" customHeight="false" outlineLevel="0" collapsed="false">
      <c r="A370" s="7" t="s">
        <v>1451</v>
      </c>
      <c r="B370" s="8" t="n">
        <v>99.829278</v>
      </c>
      <c r="C370" s="9" t="n">
        <f aca="false">IF(AND(ISNUMBER(B370),ISNUMBER(B369),B369&lt;&gt;0),B370/B369-1,"")</f>
        <v>7.14370529417696E-005</v>
      </c>
    </row>
    <row r="371" customFormat="false" ht="15" hidden="false" customHeight="false" outlineLevel="0" collapsed="false">
      <c r="A371" s="7" t="s">
        <v>1452</v>
      </c>
      <c r="B371" s="8" t="n">
        <v>99.821101</v>
      </c>
      <c r="C371" s="9" t="n">
        <f aca="false">IF(AND(ISNUMBER(B371),ISNUMBER(B370),B370&lt;&gt;0),B371/B370-1,"")</f>
        <v>-8.19098381138472E-005</v>
      </c>
    </row>
    <row r="372" customFormat="false" ht="15" hidden="false" customHeight="false" outlineLevel="0" collapsed="false">
      <c r="A372" s="7" t="s">
        <v>1453</v>
      </c>
      <c r="B372" s="8" t="n">
        <v>99.850204</v>
      </c>
      <c r="C372" s="9" t="n">
        <f aca="false">IF(AND(ISNUMBER(B372),ISNUMBER(B371),B371&lt;&gt;0),B372/B371-1,"")</f>
        <v>0.000291551582866312</v>
      </c>
    </row>
    <row r="373" customFormat="false" ht="15" hidden="false" customHeight="false" outlineLevel="0" collapsed="false">
      <c r="A373" s="7" t="s">
        <v>1454</v>
      </c>
      <c r="B373" s="8" t="n">
        <v>99.856593</v>
      </c>
      <c r="C373" s="9" t="n">
        <f aca="false">IF(AND(ISNUMBER(B373),ISNUMBER(B372),B372&lt;&gt;0),B373/B372-1,"")</f>
        <v>6.39858482411881E-005</v>
      </c>
    </row>
    <row r="374" customFormat="false" ht="15" hidden="false" customHeight="false" outlineLevel="0" collapsed="false">
      <c r="A374" s="7" t="s">
        <v>1455</v>
      </c>
      <c r="B374" s="8" t="n">
        <v>99.893896</v>
      </c>
      <c r="C374" s="9" t="n">
        <f aca="false">IF(AND(ISNUMBER(B374),ISNUMBER(B373),B373&lt;&gt;0),B374/B373-1,"")</f>
        <v>0.000373565719391067</v>
      </c>
    </row>
    <row r="375" customFormat="false" ht="15" hidden="false" customHeight="false" outlineLevel="0" collapsed="false">
      <c r="A375" s="7" t="s">
        <v>1456</v>
      </c>
      <c r="B375" s="8" t="n">
        <v>99.825391</v>
      </c>
      <c r="C375" s="9" t="n">
        <f aca="false">IF(AND(ISNUMBER(B375),ISNUMBER(B374),B374&lt;&gt;0),B375/B374-1,"")</f>
        <v>-0.000685777637504548</v>
      </c>
    </row>
    <row r="376" customFormat="false" ht="15" hidden="false" customHeight="false" outlineLevel="0" collapsed="false">
      <c r="A376" s="7" t="s">
        <v>1457</v>
      </c>
      <c r="B376" s="8" t="n">
        <v>99.65627</v>
      </c>
      <c r="C376" s="9" t="n">
        <f aca="false">IF(AND(ISNUMBER(B376),ISNUMBER(B375),B375&lt;&gt;0),B376/B375-1,"")</f>
        <v>-0.00169416817010004</v>
      </c>
    </row>
    <row r="377" customFormat="false" ht="15" hidden="false" customHeight="false" outlineLevel="0" collapsed="false">
      <c r="A377" s="7" t="s">
        <v>1458</v>
      </c>
      <c r="B377" s="8" t="n">
        <v>99.631727</v>
      </c>
      <c r="C377" s="9" t="n">
        <f aca="false">IF(AND(ISNUMBER(B377),ISNUMBER(B376),B376&lt;&gt;0),B377/B376-1,"")</f>
        <v>-0.000246276526303935</v>
      </c>
    </row>
    <row r="378" customFormat="false" ht="15" hidden="false" customHeight="false" outlineLevel="0" collapsed="false">
      <c r="A378" s="7" t="s">
        <v>1459</v>
      </c>
      <c r="B378" s="8" t="n">
        <v>99.523233</v>
      </c>
      <c r="C378" s="9" t="n">
        <f aca="false">IF(AND(ISNUMBER(B378),ISNUMBER(B377),B377&lt;&gt;0),B378/B377-1,"")</f>
        <v>-0.00108895030997502</v>
      </c>
    </row>
    <row r="379" customFormat="false" ht="15" hidden="false" customHeight="false" outlineLevel="0" collapsed="false">
      <c r="A379" s="7" t="s">
        <v>1460</v>
      </c>
      <c r="B379" s="8" t="n">
        <v>99.544582</v>
      </c>
      <c r="C379" s="9" t="n">
        <f aca="false">IF(AND(ISNUMBER(B379),ISNUMBER(B378),B378&lt;&gt;0),B379/B378-1,"")</f>
        <v>0.000214512725887905</v>
      </c>
    </row>
    <row r="380" customFormat="false" ht="15" hidden="false" customHeight="false" outlineLevel="0" collapsed="false">
      <c r="A380" s="7" t="s">
        <v>1461</v>
      </c>
      <c r="B380" s="8" t="n">
        <v>99.555473</v>
      </c>
      <c r="C380" s="9" t="n">
        <f aca="false">IF(AND(ISNUMBER(B380),ISNUMBER(B379),B379&lt;&gt;0),B380/B379-1,"")</f>
        <v>0.000109408264931998</v>
      </c>
    </row>
    <row r="381" customFormat="false" ht="15" hidden="false" customHeight="false" outlineLevel="0" collapsed="false">
      <c r="A381" s="7" t="s">
        <v>1462</v>
      </c>
      <c r="B381" s="8" t="n">
        <v>99.559516</v>
      </c>
      <c r="C381" s="9" t="n">
        <f aca="false">IF(AND(ISNUMBER(B381),ISNUMBER(B380),B380&lt;&gt;0),B381/B380-1,"")</f>
        <v>4.06105247472421E-005</v>
      </c>
    </row>
    <row r="382" customFormat="false" ht="15" hidden="false" customHeight="false" outlineLevel="0" collapsed="false">
      <c r="A382" s="7" t="s">
        <v>1463</v>
      </c>
      <c r="B382" s="8" t="n">
        <v>99.600794</v>
      </c>
      <c r="C382" s="9" t="n">
        <f aca="false">IF(AND(ISNUMBER(B382),ISNUMBER(B381),B381&lt;&gt;0),B382/B381-1,"")</f>
        <v>0.000414606274301121</v>
      </c>
    </row>
    <row r="383" customFormat="false" ht="15" hidden="false" customHeight="false" outlineLevel="0" collapsed="false">
      <c r="A383" s="7" t="s">
        <v>1464</v>
      </c>
      <c r="B383" s="8" t="n">
        <v>99.54764</v>
      </c>
      <c r="C383" s="9" t="n">
        <f aca="false">IF(AND(ISNUMBER(B383),ISNUMBER(B382),B382&lt;&gt;0),B383/B382-1,"")</f>
        <v>-0.000533670444434309</v>
      </c>
    </row>
    <row r="384" customFormat="false" ht="15" hidden="false" customHeight="false" outlineLevel="0" collapsed="false">
      <c r="A384" s="7" t="s">
        <v>1465</v>
      </c>
      <c r="B384" s="8" t="n">
        <v>99.553643</v>
      </c>
      <c r="C384" s="9" t="n">
        <f aca="false">IF(AND(ISNUMBER(B384),ISNUMBER(B383),B383&lt;&gt;0),B384/B383-1,"")</f>
        <v>6.03027856811433E-005</v>
      </c>
    </row>
    <row r="385" customFormat="false" ht="15" hidden="false" customHeight="false" outlineLevel="0" collapsed="false">
      <c r="A385" s="7" t="s">
        <v>1466</v>
      </c>
      <c r="B385" s="8" t="n">
        <v>99.572296</v>
      </c>
      <c r="C385" s="9" t="n">
        <f aca="false">IF(AND(ISNUMBER(B385),ISNUMBER(B384),B384&lt;&gt;0),B385/B384-1,"")</f>
        <v>0.000187366322697002</v>
      </c>
    </row>
    <row r="386" customFormat="false" ht="15" hidden="false" customHeight="false" outlineLevel="0" collapsed="false">
      <c r="A386" s="7" t="s">
        <v>1467</v>
      </c>
      <c r="B386" s="8" t="n">
        <v>99.763057</v>
      </c>
      <c r="C386" s="9" t="n">
        <f aca="false">IF(AND(ISNUMBER(B386),ISNUMBER(B385),B385&lt;&gt;0),B386/B385-1,"")</f>
        <v>0.00191580397021296</v>
      </c>
    </row>
    <row r="387" customFormat="false" ht="15" hidden="false" customHeight="false" outlineLevel="0" collapsed="false">
      <c r="A387" s="7" t="s">
        <v>1468</v>
      </c>
      <c r="B387" s="8" t="n">
        <v>99.698649</v>
      </c>
      <c r="C387" s="9" t="n">
        <f aca="false">IF(AND(ISNUMBER(B387),ISNUMBER(B386),B386&lt;&gt;0),B387/B386-1,"")</f>
        <v>-0.000645609727055629</v>
      </c>
    </row>
    <row r="388" customFormat="false" ht="15" hidden="false" customHeight="false" outlineLevel="0" collapsed="false">
      <c r="A388" s="7" t="s">
        <v>1469</v>
      </c>
      <c r="B388" s="8" t="n">
        <v>99.748509</v>
      </c>
      <c r="C388" s="9" t="n">
        <f aca="false">IF(AND(ISNUMBER(B388),ISNUMBER(B387),B387&lt;&gt;0),B388/B387-1,"")</f>
        <v>0.000500107077679557</v>
      </c>
    </row>
    <row r="389" customFormat="false" ht="15" hidden="false" customHeight="false" outlineLevel="0" collapsed="false">
      <c r="A389" s="7" t="s">
        <v>1470</v>
      </c>
      <c r="B389" s="8" t="n">
        <v>99.740929</v>
      </c>
      <c r="C389" s="9" t="n">
        <f aca="false">IF(AND(ISNUMBER(B389),ISNUMBER(B388),B388&lt;&gt;0),B389/B388-1,"")</f>
        <v>-7.59911108044742E-005</v>
      </c>
    </row>
    <row r="390" customFormat="false" ht="15" hidden="false" customHeight="false" outlineLevel="0" collapsed="false">
      <c r="A390" s="7" t="s">
        <v>1471</v>
      </c>
      <c r="B390" s="8" t="n">
        <v>99.779916</v>
      </c>
      <c r="C390" s="9" t="n">
        <f aca="false">IF(AND(ISNUMBER(B390),ISNUMBER(B389),B389&lt;&gt;0),B390/B389-1,"")</f>
        <v>0.000390882663625636</v>
      </c>
    </row>
    <row r="391" customFormat="false" ht="15" hidden="false" customHeight="false" outlineLevel="0" collapsed="false">
      <c r="A391" s="7" t="s">
        <v>1472</v>
      </c>
      <c r="B391" s="8" t="n">
        <v>99.73619</v>
      </c>
      <c r="C391" s="9" t="n">
        <f aca="false">IF(AND(ISNUMBER(B391),ISNUMBER(B390),B390&lt;&gt;0),B391/B390-1,"")</f>
        <v>-0.000438224461924874</v>
      </c>
    </row>
    <row r="392" customFormat="false" ht="15" hidden="false" customHeight="false" outlineLevel="0" collapsed="false">
      <c r="A392" s="7" t="s">
        <v>1473</v>
      </c>
      <c r="B392" s="8" t="n">
        <v>99.745093</v>
      </c>
      <c r="C392" s="9" t="n">
        <f aca="false">IF(AND(ISNUMBER(B392),ISNUMBER(B391),B391&lt;&gt;0),B392/B391-1,"")</f>
        <v>8.92654912925117E-005</v>
      </c>
    </row>
    <row r="393" customFormat="false" ht="15" hidden="false" customHeight="false" outlineLevel="0" collapsed="false">
      <c r="A393" s="7" t="s">
        <v>1474</v>
      </c>
      <c r="B393" s="8" t="n">
        <v>99.639864</v>
      </c>
      <c r="C393" s="9" t="n">
        <f aca="false">IF(AND(ISNUMBER(B393),ISNUMBER(B392),B392&lt;&gt;0),B393/B392-1,"")</f>
        <v>-0.00105497921586972</v>
      </c>
    </row>
    <row r="394" customFormat="false" ht="15" hidden="false" customHeight="false" outlineLevel="0" collapsed="false">
      <c r="A394" s="7" t="s">
        <v>1475</v>
      </c>
      <c r="B394" s="8" t="n">
        <v>99.67505</v>
      </c>
      <c r="C394" s="9" t="n">
        <f aca="false">IF(AND(ISNUMBER(B394),ISNUMBER(B393),B393&lt;&gt;0),B394/B393-1,"")</f>
        <v>0.00035313175457552</v>
      </c>
    </row>
    <row r="395" customFormat="false" ht="15" hidden="false" customHeight="false" outlineLevel="0" collapsed="false">
      <c r="A395" s="7" t="s">
        <v>1476</v>
      </c>
      <c r="B395" s="8" t="n">
        <v>99.742986</v>
      </c>
      <c r="C395" s="9" t="n">
        <f aca="false">IF(AND(ISNUMBER(B395),ISNUMBER(B394),B394&lt;&gt;0),B395/B394-1,"")</f>
        <v>0.000681574777238625</v>
      </c>
    </row>
    <row r="396" customFormat="false" ht="15" hidden="false" customHeight="false" outlineLevel="0" collapsed="false">
      <c r="A396" s="7" t="s">
        <v>1477</v>
      </c>
      <c r="B396" s="8" t="n">
        <v>99.704381</v>
      </c>
      <c r="C396" s="9" t="n">
        <f aca="false">IF(AND(ISNUMBER(B396),ISNUMBER(B395),B395&lt;&gt;0),B396/B395-1,"")</f>
        <v>-0.00038704475921747</v>
      </c>
    </row>
    <row r="397" customFormat="false" ht="15" hidden="false" customHeight="false" outlineLevel="0" collapsed="false">
      <c r="A397" s="7" t="s">
        <v>1478</v>
      </c>
      <c r="B397" s="8" t="n">
        <v>99.729561</v>
      </c>
      <c r="C397" s="9" t="n">
        <f aca="false">IF(AND(ISNUMBER(B397),ISNUMBER(B396),B396&lt;&gt;0),B397/B396-1,"")</f>
        <v>0.000252546575661539</v>
      </c>
    </row>
    <row r="398" customFormat="false" ht="15" hidden="false" customHeight="false" outlineLevel="0" collapsed="false">
      <c r="A398" s="7" t="s">
        <v>1479</v>
      </c>
      <c r="B398" s="8" t="n">
        <v>99.558635</v>
      </c>
      <c r="C398" s="9" t="n">
        <f aca="false">IF(AND(ISNUMBER(B398),ISNUMBER(B397),B397&lt;&gt;0),B398/B397-1,"")</f>
        <v>-0.00171389504060893</v>
      </c>
    </row>
    <row r="399" customFormat="false" ht="15" hidden="false" customHeight="false" outlineLevel="0" collapsed="false">
      <c r="A399" s="7" t="s">
        <v>1480</v>
      </c>
      <c r="B399" s="8" t="n">
        <v>99.45295</v>
      </c>
      <c r="C399" s="9" t="n">
        <f aca="false">IF(AND(ISNUMBER(B399),ISNUMBER(B398),B398&lt;&gt;0),B399/B398-1,"")</f>
        <v>-0.00106153524503416</v>
      </c>
    </row>
    <row r="400" customFormat="false" ht="15" hidden="false" customHeight="false" outlineLevel="0" collapsed="false">
      <c r="A400" s="7" t="s">
        <v>1481</v>
      </c>
      <c r="B400" s="8" t="n">
        <v>99.381928</v>
      </c>
      <c r="C400" s="9" t="n">
        <f aca="false">IF(AND(ISNUMBER(B400),ISNUMBER(B399),B399&lt;&gt;0),B400/B399-1,"")</f>
        <v>-0.000714126629727918</v>
      </c>
    </row>
    <row r="401" customFormat="false" ht="15" hidden="false" customHeight="false" outlineLevel="0" collapsed="false">
      <c r="A401" s="7" t="s">
        <v>1482</v>
      </c>
      <c r="B401" s="8" t="n">
        <v>99.408073</v>
      </c>
      <c r="C401" s="9" t="n">
        <f aca="false">IF(AND(ISNUMBER(B401),ISNUMBER(B400),B400&lt;&gt;0),B401/B400-1,"")</f>
        <v>0.000263075999089146</v>
      </c>
    </row>
    <row r="402" customFormat="false" ht="15" hidden="false" customHeight="false" outlineLevel="0" collapsed="false">
      <c r="A402" s="7" t="s">
        <v>1483</v>
      </c>
      <c r="B402" s="8" t="n">
        <v>99.396207</v>
      </c>
      <c r="C402" s="9" t="n">
        <f aca="false">IF(AND(ISNUMBER(B402),ISNUMBER(B401),B401&lt;&gt;0),B402/B401-1,"")</f>
        <v>-0.000119366562914891</v>
      </c>
    </row>
    <row r="403" customFormat="false" ht="15" hidden="false" customHeight="false" outlineLevel="0" collapsed="false">
      <c r="A403" s="7" t="s">
        <v>1484</v>
      </c>
      <c r="B403" s="8" t="n">
        <v>99.17678</v>
      </c>
      <c r="C403" s="9" t="n">
        <f aca="false">IF(AND(ISNUMBER(B403),ISNUMBER(B402),B402&lt;&gt;0),B403/B402-1,"")</f>
        <v>-0.00220759933022408</v>
      </c>
    </row>
    <row r="404" customFormat="false" ht="15" hidden="false" customHeight="false" outlineLevel="0" collapsed="false">
      <c r="A404" s="7" t="s">
        <v>1485</v>
      </c>
      <c r="B404" s="8" t="n">
        <v>99.178019</v>
      </c>
      <c r="C404" s="9" t="n">
        <f aca="false">IF(AND(ISNUMBER(B404),ISNUMBER(B403),B403&lt;&gt;0),B404/B403-1,"")</f>
        <v>1.24928435871752E-005</v>
      </c>
    </row>
    <row r="405" customFormat="false" ht="15" hidden="false" customHeight="false" outlineLevel="0" collapsed="false">
      <c r="A405" s="7" t="s">
        <v>1486</v>
      </c>
      <c r="B405" s="8" t="n">
        <v>99.285314</v>
      </c>
      <c r="C405" s="9" t="n">
        <f aca="false">IF(AND(ISNUMBER(B405),ISNUMBER(B404),B404&lt;&gt;0),B405/B404-1,"")</f>
        <v>0.00108184254012977</v>
      </c>
    </row>
    <row r="406" customFormat="false" ht="15" hidden="false" customHeight="false" outlineLevel="0" collapsed="false">
      <c r="A406" s="7" t="s">
        <v>1487</v>
      </c>
      <c r="B406" s="8" t="n">
        <v>99.17598</v>
      </c>
      <c r="C406" s="9" t="n">
        <f aca="false">IF(AND(ISNUMBER(B406),ISNUMBER(B405),B405&lt;&gt;0),B406/B405-1,"")</f>
        <v>-0.0011012101950949</v>
      </c>
    </row>
    <row r="407" customFormat="false" ht="15" hidden="false" customHeight="false" outlineLevel="0" collapsed="false">
      <c r="A407" s="7" t="s">
        <v>1488</v>
      </c>
      <c r="B407" s="8" t="n">
        <v>99.217797</v>
      </c>
      <c r="C407" s="9" t="n">
        <f aca="false">IF(AND(ISNUMBER(B407),ISNUMBER(B406),B406&lt;&gt;0),B407/B406-1,"")</f>
        <v>0.000421644434468904</v>
      </c>
    </row>
    <row r="408" customFormat="false" ht="15" hidden="false" customHeight="false" outlineLevel="0" collapsed="false">
      <c r="A408" s="7" t="s">
        <v>1489</v>
      </c>
      <c r="B408" s="8" t="n">
        <v>99.21885</v>
      </c>
      <c r="C408" s="9" t="n">
        <f aca="false">IF(AND(ISNUMBER(B408),ISNUMBER(B407),B407&lt;&gt;0),B408/B407-1,"")</f>
        <v>1.06130153243456E-005</v>
      </c>
    </row>
    <row r="409" customFormat="false" ht="15" hidden="false" customHeight="false" outlineLevel="0" collapsed="false">
      <c r="A409" s="7" t="s">
        <v>1490</v>
      </c>
      <c r="B409" s="8" t="n">
        <v>99.179231</v>
      </c>
      <c r="C409" s="9" t="n">
        <f aca="false">IF(AND(ISNUMBER(B409),ISNUMBER(B408),B408&lt;&gt;0),B409/B408-1,"")</f>
        <v>-0.000399309203845899</v>
      </c>
    </row>
    <row r="410" customFormat="false" ht="15" hidden="false" customHeight="false" outlineLevel="0" collapsed="false">
      <c r="A410" s="7" t="s">
        <v>1491</v>
      </c>
      <c r="B410" s="8" t="n">
        <v>99.20573</v>
      </c>
      <c r="C410" s="9" t="n">
        <f aca="false">IF(AND(ISNUMBER(B410),ISNUMBER(B409),B409&lt;&gt;0),B410/B409-1,"")</f>
        <v>0.000267182954866829</v>
      </c>
    </row>
    <row r="411" customFormat="false" ht="15" hidden="false" customHeight="false" outlineLevel="0" collapsed="false">
      <c r="A411" s="7" t="s">
        <v>1492</v>
      </c>
      <c r="B411" s="8" t="n">
        <v>99.180271</v>
      </c>
      <c r="C411" s="9" t="n">
        <f aca="false">IF(AND(ISNUMBER(B411),ISNUMBER(B410),B410&lt;&gt;0),B411/B410-1,"")</f>
        <v>-0.000256628321771313</v>
      </c>
    </row>
    <row r="412" customFormat="false" ht="15" hidden="false" customHeight="false" outlineLevel="0" collapsed="false">
      <c r="A412" s="7" t="s">
        <v>1493</v>
      </c>
      <c r="B412" s="8" t="n">
        <v>99.159153</v>
      </c>
      <c r="C412" s="9" t="n">
        <f aca="false">IF(AND(ISNUMBER(B412),ISNUMBER(B411),B411&lt;&gt;0),B412/B411-1,"")</f>
        <v>-0.000212925411345211</v>
      </c>
    </row>
    <row r="413" customFormat="false" ht="15" hidden="false" customHeight="false" outlineLevel="0" collapsed="false">
      <c r="A413" s="7" t="s">
        <v>1494</v>
      </c>
      <c r="B413" s="8" t="n">
        <v>99.204362</v>
      </c>
      <c r="C413" s="9" t="n">
        <f aca="false">IF(AND(ISNUMBER(B413),ISNUMBER(B412),B412&lt;&gt;0),B413/B412-1,"")</f>
        <v>0.000455923620081844</v>
      </c>
    </row>
    <row r="414" customFormat="false" ht="15" hidden="false" customHeight="false" outlineLevel="0" collapsed="false">
      <c r="A414" s="7" t="s">
        <v>1495</v>
      </c>
      <c r="B414" s="8" t="n">
        <v>99.205295</v>
      </c>
      <c r="C414" s="9" t="n">
        <f aca="false">IF(AND(ISNUMBER(B414),ISNUMBER(B413),B413&lt;&gt;0),B414/B413-1,"")</f>
        <v>9.40482838851509E-006</v>
      </c>
    </row>
    <row r="415" customFormat="false" ht="15" hidden="false" customHeight="false" outlineLevel="0" collapsed="false">
      <c r="A415" s="7" t="s">
        <v>1496</v>
      </c>
      <c r="B415" s="8" t="n">
        <v>99.095337</v>
      </c>
      <c r="C415" s="9" t="n">
        <f aca="false">IF(AND(ISNUMBER(B415),ISNUMBER(B414),B414&lt;&gt;0),B415/B414-1,"")</f>
        <v>-0.00110838841817873</v>
      </c>
    </row>
    <row r="416" customFormat="false" ht="15" hidden="false" customHeight="false" outlineLevel="0" collapsed="false">
      <c r="A416" s="7" t="s">
        <v>1497</v>
      </c>
      <c r="B416" s="8" t="n">
        <v>99.045532</v>
      </c>
      <c r="C416" s="9" t="n">
        <f aca="false">IF(AND(ISNUMBER(B416),ISNUMBER(B415),B415&lt;&gt;0),B416/B415-1,"")</f>
        <v>-0.000502596807355427</v>
      </c>
    </row>
    <row r="417" customFormat="false" ht="15" hidden="false" customHeight="false" outlineLevel="0" collapsed="false">
      <c r="A417" s="7" t="s">
        <v>1498</v>
      </c>
      <c r="B417" s="8" t="n">
        <v>98.978799</v>
      </c>
      <c r="C417" s="9" t="n">
        <f aca="false">IF(AND(ISNUMBER(B417),ISNUMBER(B416),B416&lt;&gt;0),B417/B416-1,"")</f>
        <v>-0.000673760831533476</v>
      </c>
    </row>
    <row r="418" customFormat="false" ht="15" hidden="false" customHeight="false" outlineLevel="0" collapsed="false">
      <c r="A418" s="7" t="s">
        <v>1499</v>
      </c>
      <c r="B418" s="8" t="n">
        <v>98.9968</v>
      </c>
      <c r="C418" s="9" t="n">
        <f aca="false">IF(AND(ISNUMBER(B418),ISNUMBER(B417),B417&lt;&gt;0),B418/B417-1,"")</f>
        <v>0.000181867229971155</v>
      </c>
    </row>
    <row r="419" customFormat="false" ht="15" hidden="false" customHeight="false" outlineLevel="0" collapsed="false">
      <c r="A419" s="7" t="s">
        <v>1500</v>
      </c>
      <c r="B419" s="8" t="n">
        <v>99.056714</v>
      </c>
      <c r="C419" s="9" t="n">
        <f aca="false">IF(AND(ISNUMBER(B419),ISNUMBER(B418),B418&lt;&gt;0),B419/B418-1,"")</f>
        <v>0.000605211481583323</v>
      </c>
    </row>
    <row r="420" customFormat="false" ht="15" hidden="false" customHeight="false" outlineLevel="0" collapsed="false">
      <c r="A420" s="7" t="s">
        <v>1501</v>
      </c>
      <c r="B420" s="8" t="n">
        <v>99.233145</v>
      </c>
      <c r="C420" s="9" t="n">
        <f aca="false">IF(AND(ISNUMBER(B420),ISNUMBER(B419),B419&lt;&gt;0),B420/B419-1,"")</f>
        <v>0.00178111097042843</v>
      </c>
    </row>
    <row r="421" customFormat="false" ht="15" hidden="false" customHeight="false" outlineLevel="0" collapsed="false">
      <c r="A421" s="7" t="s">
        <v>1502</v>
      </c>
      <c r="B421" s="8" t="n">
        <v>99.230391</v>
      </c>
      <c r="C421" s="9" t="n">
        <f aca="false">IF(AND(ISNUMBER(B421),ISNUMBER(B420),B420&lt;&gt;0),B421/B420-1,"")</f>
        <v>-2.77528239177594E-005</v>
      </c>
    </row>
    <row r="422" customFormat="false" ht="15" hidden="false" customHeight="false" outlineLevel="0" collapsed="false">
      <c r="A422" s="7" t="s">
        <v>1503</v>
      </c>
      <c r="B422" s="8" t="n">
        <v>99.217682</v>
      </c>
      <c r="C422" s="9" t="n">
        <f aca="false">IF(AND(ISNUMBER(B422),ISNUMBER(B421),B421&lt;&gt;0),B422/B421-1,"")</f>
        <v>-0.000128075681975259</v>
      </c>
    </row>
    <row r="423" customFormat="false" ht="15" hidden="false" customHeight="false" outlineLevel="0" collapsed="false">
      <c r="A423" s="7" t="s">
        <v>1504</v>
      </c>
      <c r="B423" s="8" t="n">
        <v>99.153541</v>
      </c>
      <c r="C423" s="9" t="n">
        <f aca="false">IF(AND(ISNUMBER(B423),ISNUMBER(B422),B422&lt;&gt;0),B423/B422-1,"")</f>
        <v>-0.000646467431077324</v>
      </c>
    </row>
    <row r="424" customFormat="false" ht="15" hidden="false" customHeight="false" outlineLevel="0" collapsed="false">
      <c r="A424" s="7" t="s">
        <v>1505</v>
      </c>
      <c r="B424" s="8" t="n">
        <v>99.039195</v>
      </c>
      <c r="C424" s="9" t="n">
        <f aca="false">IF(AND(ISNUMBER(B424),ISNUMBER(B423),B423&lt;&gt;0),B424/B423-1,"")</f>
        <v>-0.00115322154757935</v>
      </c>
    </row>
    <row r="425" customFormat="false" ht="15" hidden="false" customHeight="false" outlineLevel="0" collapsed="false">
      <c r="A425" s="7" t="s">
        <v>1506</v>
      </c>
      <c r="B425" s="8" t="n">
        <v>99.03687</v>
      </c>
      <c r="C425" s="9" t="n">
        <f aca="false">IF(AND(ISNUMBER(B425),ISNUMBER(B424),B424&lt;&gt;0),B425/B424-1,"")</f>
        <v>-2.34755542996012E-005</v>
      </c>
    </row>
    <row r="426" customFormat="false" ht="15" hidden="false" customHeight="false" outlineLevel="0" collapsed="false">
      <c r="A426" s="7" t="s">
        <v>1507</v>
      </c>
      <c r="B426" s="8" t="n">
        <v>99.032583</v>
      </c>
      <c r="C426" s="9" t="n">
        <f aca="false">IF(AND(ISNUMBER(B426),ISNUMBER(B425),B425&lt;&gt;0),B426/B425-1,"")</f>
        <v>-4.32869092085175E-005</v>
      </c>
    </row>
    <row r="427" customFormat="false" ht="15" hidden="false" customHeight="false" outlineLevel="0" collapsed="false">
      <c r="A427" s="7" t="s">
        <v>1508</v>
      </c>
      <c r="B427" s="8" t="n">
        <v>99.170203</v>
      </c>
      <c r="C427" s="9" t="n">
        <f aca="false">IF(AND(ISNUMBER(B427),ISNUMBER(B426),B426&lt;&gt;0),B427/B426-1,"")</f>
        <v>0.00138964364889893</v>
      </c>
    </row>
    <row r="428" customFormat="false" ht="15" hidden="false" customHeight="false" outlineLevel="0" collapsed="false">
      <c r="A428" s="7" t="s">
        <v>1509</v>
      </c>
      <c r="B428" s="8" t="n">
        <v>99.180996</v>
      </c>
      <c r="C428" s="9" t="n">
        <f aca="false">IF(AND(ISNUMBER(B428),ISNUMBER(B427),B427&lt;&gt;0),B428/B427-1,"")</f>
        <v>0.000108833093746874</v>
      </c>
    </row>
    <row r="429" customFormat="false" ht="15" hidden="false" customHeight="false" outlineLevel="0" collapsed="false">
      <c r="A429" s="7" t="s">
        <v>1510</v>
      </c>
      <c r="B429" s="8" t="n">
        <v>98.937836</v>
      </c>
      <c r="C429" s="9" t="n">
        <f aca="false">IF(AND(ISNUMBER(B429),ISNUMBER(B428),B428&lt;&gt;0),B429/B428-1,"")</f>
        <v>-0.00245167935195967</v>
      </c>
    </row>
    <row r="430" customFormat="false" ht="15" hidden="false" customHeight="false" outlineLevel="0" collapsed="false">
      <c r="A430" s="7" t="s">
        <v>1511</v>
      </c>
      <c r="B430" s="8" t="n">
        <v>98.927158</v>
      </c>
      <c r="C430" s="9" t="n">
        <f aca="false">IF(AND(ISNUMBER(B430),ISNUMBER(B429),B429&lt;&gt;0),B430/B429-1,"")</f>
        <v>-0.000107926354888099</v>
      </c>
    </row>
    <row r="431" customFormat="false" ht="15" hidden="false" customHeight="false" outlineLevel="0" collapsed="false">
      <c r="A431" s="7" t="s">
        <v>1512</v>
      </c>
      <c r="B431" s="8" t="n">
        <v>98.972534</v>
      </c>
      <c r="C431" s="9" t="n">
        <f aca="false">IF(AND(ISNUMBER(B431),ISNUMBER(B430),B430&lt;&gt;0),B431/B430-1,"")</f>
        <v>0.00045868092157253</v>
      </c>
    </row>
    <row r="432" customFormat="false" ht="15" hidden="false" customHeight="false" outlineLevel="0" collapsed="false">
      <c r="A432" s="7" t="s">
        <v>1513</v>
      </c>
      <c r="B432" s="8" t="n">
        <v>98.946951</v>
      </c>
      <c r="C432" s="9" t="n">
        <f aca="false">IF(AND(ISNUMBER(B432),ISNUMBER(B431),B431&lt;&gt;0),B432/B431-1,"")</f>
        <v>-0.000258485854267354</v>
      </c>
    </row>
    <row r="433" customFormat="false" ht="15" hidden="false" customHeight="false" outlineLevel="0" collapsed="false">
      <c r="A433" s="7" t="s">
        <v>1514</v>
      </c>
      <c r="B433" s="8" t="n">
        <v>98.976284</v>
      </c>
      <c r="C433" s="9" t="n">
        <f aca="false">IF(AND(ISNUMBER(B433),ISNUMBER(B432),B432&lt;&gt;0),B433/B432-1,"")</f>
        <v>0.000296451782531459</v>
      </c>
    </row>
    <row r="434" customFormat="false" ht="15" hidden="false" customHeight="false" outlineLevel="0" collapsed="false">
      <c r="A434" s="7" t="s">
        <v>1515</v>
      </c>
      <c r="B434" s="8" t="n">
        <v>98.538498</v>
      </c>
      <c r="C434" s="9" t="n">
        <f aca="false">IF(AND(ISNUMBER(B434),ISNUMBER(B433),B433&lt;&gt;0),B434/B433-1,"")</f>
        <v>-0.00442314039593572</v>
      </c>
    </row>
    <row r="435" customFormat="false" ht="15" hidden="false" customHeight="false" outlineLevel="0" collapsed="false">
      <c r="A435" s="7" t="s">
        <v>1516</v>
      </c>
      <c r="B435" s="8" t="n">
        <v>98.386709</v>
      </c>
      <c r="C435" s="9" t="n">
        <f aca="false">IF(AND(ISNUMBER(B435),ISNUMBER(B434),B434&lt;&gt;0),B435/B434-1,"")</f>
        <v>-0.00154040302095948</v>
      </c>
    </row>
    <row r="436" customFormat="false" ht="15" hidden="false" customHeight="false" outlineLevel="0" collapsed="false">
      <c r="A436" s="7" t="s">
        <v>1517</v>
      </c>
      <c r="B436" s="8" t="n">
        <v>98.387285</v>
      </c>
      <c r="C436" s="9" t="n">
        <f aca="false">IF(AND(ISNUMBER(B436),ISNUMBER(B435),B435&lt;&gt;0),B436/B435-1,"")</f>
        <v>5.8544493037882E-006</v>
      </c>
    </row>
    <row r="437" customFormat="false" ht="15" hidden="false" customHeight="false" outlineLevel="0" collapsed="false">
      <c r="A437" s="7" t="s">
        <v>1518</v>
      </c>
      <c r="B437" s="8" t="n">
        <v>98.41346</v>
      </c>
      <c r="C437" s="9" t="n">
        <f aca="false">IF(AND(ISNUMBER(B437),ISNUMBER(B436),B436&lt;&gt;0),B437/B436-1,"")</f>
        <v>0.000266040474640628</v>
      </c>
    </row>
    <row r="438" customFormat="false" ht="15" hidden="false" customHeight="false" outlineLevel="0" collapsed="false">
      <c r="A438" s="7" t="s">
        <v>1519</v>
      </c>
      <c r="B438" s="8" t="n">
        <v>98.516375</v>
      </c>
      <c r="C438" s="9" t="n">
        <f aca="false">IF(AND(ISNUMBER(B438),ISNUMBER(B437),B437&lt;&gt;0),B438/B437-1,"")</f>
        <v>0.00104574110086153</v>
      </c>
    </row>
    <row r="439" customFormat="false" ht="15" hidden="false" customHeight="false" outlineLevel="0" collapsed="false">
      <c r="A439" s="7" t="s">
        <v>1520</v>
      </c>
      <c r="B439" s="8" t="n">
        <v>98.535413</v>
      </c>
      <c r="C439" s="9" t="n">
        <f aca="false">IF(AND(ISNUMBER(B439),ISNUMBER(B438),B438&lt;&gt;0),B439/B438-1,"")</f>
        <v>0.000193247061719637</v>
      </c>
    </row>
    <row r="440" customFormat="false" ht="15" hidden="false" customHeight="false" outlineLevel="0" collapsed="false">
      <c r="A440" s="7" t="s">
        <v>1521</v>
      </c>
      <c r="B440" s="8" t="n">
        <v>98.517371</v>
      </c>
      <c r="C440" s="9" t="n">
        <f aca="false">IF(AND(ISNUMBER(B440),ISNUMBER(B439),B439&lt;&gt;0),B440/B439-1,"")</f>
        <v>-0.000183101683452702</v>
      </c>
    </row>
    <row r="441" customFormat="false" ht="15" hidden="false" customHeight="false" outlineLevel="0" collapsed="false">
      <c r="A441" s="7" t="s">
        <v>1522</v>
      </c>
      <c r="B441" s="8" t="n">
        <v>98.773284</v>
      </c>
      <c r="C441" s="9" t="n">
        <f aca="false">IF(AND(ISNUMBER(B441),ISNUMBER(B440),B440&lt;&gt;0),B441/B440-1,"")</f>
        <v>0.00259764341458113</v>
      </c>
    </row>
    <row r="442" customFormat="false" ht="15" hidden="false" customHeight="false" outlineLevel="0" collapsed="false">
      <c r="A442" s="7" t="s">
        <v>1523</v>
      </c>
      <c r="B442" s="8" t="n">
        <v>98.746974</v>
      </c>
      <c r="C442" s="9" t="n">
        <f aca="false">IF(AND(ISNUMBER(B442),ISNUMBER(B441),B441&lt;&gt;0),B442/B441-1,"")</f>
        <v>-0.000266367573644843</v>
      </c>
    </row>
    <row r="443" customFormat="false" ht="15" hidden="false" customHeight="false" outlineLevel="0" collapsed="false">
      <c r="A443" s="7" t="s">
        <v>1524</v>
      </c>
      <c r="B443" s="8" t="n">
        <v>98.516611</v>
      </c>
      <c r="C443" s="9" t="n">
        <f aca="false">IF(AND(ISNUMBER(B443),ISNUMBER(B442),B442&lt;&gt;0),B443/B442-1,"")</f>
        <v>-0.00233286135937694</v>
      </c>
    </row>
    <row r="444" customFormat="false" ht="15" hidden="false" customHeight="false" outlineLevel="0" collapsed="false">
      <c r="A444" s="7" t="s">
        <v>1525</v>
      </c>
      <c r="B444" s="8" t="n">
        <v>98.500235</v>
      </c>
      <c r="C444" s="9" t="n">
        <f aca="false">IF(AND(ISNUMBER(B444),ISNUMBER(B443),B443&lt;&gt;0),B444/B443-1,"")</f>
        <v>-0.000166225774859363</v>
      </c>
    </row>
    <row r="445" customFormat="false" ht="15" hidden="false" customHeight="false" outlineLevel="0" collapsed="false">
      <c r="A445" s="7" t="s">
        <v>1526</v>
      </c>
      <c r="B445" s="8" t="n">
        <v>98.577246</v>
      </c>
      <c r="C445" s="9" t="n">
        <f aca="false">IF(AND(ISNUMBER(B445),ISNUMBER(B444),B444&lt;&gt;0),B445/B444-1,"")</f>
        <v>0.000781835698158373</v>
      </c>
    </row>
    <row r="446" customFormat="false" ht="15" hidden="false" customHeight="false" outlineLevel="0" collapsed="false">
      <c r="A446" s="7" t="s">
        <v>1527</v>
      </c>
      <c r="B446" s="8" t="n">
        <v>98.588285</v>
      </c>
      <c r="C446" s="9" t="n">
        <f aca="false">IF(AND(ISNUMBER(B446),ISNUMBER(B445),B445&lt;&gt;0),B446/B445-1,"")</f>
        <v>0.00011198324611339</v>
      </c>
    </row>
    <row r="447" customFormat="false" ht="15" hidden="false" customHeight="false" outlineLevel="0" collapsed="false">
      <c r="A447" s="7" t="s">
        <v>1528</v>
      </c>
      <c r="B447" s="8" t="n">
        <v>98.616623</v>
      </c>
      <c r="C447" s="9" t="n">
        <f aca="false">IF(AND(ISNUMBER(B447),ISNUMBER(B446),B446&lt;&gt;0),B447/B446-1,"")</f>
        <v>0.000287437802574564</v>
      </c>
    </row>
    <row r="448" customFormat="false" ht="15" hidden="false" customHeight="false" outlineLevel="0" collapsed="false">
      <c r="A448" s="7" t="s">
        <v>1529</v>
      </c>
      <c r="B448" s="8" t="n">
        <v>98.628995</v>
      </c>
      <c r="C448" s="9" t="n">
        <f aca="false">IF(AND(ISNUMBER(B448),ISNUMBER(B447),B447&lt;&gt;0),B448/B447-1,"")</f>
        <v>0.000125455522848261</v>
      </c>
    </row>
    <row r="449" customFormat="false" ht="15" hidden="false" customHeight="false" outlineLevel="0" collapsed="false">
      <c r="A449" s="7" t="s">
        <v>1530</v>
      </c>
      <c r="B449" s="8" t="n">
        <v>98.646204</v>
      </c>
      <c r="C449" s="9" t="n">
        <f aca="false">IF(AND(ISNUMBER(B449),ISNUMBER(B448),B448&lt;&gt;0),B449/B448-1,"")</f>
        <v>0.000174482159125633</v>
      </c>
    </row>
    <row r="450" customFormat="false" ht="15" hidden="false" customHeight="false" outlineLevel="0" collapsed="false">
      <c r="A450" s="7" t="s">
        <v>1531</v>
      </c>
      <c r="B450" s="8" t="n">
        <v>98.651986</v>
      </c>
      <c r="C450" s="9" t="n">
        <f aca="false">IF(AND(ISNUMBER(B450),ISNUMBER(B449),B449&lt;&gt;0),B450/B449-1,"")</f>
        <v>5.86135073175065E-005</v>
      </c>
    </row>
    <row r="451" customFormat="false" ht="15" hidden="false" customHeight="false" outlineLevel="0" collapsed="false">
      <c r="A451" s="7" t="s">
        <v>1532</v>
      </c>
      <c r="B451" s="8" t="n">
        <v>98.56699</v>
      </c>
      <c r="C451" s="9" t="n">
        <f aca="false">IF(AND(ISNUMBER(B451),ISNUMBER(B450),B450&lt;&gt;0),B451/B450-1,"")</f>
        <v>-0.000861574140027854</v>
      </c>
    </row>
    <row r="452" customFormat="false" ht="15" hidden="false" customHeight="false" outlineLevel="0" collapsed="false">
      <c r="A452" s="7" t="s">
        <v>1533</v>
      </c>
      <c r="B452" s="8" t="n">
        <v>98.676352</v>
      </c>
      <c r="C452" s="9" t="n">
        <f aca="false">IF(AND(ISNUMBER(B452),ISNUMBER(B451),B451&lt;&gt;0),B452/B451-1,"")</f>
        <v>0.001109519525756</v>
      </c>
    </row>
    <row r="453" customFormat="false" ht="15" hidden="false" customHeight="false" outlineLevel="0" collapsed="false">
      <c r="A453" s="7" t="s">
        <v>1534</v>
      </c>
      <c r="B453" s="8" t="n">
        <v>98.694133</v>
      </c>
      <c r="C453" s="9" t="n">
        <f aca="false">IF(AND(ISNUMBER(B453),ISNUMBER(B452),B452&lt;&gt;0),B453/B452-1,"")</f>
        <v>0.000180195149492413</v>
      </c>
    </row>
    <row r="454" customFormat="false" ht="15" hidden="false" customHeight="false" outlineLevel="0" collapsed="false">
      <c r="A454" s="7" t="s">
        <v>1535</v>
      </c>
      <c r="B454" s="8" t="n">
        <v>98.696385</v>
      </c>
      <c r="C454" s="9" t="n">
        <f aca="false">IF(AND(ISNUMBER(B454),ISNUMBER(B453),B453&lt;&gt;0),B454/B453-1,"")</f>
        <v>2.28179723713584E-005</v>
      </c>
    </row>
    <row r="455" customFormat="false" ht="15" hidden="false" customHeight="false" outlineLevel="0" collapsed="false">
      <c r="A455" s="7" t="s">
        <v>1536</v>
      </c>
      <c r="B455" s="8" t="n">
        <v>98.746184</v>
      </c>
      <c r="C455" s="9" t="n">
        <f aca="false">IF(AND(ISNUMBER(B455),ISNUMBER(B454),B454&lt;&gt;0),B455/B454-1,"")</f>
        <v>0.000504567619168617</v>
      </c>
    </row>
    <row r="456" customFormat="false" ht="15" hidden="false" customHeight="false" outlineLevel="0" collapsed="false">
      <c r="A456" s="7" t="s">
        <v>1537</v>
      </c>
      <c r="B456" s="8" t="n">
        <v>98.688488</v>
      </c>
      <c r="C456" s="9" t="n">
        <f aca="false">IF(AND(ISNUMBER(B456),ISNUMBER(B455),B455&lt;&gt;0),B456/B455-1,"")</f>
        <v>-0.000584285869720258</v>
      </c>
    </row>
    <row r="457" customFormat="false" ht="15" hidden="false" customHeight="false" outlineLevel="0" collapsed="false">
      <c r="A457" s="7" t="s">
        <v>1538</v>
      </c>
      <c r="B457" s="8" t="n">
        <v>98.781405</v>
      </c>
      <c r="C457" s="9" t="n">
        <f aca="false">IF(AND(ISNUMBER(B457),ISNUMBER(B456),B456&lt;&gt;0),B457/B456-1,"")</f>
        <v>0.000941518123167562</v>
      </c>
    </row>
    <row r="458" customFormat="false" ht="15" hidden="false" customHeight="false" outlineLevel="0" collapsed="false">
      <c r="A458" s="7" t="s">
        <v>1539</v>
      </c>
      <c r="B458" s="8" t="n">
        <v>98.755148</v>
      </c>
      <c r="C458" s="9" t="n">
        <f aca="false">IF(AND(ISNUMBER(B458),ISNUMBER(B457),B457&lt;&gt;0),B458/B457-1,"")</f>
        <v>-0.000265809136851258</v>
      </c>
    </row>
    <row r="459" customFormat="false" ht="15" hidden="false" customHeight="false" outlineLevel="0" collapsed="false">
      <c r="A459" s="7" t="s">
        <v>1540</v>
      </c>
      <c r="B459" s="8" t="n">
        <v>98.788791</v>
      </c>
      <c r="C459" s="9" t="n">
        <f aca="false">IF(AND(ISNUMBER(B459),ISNUMBER(B458),B458&lt;&gt;0),B459/B458-1,"")</f>
        <v>0.000340670847863045</v>
      </c>
    </row>
    <row r="460" customFormat="false" ht="15" hidden="false" customHeight="false" outlineLevel="0" collapsed="false">
      <c r="A460" s="7" t="s">
        <v>1541</v>
      </c>
      <c r="B460" s="8" t="n">
        <v>98.815078</v>
      </c>
      <c r="C460" s="9" t="n">
        <f aca="false">IF(AND(ISNUMBER(B460),ISNUMBER(B459),B459&lt;&gt;0),B460/B459-1,"")</f>
        <v>0.000266092941657581</v>
      </c>
    </row>
    <row r="461" customFormat="false" ht="15" hidden="false" customHeight="false" outlineLevel="0" collapsed="false">
      <c r="A461" s="7" t="s">
        <v>1542</v>
      </c>
      <c r="B461" s="8" t="n">
        <v>98.823824</v>
      </c>
      <c r="C461" s="9" t="n">
        <f aca="false">IF(AND(ISNUMBER(B461),ISNUMBER(B460),B460&lt;&gt;0),B461/B460-1,"")</f>
        <v>8.85087597664036E-005</v>
      </c>
    </row>
    <row r="462" customFormat="false" ht="15" hidden="false" customHeight="false" outlineLevel="0" collapsed="false">
      <c r="A462" s="7" t="s">
        <v>1543</v>
      </c>
      <c r="B462" s="8" t="n">
        <v>98.949377</v>
      </c>
      <c r="C462" s="9" t="n">
        <f aca="false">IF(AND(ISNUMBER(B462),ISNUMBER(B461),B461&lt;&gt;0),B462/B461-1,"")</f>
        <v>0.0012704729984947</v>
      </c>
    </row>
    <row r="463" customFormat="false" ht="15" hidden="false" customHeight="false" outlineLevel="0" collapsed="false">
      <c r="A463" s="7" t="s">
        <v>1544</v>
      </c>
      <c r="B463" s="8" t="n">
        <v>99.046315</v>
      </c>
      <c r="C463" s="9" t="n">
        <f aca="false">IF(AND(ISNUMBER(B463),ISNUMBER(B462),B462&lt;&gt;0),B463/B462-1,"")</f>
        <v>0.000979672666357567</v>
      </c>
    </row>
    <row r="464" customFormat="false" ht="15" hidden="false" customHeight="false" outlineLevel="0" collapsed="false">
      <c r="A464" s="7" t="s">
        <v>1545</v>
      </c>
      <c r="B464" s="8" t="n">
        <v>99.004198</v>
      </c>
      <c r="C464" s="9" t="n">
        <f aca="false">IF(AND(ISNUMBER(B464),ISNUMBER(B463),B463&lt;&gt;0),B464/B463-1,"")</f>
        <v>-0.000425225309997668</v>
      </c>
    </row>
    <row r="465" customFormat="false" ht="15" hidden="false" customHeight="false" outlineLevel="0" collapsed="false">
      <c r="A465" s="7" t="s">
        <v>1546</v>
      </c>
      <c r="B465" s="8" t="n">
        <v>98.921056</v>
      </c>
      <c r="C465" s="9" t="n">
        <f aca="false">IF(AND(ISNUMBER(B465),ISNUMBER(B464),B464&lt;&gt;0),B465/B464-1,"")</f>
        <v>-0.000839782571644188</v>
      </c>
    </row>
    <row r="466" customFormat="false" ht="15" hidden="false" customHeight="false" outlineLevel="0" collapsed="false">
      <c r="A466" s="7" t="s">
        <v>1547</v>
      </c>
      <c r="B466" s="8" t="n">
        <v>99.048619</v>
      </c>
      <c r="C466" s="9" t="n">
        <f aca="false">IF(AND(ISNUMBER(B466),ISNUMBER(B465),B465&lt;&gt;0),B466/B465-1,"")</f>
        <v>0.00128954345169952</v>
      </c>
    </row>
    <row r="467" customFormat="false" ht="15" hidden="false" customHeight="false" outlineLevel="0" collapsed="false">
      <c r="A467" s="7" t="s">
        <v>1548</v>
      </c>
      <c r="B467" s="8" t="n">
        <v>99.097561</v>
      </c>
      <c r="C467" s="9" t="n">
        <f aca="false">IF(AND(ISNUMBER(B467),ISNUMBER(B466),B466&lt;&gt;0),B467/B466-1,"")</f>
        <v>0.000494120973054679</v>
      </c>
    </row>
    <row r="468" customFormat="false" ht="15" hidden="false" customHeight="false" outlineLevel="0" collapsed="false">
      <c r="A468" s="7" t="s">
        <v>1549</v>
      </c>
      <c r="B468" s="8" t="n">
        <v>99.090888</v>
      </c>
      <c r="C468" s="9" t="n">
        <f aca="false">IF(AND(ISNUMBER(B468),ISNUMBER(B467),B467&lt;&gt;0),B468/B467-1,"")</f>
        <v>-6.73376814994686E-005</v>
      </c>
    </row>
    <row r="469" customFormat="false" ht="15" hidden="false" customHeight="false" outlineLevel="0" collapsed="false">
      <c r="A469" s="7" t="s">
        <v>1550</v>
      </c>
      <c r="B469" s="8" t="n">
        <v>98.956767</v>
      </c>
      <c r="C469" s="9" t="n">
        <f aca="false">IF(AND(ISNUMBER(B469),ISNUMBER(B468),B468&lt;&gt;0),B469/B468-1,"")</f>
        <v>-0.00135351496698677</v>
      </c>
    </row>
    <row r="470" customFormat="false" ht="15" hidden="false" customHeight="false" outlineLevel="0" collapsed="false">
      <c r="A470" s="7" t="s">
        <v>1551</v>
      </c>
      <c r="B470" s="8" t="n">
        <v>98.841054</v>
      </c>
      <c r="C470" s="9" t="n">
        <f aca="false">IF(AND(ISNUMBER(B470),ISNUMBER(B469),B469&lt;&gt;0),B470/B469-1,"")</f>
        <v>-0.00116932882417231</v>
      </c>
    </row>
    <row r="471" customFormat="false" ht="15" hidden="false" customHeight="false" outlineLevel="0" collapsed="false">
      <c r="A471" s="7" t="s">
        <v>1552</v>
      </c>
      <c r="B471" s="8" t="n">
        <v>98.918177</v>
      </c>
      <c r="C471" s="9" t="n">
        <f aca="false">IF(AND(ISNUMBER(B471),ISNUMBER(B470),B470&lt;&gt;0),B471/B470-1,"")</f>
        <v>0.000780272942050964</v>
      </c>
    </row>
    <row r="472" customFormat="false" ht="15" hidden="false" customHeight="false" outlineLevel="0" collapsed="false">
      <c r="A472" s="7" t="s">
        <v>1553</v>
      </c>
      <c r="B472" s="8" t="n">
        <v>99.057651</v>
      </c>
      <c r="C472" s="9" t="n">
        <f aca="false">IF(AND(ISNUMBER(B472),ISNUMBER(B471),B471&lt;&gt;0),B472/B471-1,"")</f>
        <v>0.0014099936354468</v>
      </c>
    </row>
    <row r="473" customFormat="false" ht="15" hidden="false" customHeight="false" outlineLevel="0" collapsed="false">
      <c r="A473" s="7" t="s">
        <v>1554</v>
      </c>
      <c r="B473" s="8" t="n">
        <v>98.941401</v>
      </c>
      <c r="C473" s="9" t="n">
        <f aca="false">IF(AND(ISNUMBER(B473),ISNUMBER(B472),B472&lt;&gt;0),B473/B472-1,"")</f>
        <v>-0.00117355902170557</v>
      </c>
    </row>
    <row r="474" customFormat="false" ht="15" hidden="false" customHeight="false" outlineLevel="0" collapsed="false">
      <c r="A474" s="7" t="s">
        <v>1555</v>
      </c>
      <c r="B474" s="8" t="n">
        <v>98.924196</v>
      </c>
      <c r="C474" s="9" t="n">
        <f aca="false">IF(AND(ISNUMBER(B474),ISNUMBER(B473),B473&lt;&gt;0),B474/B473-1,"")</f>
        <v>-0.000173890806337007</v>
      </c>
    </row>
    <row r="475" customFormat="false" ht="15" hidden="false" customHeight="false" outlineLevel="0" collapsed="false">
      <c r="A475" s="7" t="s">
        <v>1556</v>
      </c>
      <c r="B475" s="8" t="n">
        <v>98.904</v>
      </c>
      <c r="C475" s="9" t="n">
        <f aca="false">IF(AND(ISNUMBER(B475),ISNUMBER(B474),B474&lt;&gt;0),B475/B474-1,"")</f>
        <v>-0.00020415632187698</v>
      </c>
    </row>
    <row r="476" customFormat="false" ht="15" hidden="false" customHeight="false" outlineLevel="0" collapsed="false">
      <c r="A476" s="7" t="s">
        <v>1557</v>
      </c>
      <c r="B476" s="8" t="n">
        <v>98.829171</v>
      </c>
      <c r="C476" s="9" t="n">
        <f aca="false">IF(AND(ISNUMBER(B476),ISNUMBER(B475),B475&lt;&gt;0),B476/B475-1,"")</f>
        <v>-0.0007565821402572</v>
      </c>
    </row>
    <row r="477" customFormat="false" ht="15" hidden="false" customHeight="false" outlineLevel="0" collapsed="false">
      <c r="A477" s="7" t="s">
        <v>1558</v>
      </c>
      <c r="B477" s="8" t="n">
        <v>98.852431</v>
      </c>
      <c r="C477" s="9" t="n">
        <f aca="false">IF(AND(ISNUMBER(B477),ISNUMBER(B476),B476&lt;&gt;0),B477/B476-1,"")</f>
        <v>0.000235355611755583</v>
      </c>
    </row>
    <row r="478" customFormat="false" ht="15" hidden="false" customHeight="false" outlineLevel="0" collapsed="false">
      <c r="A478" s="7" t="s">
        <v>1559</v>
      </c>
      <c r="B478" s="8" t="n">
        <v>98.793696</v>
      </c>
      <c r="C478" s="9" t="n">
        <f aca="false">IF(AND(ISNUMBER(B478),ISNUMBER(B477),B477&lt;&gt;0),B478/B477-1,"")</f>
        <v>-0.000594168493438407</v>
      </c>
    </row>
    <row r="479" customFormat="false" ht="15" hidden="false" customHeight="false" outlineLevel="0" collapsed="false">
      <c r="A479" s="7" t="s">
        <v>1560</v>
      </c>
      <c r="B479" s="8" t="n">
        <v>98.517034</v>
      </c>
      <c r="C479" s="9" t="n">
        <f aca="false">IF(AND(ISNUMBER(B479),ISNUMBER(B478),B478&lt;&gt;0),B479/B478-1,"")</f>
        <v>-0.00280040135354387</v>
      </c>
    </row>
    <row r="480" customFormat="false" ht="15" hidden="false" customHeight="false" outlineLevel="0" collapsed="false">
      <c r="A480" s="7" t="s">
        <v>1561</v>
      </c>
      <c r="B480" s="8" t="n">
        <v>98.651597</v>
      </c>
      <c r="C480" s="9" t="n">
        <f aca="false">IF(AND(ISNUMBER(B480),ISNUMBER(B479),B479&lt;&gt;0),B480/B479-1,"")</f>
        <v>0.00136588561933371</v>
      </c>
    </row>
    <row r="481" customFormat="false" ht="15" hidden="false" customHeight="false" outlineLevel="0" collapsed="false">
      <c r="A481" s="7" t="s">
        <v>1562</v>
      </c>
      <c r="B481" s="8" t="n">
        <v>98.698978</v>
      </c>
      <c r="C481" s="9" t="n">
        <f aca="false">IF(AND(ISNUMBER(B481),ISNUMBER(B480),B480&lt;&gt;0),B481/B480-1,"")</f>
        <v>0.000480286193440982</v>
      </c>
    </row>
    <row r="482" customFormat="false" ht="15" hidden="false" customHeight="false" outlineLevel="0" collapsed="false">
      <c r="A482" s="7" t="s">
        <v>1563</v>
      </c>
      <c r="B482" s="8" t="n">
        <v>98.671035</v>
      </c>
      <c r="C482" s="9" t="n">
        <f aca="false">IF(AND(ISNUMBER(B482),ISNUMBER(B481),B481&lt;&gt;0),B482/B481-1,"")</f>
        <v>-0.000283113367192001</v>
      </c>
    </row>
    <row r="483" customFormat="false" ht="15" hidden="false" customHeight="false" outlineLevel="0" collapsed="false">
      <c r="A483" s="7" t="s">
        <v>1564</v>
      </c>
      <c r="B483" s="8" t="n">
        <v>98.86082</v>
      </c>
      <c r="C483" s="9" t="n">
        <f aca="false">IF(AND(ISNUMBER(B483),ISNUMBER(B482),B482&lt;&gt;0),B483/B482-1,"")</f>
        <v>0.00192341146517827</v>
      </c>
    </row>
    <row r="484" customFormat="false" ht="15" hidden="false" customHeight="false" outlineLevel="0" collapsed="false">
      <c r="A484" s="7" t="s">
        <v>1565</v>
      </c>
      <c r="B484" s="8" t="n">
        <v>99.178216</v>
      </c>
      <c r="C484" s="9" t="n">
        <f aca="false">IF(AND(ISNUMBER(B484),ISNUMBER(B483),B483&lt;&gt;0),B484/B483-1,"")</f>
        <v>0.0032105337584698</v>
      </c>
    </row>
    <row r="485" customFormat="false" ht="15" hidden="false" customHeight="false" outlineLevel="0" collapsed="false">
      <c r="A485" s="7" t="s">
        <v>1566</v>
      </c>
      <c r="B485" s="8" t="n">
        <v>99.112641</v>
      </c>
      <c r="C485" s="9" t="n">
        <f aca="false">IF(AND(ISNUMBER(B485),ISNUMBER(B484),B484&lt;&gt;0),B485/B484-1,"")</f>
        <v>-0.00066118350021549</v>
      </c>
    </row>
    <row r="486" customFormat="false" ht="15" hidden="false" customHeight="false" outlineLevel="0" collapsed="false">
      <c r="A486" s="7" t="s">
        <v>1567</v>
      </c>
      <c r="B486" s="8" t="n">
        <v>99.001534</v>
      </c>
      <c r="C486" s="9" t="n">
        <f aca="false">IF(AND(ISNUMBER(B486),ISNUMBER(B485),B485&lt;&gt;0),B486/B485-1,"")</f>
        <v>-0.00112101744922721</v>
      </c>
    </row>
    <row r="487" customFormat="false" ht="15" hidden="false" customHeight="false" outlineLevel="0" collapsed="false">
      <c r="A487" s="7" t="s">
        <v>1568</v>
      </c>
      <c r="B487" s="8" t="n">
        <v>99.072826</v>
      </c>
      <c r="C487" s="9" t="n">
        <f aca="false">IF(AND(ISNUMBER(B487),ISNUMBER(B486),B486&lt;&gt;0),B487/B486-1,"")</f>
        <v>0.00072011005405237</v>
      </c>
    </row>
    <row r="488" customFormat="false" ht="15" hidden="false" customHeight="false" outlineLevel="0" collapsed="false">
      <c r="A488" s="7" t="s">
        <v>1569</v>
      </c>
      <c r="B488" s="8" t="n">
        <v>99.13854</v>
      </c>
      <c r="C488" s="9" t="n">
        <f aca="false">IF(AND(ISNUMBER(B488),ISNUMBER(B487),B487&lt;&gt;0),B488/B487-1,"")</f>
        <v>0.000663289851043469</v>
      </c>
    </row>
    <row r="489" customFormat="false" ht="15" hidden="false" customHeight="false" outlineLevel="0" collapsed="false">
      <c r="A489" s="7" t="s">
        <v>1570</v>
      </c>
      <c r="B489" s="8" t="n">
        <v>99.161357</v>
      </c>
      <c r="C489" s="9" t="n">
        <f aca="false">IF(AND(ISNUMBER(B489),ISNUMBER(B488),B488&lt;&gt;0),B489/B488-1,"")</f>
        <v>0.000230152673218687</v>
      </c>
    </row>
    <row r="490" customFormat="false" ht="15" hidden="false" customHeight="false" outlineLevel="0" collapsed="false">
      <c r="A490" s="7" t="s">
        <v>1571</v>
      </c>
      <c r="B490" s="8" t="n">
        <v>99.138903</v>
      </c>
      <c r="C490" s="9" t="n">
        <f aca="false">IF(AND(ISNUMBER(B490),ISNUMBER(B489),B489&lt;&gt;0),B490/B489-1,"")</f>
        <v>-0.000226439014948121</v>
      </c>
    </row>
    <row r="491" customFormat="false" ht="15" hidden="false" customHeight="false" outlineLevel="0" collapsed="false">
      <c r="A491" s="7" t="s">
        <v>1572</v>
      </c>
      <c r="B491" s="8" t="n">
        <v>99.094853</v>
      </c>
      <c r="C491" s="9" t="n">
        <f aca="false">IF(AND(ISNUMBER(B491),ISNUMBER(B490),B490&lt;&gt;0),B491/B490-1,"")</f>
        <v>-0.000444326078532398</v>
      </c>
    </row>
    <row r="492" customFormat="false" ht="15" hidden="false" customHeight="false" outlineLevel="0" collapsed="false">
      <c r="A492" s="7" t="s">
        <v>1573</v>
      </c>
      <c r="B492" s="8" t="n">
        <v>99.026488</v>
      </c>
      <c r="C492" s="9" t="n">
        <f aca="false">IF(AND(ISNUMBER(B492),ISNUMBER(B491),B491&lt;&gt;0),B492/B491-1,"")</f>
        <v>-0.000689894559912196</v>
      </c>
    </row>
    <row r="493" customFormat="false" ht="15" hidden="false" customHeight="false" outlineLevel="0" collapsed="false">
      <c r="A493" s="7" t="s">
        <v>1574</v>
      </c>
      <c r="B493" s="8" t="n">
        <v>99.117949</v>
      </c>
      <c r="C493" s="9" t="n">
        <f aca="false">IF(AND(ISNUMBER(B493),ISNUMBER(B492),B492&lt;&gt;0),B493/B492-1,"")</f>
        <v>0.000923601370170779</v>
      </c>
    </row>
    <row r="494" customFormat="false" ht="15" hidden="false" customHeight="false" outlineLevel="0" collapsed="false">
      <c r="A494" s="7" t="s">
        <v>1575</v>
      </c>
      <c r="B494" s="8" t="n">
        <v>98.847562</v>
      </c>
      <c r="C494" s="9" t="n">
        <f aca="false">IF(AND(ISNUMBER(B494),ISNUMBER(B493),B493&lt;&gt;0),B494/B493-1,"")</f>
        <v>-0.00272793174927377</v>
      </c>
    </row>
    <row r="495" customFormat="false" ht="15" hidden="false" customHeight="false" outlineLevel="0" collapsed="false">
      <c r="A495" s="7" t="s">
        <v>1576</v>
      </c>
      <c r="B495" s="8" t="n">
        <v>98.826922</v>
      </c>
      <c r="C495" s="9" t="n">
        <f aca="false">IF(AND(ISNUMBER(B495),ISNUMBER(B494),B494&lt;&gt;0),B495/B494-1,"")</f>
        <v>-0.000208806363883762</v>
      </c>
    </row>
    <row r="496" customFormat="false" ht="15" hidden="false" customHeight="false" outlineLevel="0" collapsed="false">
      <c r="A496" s="7" t="s">
        <v>1577</v>
      </c>
      <c r="B496" s="8" t="n">
        <v>98.762122</v>
      </c>
      <c r="C496" s="9" t="n">
        <f aca="false">IF(AND(ISNUMBER(B496),ISNUMBER(B495),B495&lt;&gt;0),B496/B495-1,"")</f>
        <v>-0.00065569177597169</v>
      </c>
    </row>
    <row r="497" customFormat="false" ht="15" hidden="false" customHeight="false" outlineLevel="0" collapsed="false">
      <c r="A497" s="7" t="s">
        <v>1578</v>
      </c>
      <c r="B497" s="8" t="n">
        <v>98.806269</v>
      </c>
      <c r="C497" s="9" t="n">
        <f aca="false">IF(AND(ISNUMBER(B497),ISNUMBER(B496),B496&lt;&gt;0),B497/B496-1,"")</f>
        <v>0.000447003356205622</v>
      </c>
    </row>
    <row r="498" customFormat="false" ht="15" hidden="false" customHeight="false" outlineLevel="0" collapsed="false">
      <c r="A498" s="7" t="s">
        <v>1579</v>
      </c>
      <c r="B498" s="8" t="n">
        <v>98.781065</v>
      </c>
      <c r="C498" s="9" t="n">
        <f aca="false">IF(AND(ISNUMBER(B498),ISNUMBER(B497),B497&lt;&gt;0),B498/B497-1,"")</f>
        <v>-0.000255085029068347</v>
      </c>
    </row>
    <row r="499" customFormat="false" ht="15" hidden="false" customHeight="false" outlineLevel="0" collapsed="false">
      <c r="A499" s="7" t="s">
        <v>1580</v>
      </c>
      <c r="B499" s="8" t="n">
        <v>98.721085</v>
      </c>
      <c r="C499" s="9" t="n">
        <f aca="false">IF(AND(ISNUMBER(B499),ISNUMBER(B498),B498&lt;&gt;0),B499/B498-1,"")</f>
        <v>-0.000607201390266376</v>
      </c>
    </row>
    <row r="500" customFormat="false" ht="15" hidden="false" customHeight="false" outlineLevel="0" collapsed="false">
      <c r="A500" s="7" t="s">
        <v>1581</v>
      </c>
      <c r="B500" s="8" t="n">
        <v>98.731443</v>
      </c>
      <c r="C500" s="9" t="n">
        <f aca="false">IF(AND(ISNUMBER(B500),ISNUMBER(B499),B499&lt;&gt;0),B500/B499-1,"")</f>
        <v>0.000104921861423968</v>
      </c>
    </row>
    <row r="501" customFormat="false" ht="15" hidden="false" customHeight="false" outlineLevel="0" collapsed="false">
      <c r="A501" s="7" t="s">
        <v>1582</v>
      </c>
      <c r="B501" s="8" t="n">
        <v>98.927863</v>
      </c>
      <c r="C501" s="9" t="n">
        <f aca="false">IF(AND(ISNUMBER(B501),ISNUMBER(B500),B500&lt;&gt;0),B501/B500-1,"")</f>
        <v>0.00198943714415289</v>
      </c>
    </row>
    <row r="502" customFormat="false" ht="15" hidden="false" customHeight="false" outlineLevel="0" collapsed="false">
      <c r="A502" s="7" t="s">
        <v>1583</v>
      </c>
      <c r="B502" s="8" t="n">
        <v>98.925335</v>
      </c>
      <c r="C502" s="9" t="n">
        <f aca="false">IF(AND(ISNUMBER(B502),ISNUMBER(B501),B501&lt;&gt;0),B502/B501-1,"")</f>
        <v>-2.55539736059296E-005</v>
      </c>
    </row>
    <row r="503" customFormat="false" ht="15" hidden="false" customHeight="false" outlineLevel="0" collapsed="false">
      <c r="A503" s="7" t="s">
        <v>1584</v>
      </c>
      <c r="B503" s="8" t="n">
        <v>98.930422</v>
      </c>
      <c r="C503" s="9" t="n">
        <f aca="false">IF(AND(ISNUMBER(B503),ISNUMBER(B502),B502&lt;&gt;0),B503/B502-1,"")</f>
        <v>5.14226209089586E-005</v>
      </c>
    </row>
    <row r="504" customFormat="false" ht="15" hidden="false" customHeight="false" outlineLevel="0" collapsed="false">
      <c r="A504" s="7" t="s">
        <v>1585</v>
      </c>
      <c r="B504" s="8" t="n">
        <v>98.930313</v>
      </c>
      <c r="C504" s="9" t="n">
        <f aca="false">IF(AND(ISNUMBER(B504),ISNUMBER(B503),B503&lt;&gt;0),B504/B503-1,"")</f>
        <v>-1.1017844440131E-006</v>
      </c>
    </row>
    <row r="505" customFormat="false" ht="15" hidden="false" customHeight="false" outlineLevel="0" collapsed="false">
      <c r="A505" s="7" t="s">
        <v>1586</v>
      </c>
      <c r="B505" s="8" t="n">
        <v>99.007385</v>
      </c>
      <c r="C505" s="9" t="n">
        <f aca="false">IF(AND(ISNUMBER(B505),ISNUMBER(B504),B504&lt;&gt;0),B505/B504-1,"")</f>
        <v>0.000779053433298982</v>
      </c>
    </row>
    <row r="506" customFormat="false" ht="15" hidden="false" customHeight="false" outlineLevel="0" collapsed="false">
      <c r="A506" s="7" t="s">
        <v>1587</v>
      </c>
      <c r="B506" s="8" t="n">
        <v>99.16512</v>
      </c>
      <c r="C506" s="9" t="n">
        <f aca="false">IF(AND(ISNUMBER(B506),ISNUMBER(B505),B505&lt;&gt;0),B506/B505-1,"")</f>
        <v>0.00159316398468667</v>
      </c>
    </row>
    <row r="507" customFormat="false" ht="15" hidden="false" customHeight="false" outlineLevel="0" collapsed="false">
      <c r="A507" s="7" t="s">
        <v>1588</v>
      </c>
      <c r="B507" s="8" t="n">
        <v>99.142315</v>
      </c>
      <c r="C507" s="9" t="n">
        <f aca="false">IF(AND(ISNUMBER(B507),ISNUMBER(B506),B506&lt;&gt;0),B507/B506-1,"")</f>
        <v>-0.00022996997331326</v>
      </c>
    </row>
    <row r="508" customFormat="false" ht="15" hidden="false" customHeight="false" outlineLevel="0" collapsed="false">
      <c r="A508" s="7" t="s">
        <v>1589</v>
      </c>
      <c r="B508" s="8" t="n">
        <v>99.153497</v>
      </c>
      <c r="C508" s="9" t="n">
        <f aca="false">IF(AND(ISNUMBER(B508),ISNUMBER(B507),B507&lt;&gt;0),B508/B507-1,"")</f>
        <v>0.000112787360271094</v>
      </c>
    </row>
    <row r="509" customFormat="false" ht="15" hidden="false" customHeight="false" outlineLevel="0" collapsed="false">
      <c r="A509" s="7" t="s">
        <v>1590</v>
      </c>
      <c r="B509" s="8" t="n">
        <v>99.209973</v>
      </c>
      <c r="C509" s="9" t="n">
        <f aca="false">IF(AND(ISNUMBER(B509),ISNUMBER(B508),B508&lt;&gt;0),B509/B508-1,"")</f>
        <v>0.000569581524693996</v>
      </c>
    </row>
    <row r="510" customFormat="false" ht="15" hidden="false" customHeight="false" outlineLevel="0" collapsed="false">
      <c r="A510" s="7" t="s">
        <v>1591</v>
      </c>
      <c r="B510" s="8" t="n">
        <v>99.226708</v>
      </c>
      <c r="C510" s="9" t="n">
        <f aca="false">IF(AND(ISNUMBER(B510),ISNUMBER(B509),B509&lt;&gt;0),B510/B509-1,"")</f>
        <v>0.000168682638387541</v>
      </c>
    </row>
    <row r="511" customFormat="false" ht="15" hidden="false" customHeight="false" outlineLevel="0" collapsed="false">
      <c r="A511" s="7" t="s">
        <v>1592</v>
      </c>
      <c r="B511" s="8" t="n">
        <v>99.205184</v>
      </c>
      <c r="C511" s="9" t="n">
        <f aca="false">IF(AND(ISNUMBER(B511),ISNUMBER(B510),B510&lt;&gt;0),B511/B510-1,"")</f>
        <v>-0.00021691740493901</v>
      </c>
    </row>
    <row r="512" customFormat="false" ht="15" hidden="false" customHeight="false" outlineLevel="0" collapsed="false">
      <c r="A512" s="7" t="s">
        <v>1593</v>
      </c>
      <c r="B512" s="8" t="n">
        <v>99.256538</v>
      </c>
      <c r="C512" s="9" t="n">
        <f aca="false">IF(AND(ISNUMBER(B512),ISNUMBER(B511),B511&lt;&gt;0),B512/B511-1,"")</f>
        <v>0.000517654399995848</v>
      </c>
    </row>
    <row r="513" customFormat="false" ht="15" hidden="false" customHeight="false" outlineLevel="0" collapsed="false">
      <c r="A513" s="7" t="s">
        <v>1594</v>
      </c>
      <c r="B513" s="8" t="n">
        <v>99.256966</v>
      </c>
      <c r="C513" s="9" t="n">
        <f aca="false">IF(AND(ISNUMBER(B513),ISNUMBER(B512),B512&lt;&gt;0),B513/B512-1,"")</f>
        <v>4.31205851647576E-006</v>
      </c>
    </row>
    <row r="514" customFormat="false" ht="15" hidden="false" customHeight="false" outlineLevel="0" collapsed="false">
      <c r="A514" s="7" t="s">
        <v>1595</v>
      </c>
      <c r="B514" s="8" t="n">
        <v>99.128842</v>
      </c>
      <c r="C514" s="9" t="n">
        <f aca="false">IF(AND(ISNUMBER(B514),ISNUMBER(B513),B513&lt;&gt;0),B514/B513-1,"")</f>
        <v>-0.00129083131555718</v>
      </c>
    </row>
    <row r="515" customFormat="false" ht="15" hidden="false" customHeight="false" outlineLevel="0" collapsed="false">
      <c r="A515" s="7" t="s">
        <v>1596</v>
      </c>
      <c r="B515" s="8" t="n">
        <v>99.080165</v>
      </c>
      <c r="C515" s="9" t="n">
        <f aca="false">IF(AND(ISNUMBER(B515),ISNUMBER(B514),B514&lt;&gt;0),B515/B514-1,"")</f>
        <v>-0.000491047802212874</v>
      </c>
    </row>
    <row r="516" customFormat="false" ht="15" hidden="false" customHeight="false" outlineLevel="0" collapsed="false">
      <c r="A516" s="7" t="s">
        <v>1597</v>
      </c>
      <c r="B516" s="8" t="n">
        <v>99.127696</v>
      </c>
      <c r="C516" s="9" t="n">
        <f aca="false">IF(AND(ISNUMBER(B516),ISNUMBER(B515),B515&lt;&gt;0),B516/B515-1,"")</f>
        <v>0.000479722656901105</v>
      </c>
    </row>
    <row r="517" customFormat="false" ht="15" hidden="false" customHeight="false" outlineLevel="0" collapsed="false">
      <c r="A517" s="7" t="s">
        <v>1598</v>
      </c>
      <c r="B517" s="8" t="n">
        <v>99.223751</v>
      </c>
      <c r="C517" s="9" t="n">
        <f aca="false">IF(AND(ISNUMBER(B517),ISNUMBER(B516),B516&lt;&gt;0),B517/B516-1,"")</f>
        <v>0.000969002648866013</v>
      </c>
    </row>
    <row r="518" customFormat="false" ht="15" hidden="false" customHeight="false" outlineLevel="0" collapsed="false">
      <c r="A518" s="7" t="s">
        <v>1599</v>
      </c>
      <c r="B518" s="8" t="n">
        <v>99.256566</v>
      </c>
      <c r="C518" s="9" t="n">
        <f aca="false">IF(AND(ISNUMBER(B518),ISNUMBER(B517),B517&lt;&gt;0),B518/B517-1,"")</f>
        <v>0.000330717188871565</v>
      </c>
    </row>
    <row r="519" customFormat="false" ht="15" hidden="false" customHeight="false" outlineLevel="0" collapsed="false">
      <c r="A519" s="7" t="s">
        <v>1600</v>
      </c>
      <c r="B519" s="8" t="n">
        <v>99.248799</v>
      </c>
      <c r="C519" s="9" t="n">
        <f aca="false">IF(AND(ISNUMBER(B519),ISNUMBER(B518),B518&lt;&gt;0),B519/B518-1,"")</f>
        <v>-7.82517501159985E-005</v>
      </c>
    </row>
    <row r="520" customFormat="false" ht="15" hidden="false" customHeight="false" outlineLevel="0" collapsed="false">
      <c r="A520" s="7" t="s">
        <v>1601</v>
      </c>
      <c r="B520" s="8" t="n">
        <v>99.164395</v>
      </c>
      <c r="C520" s="9" t="n">
        <f aca="false">IF(AND(ISNUMBER(B520),ISNUMBER(B519),B519&lt;&gt;0),B520/B519-1,"")</f>
        <v>-0.000850428426846794</v>
      </c>
    </row>
    <row r="521" customFormat="false" ht="15" hidden="false" customHeight="false" outlineLevel="0" collapsed="false">
      <c r="A521" s="7" t="s">
        <v>1602</v>
      </c>
      <c r="B521" s="8" t="n">
        <v>99.191517</v>
      </c>
      <c r="C521" s="9" t="n">
        <f aca="false">IF(AND(ISNUMBER(B521),ISNUMBER(B520),B520&lt;&gt;0),B521/B520-1,"")</f>
        <v>0.000273505425006704</v>
      </c>
    </row>
    <row r="522" customFormat="false" ht="15" hidden="false" customHeight="false" outlineLevel="0" collapsed="false">
      <c r="A522" s="7" t="s">
        <v>1603</v>
      </c>
      <c r="B522" s="8" t="n">
        <v>99.2458</v>
      </c>
      <c r="C522" s="9" t="n">
        <f aca="false">IF(AND(ISNUMBER(B522),ISNUMBER(B521),B521&lt;&gt;0),B522/B521-1,"")</f>
        <v>0.000547254459269952</v>
      </c>
    </row>
    <row r="523" customFormat="false" ht="15" hidden="false" customHeight="false" outlineLevel="0" collapsed="false">
      <c r="A523" s="7" t="s">
        <v>1604</v>
      </c>
      <c r="B523" s="8" t="n">
        <v>99.23562</v>
      </c>
      <c r="C523" s="9" t="n">
        <f aca="false">IF(AND(ISNUMBER(B523),ISNUMBER(B522),B522&lt;&gt;0),B523/B522-1,"")</f>
        <v>-0.000102573610167966</v>
      </c>
    </row>
    <row r="524" customFormat="false" ht="15" hidden="false" customHeight="false" outlineLevel="0" collapsed="false">
      <c r="A524" s="7" t="s">
        <v>1605</v>
      </c>
      <c r="B524" s="8" t="n">
        <v>99.336512</v>
      </c>
      <c r="C524" s="9" t="n">
        <f aca="false">IF(AND(ISNUMBER(B524),ISNUMBER(B523),B523&lt;&gt;0),B524/B523-1,"")</f>
        <v>0.00101669138561333</v>
      </c>
    </row>
    <row r="525" customFormat="false" ht="15" hidden="false" customHeight="false" outlineLevel="0" collapsed="false">
      <c r="A525" s="7" t="s">
        <v>1606</v>
      </c>
      <c r="B525" s="8" t="n">
        <v>99.301176</v>
      </c>
      <c r="C525" s="9" t="n">
        <f aca="false">IF(AND(ISNUMBER(B525),ISNUMBER(B524),B524&lt;&gt;0),B525/B524-1,"")</f>
        <v>-0.000355720160579054</v>
      </c>
    </row>
    <row r="526" customFormat="false" ht="15" hidden="false" customHeight="false" outlineLevel="0" collapsed="false">
      <c r="A526" s="7" t="s">
        <v>1607</v>
      </c>
      <c r="B526" s="8" t="n">
        <v>99.333903</v>
      </c>
      <c r="C526" s="9" t="n">
        <f aca="false">IF(AND(ISNUMBER(B526),ISNUMBER(B525),B525&lt;&gt;0),B526/B525-1,"")</f>
        <v>0.000329573136173211</v>
      </c>
    </row>
    <row r="527" customFormat="false" ht="15" hidden="false" customHeight="false" outlineLevel="0" collapsed="false">
      <c r="A527" s="7" t="s">
        <v>1608</v>
      </c>
      <c r="B527" s="8" t="n">
        <v>99.357653</v>
      </c>
      <c r="C527" s="9" t="n">
        <f aca="false">IF(AND(ISNUMBER(B527),ISNUMBER(B526),B526&lt;&gt;0),B527/B526-1,"")</f>
        <v>0.000239092588559586</v>
      </c>
    </row>
    <row r="528" customFormat="false" ht="15" hidden="false" customHeight="false" outlineLevel="0" collapsed="false">
      <c r="A528" s="7" t="s">
        <v>1609</v>
      </c>
      <c r="B528" s="8" t="n">
        <v>99.430169</v>
      </c>
      <c r="C528" s="9" t="n">
        <f aca="false">IF(AND(ISNUMBER(B528),ISNUMBER(B527),B527&lt;&gt;0),B528/B527-1,"")</f>
        <v>0.000729848157746016</v>
      </c>
    </row>
    <row r="529" customFormat="false" ht="15" hidden="false" customHeight="false" outlineLevel="0" collapsed="false">
      <c r="A529" s="7" t="s">
        <v>1610</v>
      </c>
      <c r="B529" s="8" t="n">
        <v>99.441424</v>
      </c>
      <c r="C529" s="9" t="n">
        <f aca="false">IF(AND(ISNUMBER(B529),ISNUMBER(B528),B528&lt;&gt;0),B529/B528-1,"")</f>
        <v>0.000113195020316148</v>
      </c>
    </row>
    <row r="530" customFormat="false" ht="15" hidden="false" customHeight="false" outlineLevel="0" collapsed="false">
      <c r="A530" s="7" t="s">
        <v>1611</v>
      </c>
      <c r="B530" s="8" t="n">
        <v>99.455731</v>
      </c>
      <c r="C530" s="9" t="n">
        <f aca="false">IF(AND(ISNUMBER(B530),ISNUMBER(B529),B529&lt;&gt;0),B530/B529-1,"")</f>
        <v>0.000143873643643655</v>
      </c>
    </row>
    <row r="531" customFormat="false" ht="15" hidden="false" customHeight="false" outlineLevel="0" collapsed="false">
      <c r="A531" s="7" t="s">
        <v>1612</v>
      </c>
      <c r="B531" s="8" t="n">
        <v>99.547544</v>
      </c>
      <c r="C531" s="9" t="n">
        <f aca="false">IF(AND(ISNUMBER(B531),ISNUMBER(B530),B530&lt;&gt;0),B531/B530-1,"")</f>
        <v>0.000923154443457808</v>
      </c>
    </row>
    <row r="532" customFormat="false" ht="15" hidden="false" customHeight="false" outlineLevel="0" collapsed="false">
      <c r="A532" s="7" t="s">
        <v>1613</v>
      </c>
      <c r="B532" s="8" t="n">
        <v>99.587441</v>
      </c>
      <c r="C532" s="9" t="n">
        <f aca="false">IF(AND(ISNUMBER(B532),ISNUMBER(B531),B531&lt;&gt;0),B532/B531-1,"")</f>
        <v>0.000400783368397217</v>
      </c>
    </row>
    <row r="533" customFormat="false" ht="15" hidden="false" customHeight="false" outlineLevel="0" collapsed="false">
      <c r="A533" s="7" t="s">
        <v>1614</v>
      </c>
      <c r="B533" s="8" t="n">
        <v>99.637956</v>
      </c>
      <c r="C533" s="9" t="n">
        <f aca="false">IF(AND(ISNUMBER(B533),ISNUMBER(B532),B532&lt;&gt;0),B533/B532-1,"")</f>
        <v>0.000507242675308772</v>
      </c>
    </row>
    <row r="534" customFormat="false" ht="15" hidden="false" customHeight="false" outlineLevel="0" collapsed="false">
      <c r="A534" s="7" t="s">
        <v>1615</v>
      </c>
      <c r="B534" s="8" t="n">
        <v>99.706307</v>
      </c>
      <c r="C534" s="9" t="n">
        <f aca="false">IF(AND(ISNUMBER(B534),ISNUMBER(B533),B533&lt;&gt;0),B534/B533-1,"")</f>
        <v>0.000685993598664281</v>
      </c>
    </row>
    <row r="535" customFormat="false" ht="15" hidden="false" customHeight="false" outlineLevel="0" collapsed="false">
      <c r="A535" s="7" t="s">
        <v>1616</v>
      </c>
      <c r="B535" s="8" t="n">
        <v>99.727203</v>
      </c>
      <c r="C535" s="9" t="n">
        <f aca="false">IF(AND(ISNUMBER(B535),ISNUMBER(B534),B534&lt;&gt;0),B535/B534-1,"")</f>
        <v>0.000209575508598459</v>
      </c>
    </row>
    <row r="536" customFormat="false" ht="15" hidden="false" customHeight="false" outlineLevel="0" collapsed="false">
      <c r="A536" s="7" t="s">
        <v>1617</v>
      </c>
      <c r="B536" s="8" t="n">
        <v>99.810647</v>
      </c>
      <c r="C536" s="9" t="n">
        <f aca="false">IF(AND(ISNUMBER(B536),ISNUMBER(B535),B535&lt;&gt;0),B536/B535-1,"")</f>
        <v>0.000836722554025782</v>
      </c>
    </row>
    <row r="537" customFormat="false" ht="15" hidden="false" customHeight="false" outlineLevel="0" collapsed="false">
      <c r="A537" s="7" t="s">
        <v>1618</v>
      </c>
      <c r="B537" s="8" t="n">
        <v>99.784338</v>
      </c>
      <c r="C537" s="9" t="n">
        <f aca="false">IF(AND(ISNUMBER(B537),ISNUMBER(B536),B536&lt;&gt;0),B537/B536-1,"")</f>
        <v>-0.000263589113894791</v>
      </c>
    </row>
    <row r="538" customFormat="false" ht="15" hidden="false" customHeight="false" outlineLevel="0" collapsed="false">
      <c r="A538" s="7" t="s">
        <v>1619</v>
      </c>
      <c r="B538" s="8" t="n">
        <v>99.919736</v>
      </c>
      <c r="C538" s="9" t="n">
        <f aca="false">IF(AND(ISNUMBER(B538),ISNUMBER(B537),B537&lt;&gt;0),B538/B537-1,"")</f>
        <v>0.00135690633133212</v>
      </c>
    </row>
    <row r="539" customFormat="false" ht="15" hidden="false" customHeight="false" outlineLevel="0" collapsed="false">
      <c r="A539" s="7" t="s">
        <v>1620</v>
      </c>
      <c r="B539" s="8" t="n">
        <v>99.993832</v>
      </c>
      <c r="C539" s="9" t="n">
        <f aca="false">IF(AND(ISNUMBER(B539),ISNUMBER(B538),B538&lt;&gt;0),B539/B538-1,"")</f>
        <v>0.00074155520186725</v>
      </c>
    </row>
    <row r="540" customFormat="false" ht="15" hidden="false" customHeight="false" outlineLevel="0" collapsed="false">
      <c r="A540" s="7" t="s">
        <v>1621</v>
      </c>
      <c r="B540" s="8" t="n">
        <v>100.086875</v>
      </c>
      <c r="C540" s="9" t="n">
        <f aca="false">IF(AND(ISNUMBER(B540),ISNUMBER(B539),B539&lt;&gt;0),B540/B539-1,"")</f>
        <v>0.000930487392462487</v>
      </c>
    </row>
    <row r="541" customFormat="false" ht="15" hidden="false" customHeight="false" outlineLevel="0" collapsed="false">
      <c r="A541" s="7" t="s">
        <v>1622</v>
      </c>
      <c r="B541" s="8" t="n">
        <v>100.081419</v>
      </c>
      <c r="C541" s="9" t="n">
        <f aca="false">IF(AND(ISNUMBER(B541),ISNUMBER(B540),B540&lt;&gt;0),B541/B540-1,"")</f>
        <v>-5.45126421421793E-005</v>
      </c>
    </row>
    <row r="542" customFormat="false" ht="15" hidden="false" customHeight="false" outlineLevel="0" collapsed="false">
      <c r="A542" s="7" t="s">
        <v>1623</v>
      </c>
      <c r="B542" s="8" t="n">
        <v>99.975629</v>
      </c>
      <c r="C542" s="9" t="n">
        <f aca="false">IF(AND(ISNUMBER(B542),ISNUMBER(B541),B541&lt;&gt;0),B542/B541-1,"")</f>
        <v>-0.00105703936911605</v>
      </c>
    </row>
    <row r="543" customFormat="false" ht="15" hidden="false" customHeight="false" outlineLevel="0" collapsed="false">
      <c r="A543" s="7" t="s">
        <v>1624</v>
      </c>
      <c r="B543" s="8" t="n">
        <v>100.100003</v>
      </c>
      <c r="C543" s="9" t="n">
        <f aca="false">IF(AND(ISNUMBER(B543),ISNUMBER(B542),B542&lt;&gt;0),B543/B542-1,"")</f>
        <v>0.00124404318576477</v>
      </c>
    </row>
    <row r="544" customFormat="false" ht="15" hidden="false" customHeight="false" outlineLevel="0" collapsed="false">
      <c r="A544" s="7" t="s">
        <v>1625</v>
      </c>
      <c r="B544" s="8" t="n">
        <v>100.176399</v>
      </c>
      <c r="C544" s="9" t="n">
        <f aca="false">IF(AND(ISNUMBER(B544),ISNUMBER(B543),B543&lt;&gt;0),B544/B543-1,"")</f>
        <v>0.000763196780323883</v>
      </c>
    </row>
    <row r="545" customFormat="false" ht="15" hidden="false" customHeight="false" outlineLevel="0" collapsed="false">
      <c r="A545" s="7" t="s">
        <v>1626</v>
      </c>
      <c r="B545" s="8" t="n">
        <v>99.996331</v>
      </c>
      <c r="C545" s="9" t="n">
        <f aca="false">IF(AND(ISNUMBER(B545),ISNUMBER(B544),B544&lt;&gt;0),B545/B544-1,"")</f>
        <v>-0.00179750921172561</v>
      </c>
    </row>
    <row r="546" customFormat="false" ht="15" hidden="false" customHeight="false" outlineLevel="0" collapsed="false">
      <c r="A546" s="7" t="s">
        <v>1627</v>
      </c>
      <c r="B546" s="8" t="n">
        <v>100.091488</v>
      </c>
      <c r="C546" s="9" t="n">
        <f aca="false">IF(AND(ISNUMBER(B546),ISNUMBER(B545),B545&lt;&gt;0),B546/B545-1,"")</f>
        <v>0.000951604914384285</v>
      </c>
    </row>
    <row r="547" customFormat="false" ht="15" hidden="false" customHeight="false" outlineLevel="0" collapsed="false">
      <c r="A547" s="7" t="s">
        <v>1628</v>
      </c>
      <c r="B547" s="8" t="n">
        <v>100.024998</v>
      </c>
      <c r="C547" s="9" t="n">
        <f aca="false">IF(AND(ISNUMBER(B547),ISNUMBER(B546),B546&lt;&gt;0),B547/B546-1,"")</f>
        <v>-0.000664292252304244</v>
      </c>
    </row>
    <row r="548" customFormat="false" ht="15" hidden="false" customHeight="false" outlineLevel="0" collapsed="false">
      <c r="A548" s="7" t="s">
        <v>1629</v>
      </c>
      <c r="B548" s="8" t="n">
        <v>100.044041</v>
      </c>
      <c r="C548" s="9" t="n">
        <f aca="false">IF(AND(ISNUMBER(B548),ISNUMBER(B547),B547&lt;&gt;0),B548/B547-1,"")</f>
        <v>0.00019038240820568</v>
      </c>
    </row>
    <row r="549" customFormat="false" ht="15" hidden="false" customHeight="false" outlineLevel="0" collapsed="false">
      <c r="A549" s="7" t="s">
        <v>1630</v>
      </c>
      <c r="B549" s="8" t="n">
        <v>100.096651</v>
      </c>
      <c r="C549" s="9" t="n">
        <f aca="false">IF(AND(ISNUMBER(B549),ISNUMBER(B548),B548&lt;&gt;0),B549/B548-1,"")</f>
        <v>0.000525868402296847</v>
      </c>
    </row>
    <row r="550" customFormat="false" ht="15" hidden="false" customHeight="false" outlineLevel="0" collapsed="false">
      <c r="A550" s="7" t="s">
        <v>1631</v>
      </c>
      <c r="B550" s="8" t="n">
        <v>100.093878</v>
      </c>
      <c r="C550" s="9" t="n">
        <f aca="false">IF(AND(ISNUMBER(B550),ISNUMBER(B549),B549&lt;&gt;0),B550/B549-1,"")</f>
        <v>-2.77032245563635E-005</v>
      </c>
    </row>
    <row r="551" customFormat="false" ht="15" hidden="false" customHeight="false" outlineLevel="0" collapsed="false">
      <c r="A551" s="7" t="s">
        <v>1632</v>
      </c>
      <c r="B551" s="8" t="n">
        <v>100.090095</v>
      </c>
      <c r="C551" s="9" t="n">
        <f aca="false">IF(AND(ISNUMBER(B551),ISNUMBER(B550),B550&lt;&gt;0),B551/B550-1,"")</f>
        <v>-3.7794519261225E-005</v>
      </c>
    </row>
    <row r="552" customFormat="false" ht="15" hidden="false" customHeight="false" outlineLevel="0" collapsed="false">
      <c r="A552" s="7" t="s">
        <v>1633</v>
      </c>
      <c r="B552" s="8" t="n">
        <v>100.186649</v>
      </c>
      <c r="C552" s="9" t="n">
        <f aca="false">IF(AND(ISNUMBER(B552),ISNUMBER(B551),B551&lt;&gt;0),B552/B551-1,"")</f>
        <v>0.000964670879770813</v>
      </c>
    </row>
    <row r="553" customFormat="false" ht="15" hidden="false" customHeight="false" outlineLevel="0" collapsed="false">
      <c r="A553" s="7" t="s">
        <v>1634</v>
      </c>
      <c r="B553" s="8" t="n">
        <v>100.247693</v>
      </c>
      <c r="C553" s="9" t="n">
        <f aca="false">IF(AND(ISNUMBER(B553),ISNUMBER(B552),B552&lt;&gt;0),B553/B552-1,"")</f>
        <v>0.000609302742524021</v>
      </c>
    </row>
    <row r="554" customFormat="false" ht="15" hidden="false" customHeight="false" outlineLevel="0" collapsed="false">
      <c r="A554" s="7" t="s">
        <v>1635</v>
      </c>
      <c r="B554" s="8" t="n">
        <v>100.237474</v>
      </c>
      <c r="C554" s="9" t="n">
        <f aca="false">IF(AND(ISNUMBER(B554),ISNUMBER(B553),B553&lt;&gt;0),B554/B553-1,"")</f>
        <v>-0.000101937507928418</v>
      </c>
    </row>
    <row r="555" customFormat="false" ht="15" hidden="false" customHeight="false" outlineLevel="0" collapsed="false">
      <c r="A555" s="7" t="s">
        <v>1636</v>
      </c>
      <c r="B555" s="8" t="n">
        <v>100.343759</v>
      </c>
      <c r="C555" s="9" t="n">
        <f aca="false">IF(AND(ISNUMBER(B555),ISNUMBER(B554),B554&lt;&gt;0),B555/B554-1,"")</f>
        <v>0.00106033198721667</v>
      </c>
    </row>
    <row r="556" customFormat="false" ht="15" hidden="false" customHeight="false" outlineLevel="0" collapsed="false">
      <c r="A556" s="7" t="s">
        <v>1637</v>
      </c>
      <c r="B556" s="8" t="n">
        <v>100.312941</v>
      </c>
      <c r="C556" s="9" t="n">
        <f aca="false">IF(AND(ISNUMBER(B556),ISNUMBER(B555),B555&lt;&gt;0),B556/B555-1,"")</f>
        <v>-0.000307124232808653</v>
      </c>
    </row>
    <row r="557" customFormat="false" ht="15" hidden="false" customHeight="false" outlineLevel="0" collapsed="false">
      <c r="A557" s="7" t="s">
        <v>1638</v>
      </c>
      <c r="B557" s="8" t="n">
        <v>100.200682</v>
      </c>
      <c r="C557" s="9" t="n">
        <f aca="false">IF(AND(ISNUMBER(B557),ISNUMBER(B556),B556&lt;&gt;0),B557/B556-1,"")</f>
        <v>-0.00111908791508764</v>
      </c>
    </row>
    <row r="558" customFormat="false" ht="15" hidden="false" customHeight="false" outlineLevel="0" collapsed="false">
      <c r="A558" s="7" t="s">
        <v>1639</v>
      </c>
      <c r="B558" s="8" t="n">
        <v>100.165231</v>
      </c>
      <c r="C558" s="9" t="n">
        <f aca="false">IF(AND(ISNUMBER(B558),ISNUMBER(B557),B557&lt;&gt;0),B558/B557-1,"")</f>
        <v>-0.000353799987109826</v>
      </c>
    </row>
    <row r="559" customFormat="false" ht="15" hidden="false" customHeight="false" outlineLevel="0" collapsed="false">
      <c r="A559" s="7" t="s">
        <v>1640</v>
      </c>
      <c r="B559" s="8" t="n">
        <v>100.155141</v>
      </c>
      <c r="C559" s="9" t="n">
        <f aca="false">IF(AND(ISNUMBER(B559),ISNUMBER(B558),B558&lt;&gt;0),B559/B558-1,"")</f>
        <v>-0.000100733556936627</v>
      </c>
    </row>
    <row r="560" customFormat="false" ht="15" hidden="false" customHeight="false" outlineLevel="0" collapsed="false">
      <c r="A560" s="7" t="s">
        <v>1641</v>
      </c>
      <c r="B560" s="8" t="n">
        <v>100.098593</v>
      </c>
      <c r="C560" s="9" t="n">
        <f aca="false">IF(AND(ISNUMBER(B560),ISNUMBER(B559),B559&lt;&gt;0),B560/B559-1,"")</f>
        <v>-0.000564604067603503</v>
      </c>
    </row>
    <row r="561" customFormat="false" ht="15" hidden="false" customHeight="false" outlineLevel="0" collapsed="false">
      <c r="A561" s="7" t="s">
        <v>1642</v>
      </c>
      <c r="B561" s="8" t="n">
        <v>100.071329</v>
      </c>
      <c r="C561" s="9" t="n">
        <f aca="false">IF(AND(ISNUMBER(B561),ISNUMBER(B560),B560&lt;&gt;0),B561/B560-1,"")</f>
        <v>-0.000272371460805498</v>
      </c>
    </row>
    <row r="562" customFormat="false" ht="15" hidden="false" customHeight="false" outlineLevel="0" collapsed="false">
      <c r="A562" s="7" t="s">
        <v>1643</v>
      </c>
      <c r="B562" s="8" t="n">
        <v>100.052681</v>
      </c>
      <c r="C562" s="9" t="n">
        <f aca="false">IF(AND(ISNUMBER(B562),ISNUMBER(B561),B561&lt;&gt;0),B562/B561-1,"")</f>
        <v>-0.000186347080490923</v>
      </c>
    </row>
    <row r="563" customFormat="false" ht="15" hidden="false" customHeight="false" outlineLevel="0" collapsed="false">
      <c r="A563" s="7" t="s">
        <v>1644</v>
      </c>
      <c r="B563" s="8" t="n">
        <v>100.079815</v>
      </c>
      <c r="C563" s="9" t="n">
        <f aca="false">IF(AND(ISNUMBER(B563),ISNUMBER(B562),B562&lt;&gt;0),B563/B562-1,"")</f>
        <v>0.0002711971306395</v>
      </c>
    </row>
    <row r="564" customFormat="false" ht="15" hidden="false" customHeight="false" outlineLevel="0" collapsed="false">
      <c r="A564" s="7" t="s">
        <v>1645</v>
      </c>
      <c r="B564" s="8" t="n">
        <v>100.116886</v>
      </c>
      <c r="C564" s="9" t="n">
        <f aca="false">IF(AND(ISNUMBER(B564),ISNUMBER(B563),B563&lt;&gt;0),B564/B563-1,"")</f>
        <v>0.000370414353783488</v>
      </c>
    </row>
    <row r="565" customFormat="false" ht="15" hidden="false" customHeight="false" outlineLevel="0" collapsed="false">
      <c r="A565" s="7" t="s">
        <v>1646</v>
      </c>
      <c r="B565" s="8" t="n">
        <v>100.202585</v>
      </c>
      <c r="C565" s="9" t="n">
        <f aca="false">IF(AND(ISNUMBER(B565),ISNUMBER(B564),B564&lt;&gt;0),B565/B564-1,"")</f>
        <v>0.000855989468150353</v>
      </c>
    </row>
    <row r="566" customFormat="false" ht="15" hidden="false" customHeight="false" outlineLevel="0" collapsed="false">
      <c r="A566" s="7" t="s">
        <v>1647</v>
      </c>
      <c r="B566" s="8" t="n">
        <v>100.221666</v>
      </c>
      <c r="C566" s="9" t="n">
        <f aca="false">IF(AND(ISNUMBER(B566),ISNUMBER(B565),B565&lt;&gt;0),B566/B565-1,"")</f>
        <v>0.000190424229075559</v>
      </c>
    </row>
    <row r="567" customFormat="false" ht="15" hidden="false" customHeight="false" outlineLevel="0" collapsed="false">
      <c r="A567" s="7" t="s">
        <v>1648</v>
      </c>
      <c r="B567" s="8" t="n">
        <v>100.318897</v>
      </c>
      <c r="C567" s="9" t="n">
        <f aca="false">IF(AND(ISNUMBER(B567),ISNUMBER(B566),B566&lt;&gt;0),B567/B566-1,"")</f>
        <v>0.000970159486273214</v>
      </c>
    </row>
    <row r="568" customFormat="false" ht="15" hidden="false" customHeight="false" outlineLevel="0" collapsed="false">
      <c r="A568" s="7" t="s">
        <v>1649</v>
      </c>
      <c r="B568" s="8" t="n">
        <v>100.349987</v>
      </c>
      <c r="C568" s="9" t="n">
        <f aca="false">IF(AND(ISNUMBER(B568),ISNUMBER(B567),B567&lt;&gt;0),B568/B567-1,"")</f>
        <v>0.000309911700883125</v>
      </c>
    </row>
    <row r="569" customFormat="false" ht="15" hidden="false" customHeight="false" outlineLevel="0" collapsed="false">
      <c r="A569" s="7" t="s">
        <v>1650</v>
      </c>
      <c r="B569" s="8" t="n">
        <v>100.506144</v>
      </c>
      <c r="C569" s="9" t="n">
        <f aca="false">IF(AND(ISNUMBER(B569),ISNUMBER(B568),B568&lt;&gt;0),B569/B568-1,"")</f>
        <v>0.00155612376910419</v>
      </c>
    </row>
    <row r="570" customFormat="false" ht="15" hidden="false" customHeight="false" outlineLevel="0" collapsed="false">
      <c r="A570" s="7" t="s">
        <v>1651</v>
      </c>
      <c r="B570" s="8" t="n">
        <v>100.491547</v>
      </c>
      <c r="C570" s="9" t="n">
        <f aca="false">IF(AND(ISNUMBER(B570),ISNUMBER(B569),B569&lt;&gt;0),B570/B569-1,"")</f>
        <v>-0.000145234902256375</v>
      </c>
    </row>
    <row r="571" customFormat="false" ht="15" hidden="false" customHeight="false" outlineLevel="0" collapsed="false">
      <c r="A571" s="7" t="s">
        <v>1652</v>
      </c>
      <c r="B571" s="8" t="n">
        <v>100.523247</v>
      </c>
      <c r="C571" s="9" t="n">
        <f aca="false">IF(AND(ISNUMBER(B571),ISNUMBER(B570),B570&lt;&gt;0),B571/B570-1,"")</f>
        <v>0.000315449417850111</v>
      </c>
    </row>
    <row r="572" customFormat="false" ht="15" hidden="false" customHeight="false" outlineLevel="0" collapsed="false">
      <c r="A572" s="7" t="s">
        <v>1653</v>
      </c>
      <c r="B572" s="8" t="n">
        <v>100.481791</v>
      </c>
      <c r="C572" s="9" t="n">
        <f aca="false">IF(AND(ISNUMBER(B572),ISNUMBER(B571),B571&lt;&gt;0),B572/B571-1,"")</f>
        <v>-0.00041240211828808</v>
      </c>
    </row>
    <row r="573" customFormat="false" ht="15" hidden="false" customHeight="false" outlineLevel="0" collapsed="false">
      <c r="A573" s="7" t="s">
        <v>1654</v>
      </c>
      <c r="B573" s="8" t="n">
        <v>100.517559</v>
      </c>
      <c r="C573" s="9" t="n">
        <f aca="false">IF(AND(ISNUMBER(B573),ISNUMBER(B572),B572&lt;&gt;0),B573/B572-1,"")</f>
        <v>0.000355964992702074</v>
      </c>
    </row>
    <row r="574" customFormat="false" ht="15" hidden="false" customHeight="false" outlineLevel="0" collapsed="false">
      <c r="A574" s="7" t="s">
        <v>1655</v>
      </c>
      <c r="B574" s="8" t="n">
        <v>100.50744</v>
      </c>
      <c r="C574" s="9" t="n">
        <f aca="false">IF(AND(ISNUMBER(B574),ISNUMBER(B573),B573&lt;&gt;0),B574/B573-1,"")</f>
        <v>-0.000100668978640917</v>
      </c>
    </row>
    <row r="575" customFormat="false" ht="15" hidden="false" customHeight="false" outlineLevel="0" collapsed="false">
      <c r="A575" s="7" t="s">
        <v>1656</v>
      </c>
      <c r="B575" s="8" t="n">
        <v>100.529242</v>
      </c>
      <c r="C575" s="9" t="n">
        <f aca="false">IF(AND(ISNUMBER(B575),ISNUMBER(B574),B574&lt;&gt;0),B575/B574-1,"")</f>
        <v>0.000216919264882209</v>
      </c>
    </row>
    <row r="576" customFormat="false" ht="15" hidden="false" customHeight="false" outlineLevel="0" collapsed="false">
      <c r="A576" s="7" t="s">
        <v>1657</v>
      </c>
      <c r="B576" s="8" t="n">
        <v>100.579287</v>
      </c>
      <c r="C576" s="9" t="n">
        <f aca="false">IF(AND(ISNUMBER(B576),ISNUMBER(B575),B575&lt;&gt;0),B576/B575-1,"")</f>
        <v>0.000497815352074271</v>
      </c>
    </row>
    <row r="577" customFormat="false" ht="15" hidden="false" customHeight="false" outlineLevel="0" collapsed="false">
      <c r="A577" s="7" t="s">
        <v>1658</v>
      </c>
      <c r="B577" s="8" t="n">
        <v>100.569906</v>
      </c>
      <c r="C577" s="9" t="n">
        <f aca="false">IF(AND(ISNUMBER(B577),ISNUMBER(B576),B576&lt;&gt;0),B577/B576-1,"")</f>
        <v>-9.32697007485217E-005</v>
      </c>
    </row>
    <row r="578" customFormat="false" ht="15" hidden="false" customHeight="false" outlineLevel="0" collapsed="false">
      <c r="A578" s="7" t="s">
        <v>1659</v>
      </c>
      <c r="B578" s="8" t="n">
        <v>100.577205</v>
      </c>
      <c r="C578" s="9" t="n">
        <f aca="false">IF(AND(ISNUMBER(B578),ISNUMBER(B577),B577&lt;&gt;0),B578/B577-1,"")</f>
        <v>7.25763828397508E-005</v>
      </c>
    </row>
    <row r="579" customFormat="false" ht="15" hidden="false" customHeight="false" outlineLevel="0" collapsed="false">
      <c r="A579" s="7" t="s">
        <v>1660</v>
      </c>
      <c r="B579" s="8" t="n">
        <v>100.584478</v>
      </c>
      <c r="C579" s="9" t="n">
        <f aca="false">IF(AND(ISNUMBER(B579),ISNUMBER(B578),B578&lt;&gt;0),B579/B578-1,"")</f>
        <v>7.23126080108827E-005</v>
      </c>
    </row>
    <row r="580" customFormat="false" ht="15" hidden="false" customHeight="false" outlineLevel="0" collapsed="false">
      <c r="A580" s="7" t="s">
        <v>1661</v>
      </c>
      <c r="B580" s="8" t="n">
        <v>100.601053</v>
      </c>
      <c r="C580" s="9" t="n">
        <f aca="false">IF(AND(ISNUMBER(B580),ISNUMBER(B579),B579&lt;&gt;0),B580/B579-1,"")</f>
        <v>0.000164786857073329</v>
      </c>
    </row>
    <row r="581" customFormat="false" ht="15" hidden="false" customHeight="false" outlineLevel="0" collapsed="false">
      <c r="A581" s="7" t="s">
        <v>1662</v>
      </c>
      <c r="B581" s="8" t="n">
        <v>100.533927</v>
      </c>
      <c r="C581" s="9" t="n">
        <f aca="false">IF(AND(ISNUMBER(B581),ISNUMBER(B580),B580&lt;&gt;0),B581/B580-1,"")</f>
        <v>-0.00066724947700092</v>
      </c>
    </row>
    <row r="582" customFormat="false" ht="15" hidden="false" customHeight="false" outlineLevel="0" collapsed="false">
      <c r="A582" s="7" t="s">
        <v>1663</v>
      </c>
      <c r="B582" s="8" t="n">
        <v>100.488367</v>
      </c>
      <c r="C582" s="9" t="n">
        <f aca="false">IF(AND(ISNUMBER(B582),ISNUMBER(B581),B581&lt;&gt;0),B582/B581-1,"")</f>
        <v>-0.000453180347764648</v>
      </c>
    </row>
    <row r="583" customFormat="false" ht="15" hidden="false" customHeight="false" outlineLevel="0" collapsed="false">
      <c r="A583" s="7" t="s">
        <v>1664</v>
      </c>
      <c r="B583" s="8" t="n">
        <v>100.486228</v>
      </c>
      <c r="C583" s="9" t="n">
        <f aca="false">IF(AND(ISNUMBER(B583),ISNUMBER(B582),B582&lt;&gt;0),B583/B582-1,"")</f>
        <v>-2.12860459758435E-005</v>
      </c>
    </row>
    <row r="584" customFormat="false" ht="15" hidden="false" customHeight="false" outlineLevel="0" collapsed="false">
      <c r="A584" s="7" t="s">
        <v>1665</v>
      </c>
      <c r="B584" s="8" t="n">
        <v>100.479335</v>
      </c>
      <c r="C584" s="9" t="n">
        <f aca="false">IF(AND(ISNUMBER(B584),ISNUMBER(B583),B583&lt;&gt;0),B584/B583-1,"")</f>
        <v>-6.85964647810788E-005</v>
      </c>
    </row>
    <row r="585" customFormat="false" ht="15" hidden="false" customHeight="false" outlineLevel="0" collapsed="false">
      <c r="A585" s="7" t="s">
        <v>1666</v>
      </c>
      <c r="B585" s="8" t="n">
        <v>100.434972</v>
      </c>
      <c r="C585" s="9" t="n">
        <f aca="false">IF(AND(ISNUMBER(B585),ISNUMBER(B584),B584&lt;&gt;0),B585/B584-1,"")</f>
        <v>-0.000441513670447757</v>
      </c>
    </row>
    <row r="586" customFormat="false" ht="15" hidden="false" customHeight="false" outlineLevel="0" collapsed="false">
      <c r="A586" s="7" t="s">
        <v>1667</v>
      </c>
      <c r="B586" s="8" t="n">
        <v>100.354445</v>
      </c>
      <c r="C586" s="9" t="n">
        <f aca="false">IF(AND(ISNUMBER(B586),ISNUMBER(B585),B585&lt;&gt;0),B586/B585-1,"")</f>
        <v>-0.000801782470751355</v>
      </c>
    </row>
    <row r="587" customFormat="false" ht="15" hidden="false" customHeight="false" outlineLevel="0" collapsed="false">
      <c r="A587" s="7" t="s">
        <v>1668</v>
      </c>
      <c r="B587" s="8" t="n">
        <v>100.444783</v>
      </c>
      <c r="C587" s="9" t="n">
        <f aca="false">IF(AND(ISNUMBER(B587),ISNUMBER(B586),B586&lt;&gt;0),B587/B586-1,"")</f>
        <v>0.00090018932395064</v>
      </c>
    </row>
    <row r="588" customFormat="false" ht="15" hidden="false" customHeight="false" outlineLevel="0" collapsed="false">
      <c r="A588" s="7" t="s">
        <v>1669</v>
      </c>
      <c r="B588" s="8" t="n">
        <v>100.487962</v>
      </c>
      <c r="C588" s="9" t="n">
        <f aca="false">IF(AND(ISNUMBER(B588),ISNUMBER(B587),B587&lt;&gt;0),B588/B587-1,"")</f>
        <v>0.000429877975842707</v>
      </c>
    </row>
    <row r="589" customFormat="false" ht="15" hidden="false" customHeight="false" outlineLevel="0" collapsed="false">
      <c r="A589" s="7" t="s">
        <v>1670</v>
      </c>
      <c r="B589" s="8" t="n">
        <v>100.382862</v>
      </c>
      <c r="C589" s="9" t="n">
        <f aca="false">IF(AND(ISNUMBER(B589),ISNUMBER(B588),B588&lt;&gt;0),B589/B588-1,"")</f>
        <v>-0.00104589642289687</v>
      </c>
    </row>
    <row r="590" customFormat="false" ht="15" hidden="false" customHeight="false" outlineLevel="0" collapsed="false">
      <c r="A590" s="7" t="s">
        <v>1671</v>
      </c>
      <c r="B590" s="8" t="n">
        <v>100.320419</v>
      </c>
      <c r="C590" s="9" t="n">
        <f aca="false">IF(AND(ISNUMBER(B590),ISNUMBER(B589),B589&lt;&gt;0),B590/B589-1,"")</f>
        <v>-0.000622048413005061</v>
      </c>
    </row>
    <row r="591" customFormat="false" ht="15" hidden="false" customHeight="false" outlineLevel="0" collapsed="false">
      <c r="A591" s="7" t="s">
        <v>1672</v>
      </c>
      <c r="B591" s="8" t="n">
        <v>100.35623</v>
      </c>
      <c r="C591" s="9" t="n">
        <f aca="false">IF(AND(ISNUMBER(B591),ISNUMBER(B590),B590&lt;&gt;0),B591/B590-1,"")</f>
        <v>0.000356966212431642</v>
      </c>
    </row>
    <row r="592" customFormat="false" ht="15" hidden="false" customHeight="false" outlineLevel="0" collapsed="false">
      <c r="A592" s="7" t="s">
        <v>1673</v>
      </c>
      <c r="B592" s="8" t="n">
        <v>100.211632</v>
      </c>
      <c r="C592" s="9" t="n">
        <f aca="false">IF(AND(ISNUMBER(B592),ISNUMBER(B591),B591&lt;&gt;0),B592/B591-1,"")</f>
        <v>-0.0014408472697709</v>
      </c>
    </row>
    <row r="593" customFormat="false" ht="15" hidden="false" customHeight="false" outlineLevel="0" collapsed="false">
      <c r="A593" s="7" t="s">
        <v>1674</v>
      </c>
      <c r="B593" s="8" t="n">
        <v>100.158585</v>
      </c>
      <c r="C593" s="9" t="n">
        <f aca="false">IF(AND(ISNUMBER(B593),ISNUMBER(B592),B592&lt;&gt;0),B593/B592-1,"")</f>
        <v>-0.000529349726586581</v>
      </c>
    </row>
    <row r="594" customFormat="false" ht="15" hidden="false" customHeight="false" outlineLevel="0" collapsed="false">
      <c r="A594" s="7" t="s">
        <v>1675</v>
      </c>
      <c r="B594" s="8" t="n">
        <v>100.243548</v>
      </c>
      <c r="C594" s="9" t="n">
        <f aca="false">IF(AND(ISNUMBER(B594),ISNUMBER(B593),B593&lt;&gt;0),B594/B593-1,"")</f>
        <v>0.000848284747632988</v>
      </c>
    </row>
    <row r="595" customFormat="false" ht="15" hidden="false" customHeight="false" outlineLevel="0" collapsed="false">
      <c r="A595" s="7" t="s">
        <v>1676</v>
      </c>
      <c r="B595" s="8" t="n">
        <v>100.295169</v>
      </c>
      <c r="C595" s="9" t="n">
        <f aca="false">IF(AND(ISNUMBER(B595),ISNUMBER(B594),B594&lt;&gt;0),B595/B594-1,"")</f>
        <v>0.000514955835362096</v>
      </c>
    </row>
    <row r="596" customFormat="false" ht="15" hidden="false" customHeight="false" outlineLevel="0" collapsed="false">
      <c r="A596" s="7" t="s">
        <v>1677</v>
      </c>
      <c r="B596" s="8" t="n">
        <v>100.281353</v>
      </c>
      <c r="C596" s="9" t="n">
        <f aca="false">IF(AND(ISNUMBER(B596),ISNUMBER(B595),B595&lt;&gt;0),B596/B595-1,"")</f>
        <v>-0.000137753394682472</v>
      </c>
    </row>
    <row r="597" customFormat="false" ht="15" hidden="false" customHeight="false" outlineLevel="0" collapsed="false">
      <c r="A597" s="7" t="s">
        <v>1678</v>
      </c>
      <c r="B597" s="8" t="n">
        <v>100.329169</v>
      </c>
      <c r="C597" s="9" t="n">
        <f aca="false">IF(AND(ISNUMBER(B597),ISNUMBER(B596),B596&lt;&gt;0),B597/B596-1,"")</f>
        <v>0.000476818456966788</v>
      </c>
    </row>
    <row r="598" customFormat="false" ht="15" hidden="false" customHeight="false" outlineLevel="0" collapsed="false">
      <c r="A598" s="7" t="s">
        <v>1679</v>
      </c>
      <c r="B598" s="8" t="n">
        <v>100.290229</v>
      </c>
      <c r="C598" s="9" t="n">
        <f aca="false">IF(AND(ISNUMBER(B598),ISNUMBER(B597),B597&lt;&gt;0),B598/B597-1,"")</f>
        <v>-0.000388122421306925</v>
      </c>
    </row>
    <row r="599" customFormat="false" ht="15" hidden="false" customHeight="false" outlineLevel="0" collapsed="false">
      <c r="A599" s="7" t="s">
        <v>1680</v>
      </c>
      <c r="B599" s="8" t="n">
        <v>100.312545</v>
      </c>
      <c r="C599" s="9" t="n">
        <f aca="false">IF(AND(ISNUMBER(B599),ISNUMBER(B598),B598&lt;&gt;0),B599/B598-1,"")</f>
        <v>0.000222514199264667</v>
      </c>
    </row>
    <row r="600" customFormat="false" ht="15" hidden="false" customHeight="false" outlineLevel="0" collapsed="false">
      <c r="A600" s="7" t="s">
        <v>1681</v>
      </c>
      <c r="B600" s="8" t="n">
        <v>100.31896</v>
      </c>
      <c r="C600" s="9" t="n">
        <f aca="false">IF(AND(ISNUMBER(B600),ISNUMBER(B599),B599&lt;&gt;0),B600/B599-1,"")</f>
        <v>6.39501270753851E-005</v>
      </c>
    </row>
    <row r="601" customFormat="false" ht="15" hidden="false" customHeight="false" outlineLevel="0" collapsed="false">
      <c r="A601" s="7" t="s">
        <v>1682</v>
      </c>
      <c r="B601" s="8" t="n">
        <v>100.269719</v>
      </c>
      <c r="C601" s="9" t="n">
        <f aca="false">IF(AND(ISNUMBER(B601),ISNUMBER(B600),B600&lt;&gt;0),B601/B600-1,"")</f>
        <v>-0.000490844402693313</v>
      </c>
    </row>
    <row r="602" customFormat="false" ht="15" hidden="false" customHeight="false" outlineLevel="0" collapsed="false">
      <c r="A602" s="7" t="s">
        <v>1683</v>
      </c>
      <c r="B602" s="8" t="n">
        <v>100.258488</v>
      </c>
      <c r="C602" s="9" t="n">
        <f aca="false">IF(AND(ISNUMBER(B602),ISNUMBER(B601),B601&lt;&gt;0),B602/B601-1,"")</f>
        <v>-0.000112007893429911</v>
      </c>
    </row>
    <row r="603" customFormat="false" ht="15" hidden="false" customHeight="false" outlineLevel="0" collapsed="false">
      <c r="A603" s="7" t="s">
        <v>1684</v>
      </c>
      <c r="B603" s="8" t="n">
        <v>100.314984</v>
      </c>
      <c r="C603" s="9" t="n">
        <f aca="false">IF(AND(ISNUMBER(B603),ISNUMBER(B602),B602&lt;&gt;0),B603/B602-1,"")</f>
        <v>0.000563503411302069</v>
      </c>
    </row>
    <row r="604" customFormat="false" ht="15" hidden="false" customHeight="false" outlineLevel="0" collapsed="false">
      <c r="A604" s="7" t="s">
        <v>1685</v>
      </c>
      <c r="B604" s="8" t="n">
        <v>100.301219</v>
      </c>
      <c r="C604" s="9" t="n">
        <f aca="false">IF(AND(ISNUMBER(B604),ISNUMBER(B603),B603&lt;&gt;0),B604/B603-1,"")</f>
        <v>-0.000137217785929122</v>
      </c>
    </row>
    <row r="605" customFormat="false" ht="15" hidden="false" customHeight="false" outlineLevel="0" collapsed="false">
      <c r="A605" s="7" t="s">
        <v>1686</v>
      </c>
      <c r="B605" s="8" t="n">
        <v>100.289257</v>
      </c>
      <c r="C605" s="9" t="n">
        <f aca="false">IF(AND(ISNUMBER(B605),ISNUMBER(B604),B604&lt;&gt;0),B605/B604-1,"")</f>
        <v>-0.000119260763919549</v>
      </c>
    </row>
    <row r="606" customFormat="false" ht="15" hidden="false" customHeight="false" outlineLevel="0" collapsed="false">
      <c r="A606" s="7" t="s">
        <v>1687</v>
      </c>
      <c r="B606" s="8" t="n">
        <v>100.183148</v>
      </c>
      <c r="C606" s="9" t="n">
        <f aca="false">IF(AND(ISNUMBER(B606),ISNUMBER(B605),B605&lt;&gt;0),B606/B605-1,"")</f>
        <v>-0.00105802957539114</v>
      </c>
    </row>
    <row r="607" customFormat="false" ht="15" hidden="false" customHeight="false" outlineLevel="0" collapsed="false">
      <c r="A607" s="7" t="s">
        <v>1688</v>
      </c>
      <c r="B607" s="8" t="n">
        <v>100.633194</v>
      </c>
      <c r="C607" s="9" t="n">
        <f aca="false">IF(AND(ISNUMBER(B607),ISNUMBER(B606),B606&lt;&gt;0),B607/B606-1,"")</f>
        <v>0.00449223256590026</v>
      </c>
    </row>
    <row r="608" customFormat="false" ht="15" hidden="false" customHeight="false" outlineLevel="0" collapsed="false">
      <c r="A608" s="7" t="s">
        <v>1689</v>
      </c>
      <c r="B608" s="8" t="n">
        <v>100.502571</v>
      </c>
      <c r="C608" s="9" t="n">
        <f aca="false">IF(AND(ISNUMBER(B608),ISNUMBER(B607),B607&lt;&gt;0),B608/B607-1,"")</f>
        <v>-0.00129801107177419</v>
      </c>
    </row>
    <row r="609" customFormat="false" ht="15" hidden="false" customHeight="false" outlineLevel="0" collapsed="false">
      <c r="A609" s="7" t="s">
        <v>1690</v>
      </c>
      <c r="B609" s="8" t="n">
        <v>100.464906</v>
      </c>
      <c r="C609" s="9" t="n">
        <f aca="false">IF(AND(ISNUMBER(B609),ISNUMBER(B608),B608&lt;&gt;0),B609/B608-1,"")</f>
        <v>-0.000374766532092008</v>
      </c>
    </row>
    <row r="610" customFormat="false" ht="15" hidden="false" customHeight="false" outlineLevel="0" collapsed="false">
      <c r="A610" s="7" t="s">
        <v>1691</v>
      </c>
      <c r="B610" s="8" t="n">
        <v>100.374889</v>
      </c>
      <c r="C610" s="9" t="n">
        <f aca="false">IF(AND(ISNUMBER(B610),ISNUMBER(B609),B609&lt;&gt;0),B610/B609-1,"")</f>
        <v>-0.000896004421683361</v>
      </c>
    </row>
    <row r="611" customFormat="false" ht="15" hidden="false" customHeight="false" outlineLevel="0" collapsed="false">
      <c r="A611" s="7" t="s">
        <v>1692</v>
      </c>
      <c r="B611" s="8" t="n">
        <v>100.411231</v>
      </c>
      <c r="C611" s="9" t="n">
        <f aca="false">IF(AND(ISNUMBER(B611),ISNUMBER(B610),B610&lt;&gt;0),B611/B610-1,"")</f>
        <v>0.000362062666888763</v>
      </c>
    </row>
    <row r="612" customFormat="false" ht="15" hidden="false" customHeight="false" outlineLevel="0" collapsed="false">
      <c r="A612" s="7" t="s">
        <v>1693</v>
      </c>
      <c r="B612" s="8" t="n">
        <v>100.426599</v>
      </c>
      <c r="C612" s="9" t="n">
        <f aca="false">IF(AND(ISNUMBER(B612),ISNUMBER(B611),B611&lt;&gt;0),B612/B611-1,"")</f>
        <v>0.000153050608452388</v>
      </c>
    </row>
    <row r="613" customFormat="false" ht="15" hidden="false" customHeight="false" outlineLevel="0" collapsed="false">
      <c r="A613" s="7" t="s">
        <v>1694</v>
      </c>
      <c r="B613" s="8" t="n">
        <v>100.427261</v>
      </c>
      <c r="C613" s="9" t="n">
        <f aca="false">IF(AND(ISNUMBER(B613),ISNUMBER(B612),B612&lt;&gt;0),B613/B612-1,"")</f>
        <v>6.59187910967418E-006</v>
      </c>
    </row>
    <row r="614" customFormat="false" ht="15" hidden="false" customHeight="false" outlineLevel="0" collapsed="false">
      <c r="A614" s="7" t="s">
        <v>1695</v>
      </c>
      <c r="B614" s="8" t="n">
        <v>100.643588</v>
      </c>
      <c r="C614" s="9" t="n">
        <f aca="false">IF(AND(ISNUMBER(B614),ISNUMBER(B613),B613&lt;&gt;0),B614/B613-1,"")</f>
        <v>0.00215406651387218</v>
      </c>
    </row>
    <row r="615" customFormat="false" ht="15" hidden="false" customHeight="false" outlineLevel="0" collapsed="false">
      <c r="A615" s="7" t="s">
        <v>1696</v>
      </c>
      <c r="B615" s="8" t="n">
        <v>100.758844</v>
      </c>
      <c r="C615" s="9" t="n">
        <f aca="false">IF(AND(ISNUMBER(B615),ISNUMBER(B614),B614&lt;&gt;0),B615/B614-1,"")</f>
        <v>0.00114518969653599</v>
      </c>
    </row>
    <row r="616" customFormat="false" ht="15" hidden="false" customHeight="false" outlineLevel="0" collapsed="false">
      <c r="A616" s="7" t="s">
        <v>1697</v>
      </c>
      <c r="B616" s="8" t="n">
        <v>100.753027</v>
      </c>
      <c r="C616" s="9" t="n">
        <f aca="false">IF(AND(ISNUMBER(B616),ISNUMBER(B615),B615&lt;&gt;0),B616/B615-1,"")</f>
        <v>-5.77319049034353E-005</v>
      </c>
    </row>
    <row r="617" customFormat="false" ht="15" hidden="false" customHeight="false" outlineLevel="0" collapsed="false">
      <c r="A617" s="7" t="s">
        <v>1698</v>
      </c>
      <c r="B617" s="8" t="n">
        <v>100.83225</v>
      </c>
      <c r="C617" s="9" t="n">
        <f aca="false">IF(AND(ISNUMBER(B617),ISNUMBER(B616),B616&lt;&gt;0),B617/B616-1,"")</f>
        <v>0.000786308881816522</v>
      </c>
    </row>
    <row r="618" customFormat="false" ht="15" hidden="false" customHeight="false" outlineLevel="0" collapsed="false">
      <c r="A618" s="7" t="s">
        <v>1699</v>
      </c>
      <c r="B618" s="8" t="n">
        <v>100.890975</v>
      </c>
      <c r="C618" s="9" t="n">
        <f aca="false">IF(AND(ISNUMBER(B618),ISNUMBER(B617),B617&lt;&gt;0),B618/B617-1,"")</f>
        <v>0.000582402951436523</v>
      </c>
    </row>
    <row r="619" customFormat="false" ht="15" hidden="false" customHeight="false" outlineLevel="0" collapsed="false">
      <c r="A619" s="7" t="s">
        <v>1700</v>
      </c>
      <c r="B619" s="8" t="n">
        <v>100.80916</v>
      </c>
      <c r="C619" s="9" t="n">
        <f aca="false">IF(AND(ISNUMBER(B619),ISNUMBER(B618),B618&lt;&gt;0),B619/B618-1,"")</f>
        <v>-0.000810924862208906</v>
      </c>
    </row>
    <row r="620" customFormat="false" ht="15" hidden="false" customHeight="false" outlineLevel="0" collapsed="false">
      <c r="A620" s="7" t="s">
        <v>1701</v>
      </c>
      <c r="B620" s="8" t="n">
        <v>100.778422</v>
      </c>
      <c r="C620" s="9" t="n">
        <f aca="false">IF(AND(ISNUMBER(B620),ISNUMBER(B619),B619&lt;&gt;0),B620/B619-1,"")</f>
        <v>-0.00030491276784772</v>
      </c>
    </row>
    <row r="621" customFormat="false" ht="15" hidden="false" customHeight="false" outlineLevel="0" collapsed="false">
      <c r="A621" s="7" t="s">
        <v>1702</v>
      </c>
      <c r="B621" s="8" t="n">
        <v>100.772277</v>
      </c>
      <c r="C621" s="9" t="n">
        <f aca="false">IF(AND(ISNUMBER(B621),ISNUMBER(B620),B620&lt;&gt;0),B621/B620-1,"")</f>
        <v>-6.09753544266178E-005</v>
      </c>
    </row>
    <row r="622" customFormat="false" ht="15" hidden="false" customHeight="false" outlineLevel="0" collapsed="false">
      <c r="A622" s="7" t="s">
        <v>1703</v>
      </c>
      <c r="B622" s="8" t="n">
        <v>100.789446</v>
      </c>
      <c r="C622" s="9" t="n">
        <f aca="false">IF(AND(ISNUMBER(B622),ISNUMBER(B621),B621&lt;&gt;0),B622/B621-1,"")</f>
        <v>0.000170374238938731</v>
      </c>
    </row>
    <row r="623" customFormat="false" ht="15" hidden="false" customHeight="false" outlineLevel="0" collapsed="false">
      <c r="A623" s="7" t="s">
        <v>1704</v>
      </c>
      <c r="B623" s="8" t="n">
        <v>100.751755</v>
      </c>
      <c r="C623" s="9" t="n">
        <f aca="false">IF(AND(ISNUMBER(B623),ISNUMBER(B622),B622&lt;&gt;0),B623/B622-1,"")</f>
        <v>-0.000373957805066216</v>
      </c>
    </row>
    <row r="624" customFormat="false" ht="15" hidden="false" customHeight="false" outlineLevel="0" collapsed="false">
      <c r="A624" s="7" t="s">
        <v>1705</v>
      </c>
      <c r="B624" s="8" t="n">
        <v>100.817458</v>
      </c>
      <c r="C624" s="9" t="n">
        <f aca="false">IF(AND(ISNUMBER(B624),ISNUMBER(B623),B623&lt;&gt;0),B624/B623-1,"")</f>
        <v>0.000652127598174346</v>
      </c>
    </row>
    <row r="625" customFormat="false" ht="15" hidden="false" customHeight="false" outlineLevel="0" collapsed="false">
      <c r="A625" s="7" t="s">
        <v>1706</v>
      </c>
      <c r="B625" s="8" t="n">
        <v>100.66185</v>
      </c>
      <c r="C625" s="9" t="n">
        <f aca="false">IF(AND(ISNUMBER(B625),ISNUMBER(B624),B624&lt;&gt;0),B625/B624-1,"")</f>
        <v>-0.0015434628395411</v>
      </c>
    </row>
    <row r="626" customFormat="false" ht="15" hidden="false" customHeight="false" outlineLevel="0" collapsed="false">
      <c r="A626" s="7" t="s">
        <v>1707</v>
      </c>
      <c r="B626" s="8" t="n">
        <v>100.763528</v>
      </c>
      <c r="C626" s="9" t="n">
        <f aca="false">IF(AND(ISNUMBER(B626),ISNUMBER(B625),B625&lt;&gt;0),B626/B625-1,"")</f>
        <v>0.00101009468830537</v>
      </c>
    </row>
    <row r="627" customFormat="false" ht="15" hidden="false" customHeight="false" outlineLevel="0" collapsed="false">
      <c r="A627" s="7" t="s">
        <v>1708</v>
      </c>
      <c r="B627" s="8" t="n">
        <v>100.583854</v>
      </c>
      <c r="C627" s="9" t="n">
        <f aca="false">IF(AND(ISNUMBER(B627),ISNUMBER(B626),B626&lt;&gt;0),B627/B626-1,"")</f>
        <v>-0.00178312533876335</v>
      </c>
    </row>
    <row r="628" customFormat="false" ht="15" hidden="false" customHeight="false" outlineLevel="0" collapsed="false">
      <c r="A628" s="7" t="s">
        <v>1709</v>
      </c>
      <c r="B628" s="8" t="n">
        <v>100.460893</v>
      </c>
      <c r="C628" s="9" t="n">
        <f aca="false">IF(AND(ISNUMBER(B628),ISNUMBER(B627),B627&lt;&gt;0),B628/B627-1,"")</f>
        <v>-0.00122247254514629</v>
      </c>
    </row>
    <row r="629" customFormat="false" ht="15" hidden="false" customHeight="false" outlineLevel="0" collapsed="false">
      <c r="A629" s="7" t="s">
        <v>1710</v>
      </c>
      <c r="B629" s="8" t="n">
        <v>100.342289</v>
      </c>
      <c r="C629" s="9" t="n">
        <f aca="false">IF(AND(ISNUMBER(B629),ISNUMBER(B628),B628&lt;&gt;0),B629/B628-1,"")</f>
        <v>-0.00118059870321885</v>
      </c>
    </row>
    <row r="630" customFormat="false" ht="15" hidden="false" customHeight="false" outlineLevel="0" collapsed="false">
      <c r="A630" s="7" t="s">
        <v>1711</v>
      </c>
      <c r="B630" s="8" t="n">
        <v>100.365929</v>
      </c>
      <c r="C630" s="9" t="n">
        <f aca="false">IF(AND(ISNUMBER(B630),ISNUMBER(B629),B629&lt;&gt;0),B630/B629-1,"")</f>
        <v>0.00023559358905989</v>
      </c>
    </row>
    <row r="631" customFormat="false" ht="15" hidden="false" customHeight="false" outlineLevel="0" collapsed="false">
      <c r="A631" s="7" t="s">
        <v>1712</v>
      </c>
      <c r="B631" s="8" t="n">
        <v>100.398607</v>
      </c>
      <c r="C631" s="9" t="n">
        <f aca="false">IF(AND(ISNUMBER(B631),ISNUMBER(B630),B630&lt;&gt;0),B631/B630-1,"")</f>
        <v>0.000325588576976177</v>
      </c>
    </row>
    <row r="632" customFormat="false" ht="15" hidden="false" customHeight="false" outlineLevel="0" collapsed="false">
      <c r="A632" s="7" t="s">
        <v>1713</v>
      </c>
      <c r="B632" s="8" t="n">
        <v>100.415244</v>
      </c>
      <c r="C632" s="9" t="n">
        <f aca="false">IF(AND(ISNUMBER(B632),ISNUMBER(B631),B631&lt;&gt;0),B632/B631-1,"")</f>
        <v>0.000165709470451247</v>
      </c>
    </row>
    <row r="633" customFormat="false" ht="15" hidden="false" customHeight="false" outlineLevel="0" collapsed="false">
      <c r="A633" s="7" t="s">
        <v>1714</v>
      </c>
      <c r="B633" s="8" t="n">
        <v>100.383326</v>
      </c>
      <c r="C633" s="9" t="n">
        <f aca="false">IF(AND(ISNUMBER(B633),ISNUMBER(B632),B632&lt;&gt;0),B633/B632-1,"")</f>
        <v>-0.00031786010498569</v>
      </c>
    </row>
    <row r="634" customFormat="false" ht="15" hidden="false" customHeight="false" outlineLevel="0" collapsed="false">
      <c r="A634" s="7" t="s">
        <v>1715</v>
      </c>
      <c r="B634" s="8" t="n">
        <v>100.41342</v>
      </c>
      <c r="C634" s="9" t="n">
        <f aca="false">IF(AND(ISNUMBER(B634),ISNUMBER(B633),B633&lt;&gt;0),B634/B633-1,"")</f>
        <v>0.000299790823826696</v>
      </c>
    </row>
    <row r="635" customFormat="false" ht="15" hidden="false" customHeight="false" outlineLevel="0" collapsed="false">
      <c r="A635" s="7" t="s">
        <v>1716</v>
      </c>
      <c r="B635" s="8" t="n">
        <v>100.35195</v>
      </c>
      <c r="C635" s="9" t="n">
        <f aca="false">IF(AND(ISNUMBER(B635),ISNUMBER(B634),B634&lt;&gt;0),B635/B634-1,"")</f>
        <v>-0.000612169170216448</v>
      </c>
    </row>
    <row r="636" customFormat="false" ht="15" hidden="false" customHeight="false" outlineLevel="0" collapsed="false">
      <c r="A636" s="7" t="s">
        <v>1717</v>
      </c>
      <c r="B636" s="8" t="n">
        <v>100.296331</v>
      </c>
      <c r="C636" s="9" t="n">
        <f aca="false">IF(AND(ISNUMBER(B636),ISNUMBER(B635),B635&lt;&gt;0),B636/B635-1,"")</f>
        <v>-0.000554239354591535</v>
      </c>
    </row>
    <row r="637" customFormat="false" ht="15" hidden="false" customHeight="false" outlineLevel="0" collapsed="false">
      <c r="A637" s="7" t="s">
        <v>1718</v>
      </c>
      <c r="B637" s="8" t="n">
        <v>100.254181</v>
      </c>
      <c r="C637" s="9" t="n">
        <f aca="false">IF(AND(ISNUMBER(B637),ISNUMBER(B636),B636&lt;&gt;0),B637/B636-1,"")</f>
        <v>-0.000420254655177699</v>
      </c>
    </row>
    <row r="638" customFormat="false" ht="15" hidden="false" customHeight="false" outlineLevel="0" collapsed="false">
      <c r="A638" s="7" t="s">
        <v>1719</v>
      </c>
      <c r="B638" s="8" t="n">
        <v>100.190575</v>
      </c>
      <c r="C638" s="9" t="n">
        <f aca="false">IF(AND(ISNUMBER(B638),ISNUMBER(B637),B637&lt;&gt;0),B638/B637-1,"")</f>
        <v>-0.000634447355367773</v>
      </c>
    </row>
    <row r="639" customFormat="false" ht="15" hidden="false" customHeight="false" outlineLevel="0" collapsed="false">
      <c r="A639" s="7" t="s">
        <v>1720</v>
      </c>
      <c r="B639" s="8" t="n">
        <v>100.163226</v>
      </c>
      <c r="C639" s="9" t="n">
        <f aca="false">IF(AND(ISNUMBER(B639),ISNUMBER(B638),B638&lt;&gt;0),B639/B638-1,"")</f>
        <v>-0.000272969787826871</v>
      </c>
    </row>
    <row r="640" customFormat="false" ht="15" hidden="false" customHeight="false" outlineLevel="0" collapsed="false">
      <c r="A640" s="7" t="s">
        <v>1721</v>
      </c>
      <c r="B640" s="8" t="n">
        <v>100.165957</v>
      </c>
      <c r="C640" s="9" t="n">
        <f aca="false">IF(AND(ISNUMBER(B640),ISNUMBER(B639),B639&lt;&gt;0),B640/B639-1,"")</f>
        <v>2.7265495622153E-005</v>
      </c>
    </row>
    <row r="641" customFormat="false" ht="15" hidden="false" customHeight="false" outlineLevel="0" collapsed="false">
      <c r="A641" s="7" t="s">
        <v>1722</v>
      </c>
      <c r="B641" s="8" t="n">
        <v>100.149357</v>
      </c>
      <c r="C641" s="9" t="n">
        <f aca="false">IF(AND(ISNUMBER(B641),ISNUMBER(B640),B640&lt;&gt;0),B641/B640-1,"")</f>
        <v>-0.000165724967815306</v>
      </c>
    </row>
    <row r="642" customFormat="false" ht="15" hidden="false" customHeight="false" outlineLevel="0" collapsed="false">
      <c r="A642" s="7" t="s">
        <v>1723</v>
      </c>
      <c r="B642" s="8" t="n">
        <v>100.019189</v>
      </c>
      <c r="C642" s="9" t="n">
        <f aca="false">IF(AND(ISNUMBER(B642),ISNUMBER(B641),B641&lt;&gt;0),B642/B641-1,"")</f>
        <v>-0.00129973874919631</v>
      </c>
    </row>
    <row r="643" customFormat="false" ht="15" hidden="false" customHeight="false" outlineLevel="0" collapsed="false">
      <c r="A643" s="7" t="s">
        <v>1724</v>
      </c>
      <c r="B643" s="8" t="n">
        <v>100.07396</v>
      </c>
      <c r="C643" s="9" t="n">
        <f aca="false">IF(AND(ISNUMBER(B643),ISNUMBER(B642),B642&lt;&gt;0),B643/B642-1,"")</f>
        <v>0.000547604920091871</v>
      </c>
    </row>
    <row r="644" customFormat="false" ht="15" hidden="false" customHeight="false" outlineLevel="0" collapsed="false">
      <c r="A644" s="7" t="s">
        <v>1725</v>
      </c>
      <c r="B644" s="8" t="n">
        <v>100.1646</v>
      </c>
      <c r="C644" s="9" t="n">
        <f aca="false">IF(AND(ISNUMBER(B644),ISNUMBER(B643),B643&lt;&gt;0),B644/B643-1,"")</f>
        <v>0.00090573012200168</v>
      </c>
    </row>
    <row r="645" customFormat="false" ht="15" hidden="false" customHeight="false" outlineLevel="0" collapsed="false">
      <c r="A645" s="7" t="s">
        <v>1726</v>
      </c>
      <c r="B645" s="8" t="n">
        <v>100.043622</v>
      </c>
      <c r="C645" s="9" t="n">
        <f aca="false">IF(AND(ISNUMBER(B645),ISNUMBER(B644),B644&lt;&gt;0),B645/B644-1,"")</f>
        <v>-0.00120779197441001</v>
      </c>
    </row>
    <row r="646" customFormat="false" ht="15" hidden="false" customHeight="false" outlineLevel="0" collapsed="false">
      <c r="A646" s="7" t="s">
        <v>1727</v>
      </c>
      <c r="B646" s="8" t="n">
        <v>100.087536</v>
      </c>
      <c r="C646" s="9" t="n">
        <f aca="false">IF(AND(ISNUMBER(B646),ISNUMBER(B645),B645&lt;&gt;0),B646/B645-1,"")</f>
        <v>0.00043894852187587</v>
      </c>
    </row>
    <row r="647" customFormat="false" ht="15" hidden="false" customHeight="false" outlineLevel="0" collapsed="false">
      <c r="A647" s="7" t="s">
        <v>1728</v>
      </c>
      <c r="B647" s="8" t="n">
        <v>99.980521</v>
      </c>
      <c r="C647" s="9" t="n">
        <f aca="false">IF(AND(ISNUMBER(B647),ISNUMBER(B646),B646&lt;&gt;0),B647/B646-1,"")</f>
        <v>-0.00106921405278682</v>
      </c>
    </row>
    <row r="648" customFormat="false" ht="15" hidden="false" customHeight="false" outlineLevel="0" collapsed="false">
      <c r="A648" s="7" t="s">
        <v>1729</v>
      </c>
      <c r="B648" s="8" t="n">
        <v>100.017672</v>
      </c>
      <c r="C648" s="9" t="n">
        <f aca="false">IF(AND(ISNUMBER(B648),ISNUMBER(B647),B647&lt;&gt;0),B648/B647-1,"")</f>
        <v>0.000371582380531921</v>
      </c>
    </row>
    <row r="649" customFormat="false" ht="15" hidden="false" customHeight="false" outlineLevel="0" collapsed="false">
      <c r="A649" s="7" t="s">
        <v>1730</v>
      </c>
      <c r="B649" s="8" t="n">
        <v>99.987893</v>
      </c>
      <c r="C649" s="9" t="n">
        <f aca="false">IF(AND(ISNUMBER(B649),ISNUMBER(B648),B648&lt;&gt;0),B649/B648-1,"")</f>
        <v>-0.000297737383849528</v>
      </c>
    </row>
    <row r="650" customFormat="false" ht="15" hidden="false" customHeight="false" outlineLevel="0" collapsed="false">
      <c r="A650" s="7" t="s">
        <v>1731</v>
      </c>
      <c r="B650" s="8" t="n">
        <v>99.960287</v>
      </c>
      <c r="C650" s="9" t="n">
        <f aca="false">IF(AND(ISNUMBER(B650),ISNUMBER(B649),B649&lt;&gt;0),B650/B649-1,"")</f>
        <v>-0.000276093426631263</v>
      </c>
    </row>
    <row r="651" customFormat="false" ht="15" hidden="false" customHeight="false" outlineLevel="0" collapsed="false">
      <c r="A651" s="7" t="s">
        <v>1732</v>
      </c>
      <c r="B651" s="8" t="n">
        <v>99.962204</v>
      </c>
      <c r="C651" s="9" t="n">
        <f aca="false">IF(AND(ISNUMBER(B651),ISNUMBER(B650),B650&lt;&gt;0),B651/B650-1,"")</f>
        <v>1.91776160067825E-005</v>
      </c>
    </row>
    <row r="652" customFormat="false" ht="15" hidden="false" customHeight="false" outlineLevel="0" collapsed="false">
      <c r="A652" s="7" t="s">
        <v>1733</v>
      </c>
      <c r="B652" s="8" t="n">
        <v>99.970665</v>
      </c>
      <c r="C652" s="9" t="n">
        <f aca="false">IF(AND(ISNUMBER(B652),ISNUMBER(B651),B651&lt;&gt;0),B652/B651-1,"")</f>
        <v>8.46419912869934E-005</v>
      </c>
    </row>
    <row r="653" customFormat="false" ht="15" hidden="false" customHeight="false" outlineLevel="0" collapsed="false">
      <c r="A653" s="7" t="s">
        <v>1734</v>
      </c>
      <c r="B653" s="8" t="n">
        <v>100.001771</v>
      </c>
      <c r="C653" s="9" t="n">
        <f aca="false">IF(AND(ISNUMBER(B653),ISNUMBER(B652),B652&lt;&gt;0),B653/B652-1,"")</f>
        <v>0.000311151276227051</v>
      </c>
    </row>
    <row r="654" customFormat="false" ht="15" hidden="false" customHeight="false" outlineLevel="0" collapsed="false">
      <c r="A654" s="7" t="s">
        <v>1735</v>
      </c>
      <c r="B654" s="8" t="n">
        <v>100.061021</v>
      </c>
      <c r="C654" s="9" t="n">
        <f aca="false">IF(AND(ISNUMBER(B654),ISNUMBER(B653),B653&lt;&gt;0),B654/B653-1,"")</f>
        <v>0.000592489507010852</v>
      </c>
    </row>
    <row r="655" customFormat="false" ht="15" hidden="false" customHeight="false" outlineLevel="0" collapsed="false">
      <c r="A655" s="7" t="s">
        <v>1736</v>
      </c>
      <c r="B655" s="8" t="n">
        <v>99.805929</v>
      </c>
      <c r="C655" s="9" t="n">
        <f aca="false">IF(AND(ISNUMBER(B655),ISNUMBER(B654),B654&lt;&gt;0),B655/B654-1,"")</f>
        <v>-0.0025493643523784</v>
      </c>
    </row>
    <row r="656" customFormat="false" ht="15" hidden="false" customHeight="false" outlineLevel="0" collapsed="false">
      <c r="A656" s="7" t="s">
        <v>1737</v>
      </c>
      <c r="B656" s="8" t="n">
        <v>99.81304</v>
      </c>
      <c r="C656" s="9" t="n">
        <f aca="false">IF(AND(ISNUMBER(B656),ISNUMBER(B655),B655&lt;&gt;0),B656/B655-1,"")</f>
        <v>7.12482722342589E-005</v>
      </c>
    </row>
    <row r="657" customFormat="false" ht="15" hidden="false" customHeight="false" outlineLevel="0" collapsed="false">
      <c r="A657" s="7" t="s">
        <v>1738</v>
      </c>
      <c r="B657" s="8" t="n">
        <v>99.725755</v>
      </c>
      <c r="C657" s="9" t="n">
        <f aca="false">IF(AND(ISNUMBER(B657),ISNUMBER(B656),B656&lt;&gt;0),B657/B656-1,"")</f>
        <v>-0.000874484937038234</v>
      </c>
    </row>
    <row r="658" customFormat="false" ht="15" hidden="false" customHeight="false" outlineLevel="0" collapsed="false">
      <c r="A658" s="7" t="s">
        <v>1739</v>
      </c>
      <c r="B658" s="8" t="n">
        <v>99.676449</v>
      </c>
      <c r="C658" s="9" t="n">
        <f aca="false">IF(AND(ISNUMBER(B658),ISNUMBER(B657),B657&lt;&gt;0),B658/B657-1,"")</f>
        <v>-0.000494415910914925</v>
      </c>
    </row>
    <row r="659" customFormat="false" ht="15" hidden="false" customHeight="false" outlineLevel="0" collapsed="false">
      <c r="A659" s="7" t="s">
        <v>1740</v>
      </c>
      <c r="B659" s="8" t="n">
        <v>99.812705</v>
      </c>
      <c r="C659" s="9" t="n">
        <f aca="false">IF(AND(ISNUMBER(B659),ISNUMBER(B658),B658&lt;&gt;0),B659/B658-1,"")</f>
        <v>0.00136698288679993</v>
      </c>
    </row>
    <row r="660" customFormat="false" ht="15" hidden="false" customHeight="false" outlineLevel="0" collapsed="false">
      <c r="A660" s="7" t="s">
        <v>1741</v>
      </c>
      <c r="B660" s="8" t="n">
        <v>99.811246</v>
      </c>
      <c r="C660" s="9" t="n">
        <f aca="false">IF(AND(ISNUMBER(B660),ISNUMBER(B659),B659&lt;&gt;0),B660/B659-1,"")</f>
        <v>-1.46173776174319E-005</v>
      </c>
    </row>
    <row r="661" customFormat="false" ht="15" hidden="false" customHeight="false" outlineLevel="0" collapsed="false">
      <c r="A661" s="7" t="s">
        <v>1742</v>
      </c>
      <c r="B661" s="8" t="n">
        <v>99.808434</v>
      </c>
      <c r="C661" s="9" t="n">
        <f aca="false">IF(AND(ISNUMBER(B661),ISNUMBER(B660),B660&lt;&gt;0),B661/B660-1,"")</f>
        <v>-2.81731780003014E-005</v>
      </c>
    </row>
    <row r="662" customFormat="false" ht="15" hidden="false" customHeight="false" outlineLevel="0" collapsed="false">
      <c r="A662" s="7" t="s">
        <v>1743</v>
      </c>
      <c r="B662" s="8" t="n">
        <v>99.841155</v>
      </c>
      <c r="C662" s="9" t="n">
        <f aca="false">IF(AND(ISNUMBER(B662),ISNUMBER(B661),B661&lt;&gt;0),B662/B661-1,"")</f>
        <v>0.000327838026193295</v>
      </c>
    </row>
    <row r="663" customFormat="false" ht="15" hidden="false" customHeight="false" outlineLevel="0" collapsed="false">
      <c r="A663" s="7" t="s">
        <v>1744</v>
      </c>
      <c r="B663" s="8" t="n">
        <v>99.818065</v>
      </c>
      <c r="C663" s="9" t="n">
        <f aca="false">IF(AND(ISNUMBER(B663),ISNUMBER(B662),B662&lt;&gt;0),B663/B662-1,"")</f>
        <v>-0.000231267356632592</v>
      </c>
    </row>
    <row r="664" customFormat="false" ht="15" hidden="false" customHeight="false" outlineLevel="0" collapsed="false">
      <c r="A664" s="7" t="s">
        <v>1745</v>
      </c>
      <c r="B664" s="8" t="n">
        <v>99.856701</v>
      </c>
      <c r="C664" s="9" t="n">
        <f aca="false">IF(AND(ISNUMBER(B664),ISNUMBER(B663),B663&lt;&gt;0),B664/B663-1,"")</f>
        <v>0.000387064205261911</v>
      </c>
    </row>
    <row r="665" customFormat="false" ht="15" hidden="false" customHeight="false" outlineLevel="0" collapsed="false">
      <c r="A665" s="7" t="s">
        <v>1746</v>
      </c>
      <c r="B665" s="8" t="n">
        <v>99.94462</v>
      </c>
      <c r="C665" s="9" t="n">
        <f aca="false">IF(AND(ISNUMBER(B665),ISNUMBER(B664),B664&lt;&gt;0),B665/B664-1,"")</f>
        <v>0.000880451678450633</v>
      </c>
    </row>
    <row r="666" customFormat="false" ht="15" hidden="false" customHeight="false" outlineLevel="0" collapsed="false">
      <c r="A666" s="7" t="s">
        <v>1747</v>
      </c>
      <c r="B666" s="8" t="n">
        <v>99.953475</v>
      </c>
      <c r="C666" s="9" t="n">
        <f aca="false">IF(AND(ISNUMBER(B666),ISNUMBER(B665),B665&lt;&gt;0),B666/B665-1,"")</f>
        <v>8.85990661627645E-005</v>
      </c>
    </row>
    <row r="667" customFormat="false" ht="15" hidden="false" customHeight="false" outlineLevel="0" collapsed="false">
      <c r="A667" s="7" t="s">
        <v>1748</v>
      </c>
      <c r="B667" s="8" t="n">
        <v>100.067236</v>
      </c>
      <c r="C667" s="9" t="n">
        <f aca="false">IF(AND(ISNUMBER(B667),ISNUMBER(B666),B666&lt;&gt;0),B667/B666-1,"")</f>
        <v>0.00113813951941144</v>
      </c>
    </row>
    <row r="668" customFormat="false" ht="15" hidden="false" customHeight="false" outlineLevel="0" collapsed="false">
      <c r="A668" s="7" t="s">
        <v>1749</v>
      </c>
      <c r="B668" s="8" t="n">
        <v>100.017699</v>
      </c>
      <c r="C668" s="9" t="n">
        <f aca="false">IF(AND(ISNUMBER(B668),ISNUMBER(B667),B667&lt;&gt;0),B668/B667-1,"")</f>
        <v>-0.000495037156817202</v>
      </c>
    </row>
    <row r="669" customFormat="false" ht="15" hidden="false" customHeight="false" outlineLevel="0" collapsed="false">
      <c r="A669" s="7" t="s">
        <v>1750</v>
      </c>
      <c r="B669" s="8" t="n">
        <v>100.130804</v>
      </c>
      <c r="C669" s="9" t="n">
        <f aca="false">IF(AND(ISNUMBER(B669),ISNUMBER(B668),B668&lt;&gt;0),B669/B668-1,"")</f>
        <v>0.00113084985088485</v>
      </c>
    </row>
    <row r="670" customFormat="false" ht="15" hidden="false" customHeight="false" outlineLevel="0" collapsed="false">
      <c r="A670" s="7" t="s">
        <v>1751</v>
      </c>
      <c r="B670" s="8" t="n">
        <v>100.194554</v>
      </c>
      <c r="C670" s="9" t="n">
        <f aca="false">IF(AND(ISNUMBER(B670),ISNUMBER(B669),B669&lt;&gt;0),B670/B669-1,"")</f>
        <v>0.00063666721381761</v>
      </c>
    </row>
    <row r="671" customFormat="false" ht="15" hidden="false" customHeight="false" outlineLevel="0" collapsed="false">
      <c r="A671" s="7" t="s">
        <v>1752</v>
      </c>
      <c r="B671" s="8" t="n">
        <v>100.074618</v>
      </c>
      <c r="C671" s="9" t="n">
        <f aca="false">IF(AND(ISNUMBER(B671),ISNUMBER(B670),B670&lt;&gt;0),B671/B670-1,"")</f>
        <v>-0.00119703112805902</v>
      </c>
    </row>
    <row r="672" customFormat="false" ht="15" hidden="false" customHeight="false" outlineLevel="0" collapsed="false">
      <c r="A672" s="7" t="s">
        <v>1753</v>
      </c>
      <c r="B672" s="8" t="n">
        <v>99.986734</v>
      </c>
      <c r="C672" s="9" t="n">
        <f aca="false">IF(AND(ISNUMBER(B672),ISNUMBER(B671),B671&lt;&gt;0),B672/B671-1,"")</f>
        <v>-0.000878184716128549</v>
      </c>
    </row>
    <row r="673" customFormat="false" ht="15" hidden="false" customHeight="false" outlineLevel="0" collapsed="false">
      <c r="A673" s="7" t="s">
        <v>1754</v>
      </c>
      <c r="B673" s="8" t="n">
        <v>100.008879</v>
      </c>
      <c r="C673" s="9" t="n">
        <f aca="false">IF(AND(ISNUMBER(B673),ISNUMBER(B672),B672&lt;&gt;0),B673/B672-1,"")</f>
        <v>0.000221479381454781</v>
      </c>
    </row>
    <row r="674" customFormat="false" ht="15" hidden="false" customHeight="false" outlineLevel="0" collapsed="false">
      <c r="A674" s="7" t="s">
        <v>1755</v>
      </c>
      <c r="B674" s="8" t="n">
        <v>99.981729</v>
      </c>
      <c r="C674" s="9" t="n">
        <f aca="false">IF(AND(ISNUMBER(B674),ISNUMBER(B673),B673&lt;&gt;0),B674/B673-1,"")</f>
        <v>-0.000271475895655127</v>
      </c>
    </row>
    <row r="675" customFormat="false" ht="15" hidden="false" customHeight="false" outlineLevel="0" collapsed="false">
      <c r="A675" s="7" t="s">
        <v>1756</v>
      </c>
      <c r="B675" s="8" t="n">
        <v>99.928385</v>
      </c>
      <c r="C675" s="9" t="n">
        <f aca="false">IF(AND(ISNUMBER(B675),ISNUMBER(B674),B674&lt;&gt;0),B675/B674-1,"")</f>
        <v>-0.000533537482633406</v>
      </c>
    </row>
    <row r="676" customFormat="false" ht="15" hidden="false" customHeight="false" outlineLevel="0" collapsed="false">
      <c r="A676" s="7" t="s">
        <v>1757</v>
      </c>
      <c r="B676" s="8" t="n">
        <v>99.942928</v>
      </c>
      <c r="C676" s="9" t="n">
        <f aca="false">IF(AND(ISNUMBER(B676),ISNUMBER(B675),B675&lt;&gt;0),B676/B675-1,"")</f>
        <v>0.000145534224334609</v>
      </c>
    </row>
    <row r="677" customFormat="false" ht="15" hidden="false" customHeight="false" outlineLevel="0" collapsed="false">
      <c r="A677" s="7" t="s">
        <v>1758</v>
      </c>
      <c r="B677" s="8" t="n">
        <v>99.886728</v>
      </c>
      <c r="C677" s="9" t="n">
        <f aca="false">IF(AND(ISNUMBER(B677),ISNUMBER(B676),B676&lt;&gt;0),B677/B676-1,"")</f>
        <v>-0.000562320927799842</v>
      </c>
    </row>
    <row r="678" customFormat="false" ht="15" hidden="false" customHeight="false" outlineLevel="0" collapsed="false">
      <c r="A678" s="7" t="s">
        <v>1759</v>
      </c>
      <c r="B678" s="8" t="n">
        <v>99.859495</v>
      </c>
      <c r="C678" s="9" t="n">
        <f aca="false">IF(AND(ISNUMBER(B678),ISNUMBER(B677),B677&lt;&gt;0),B678/B677-1,"")</f>
        <v>-0.00027263882344819</v>
      </c>
    </row>
    <row r="679" customFormat="false" ht="15" hidden="false" customHeight="false" outlineLevel="0" collapsed="false">
      <c r="A679" s="7" t="s">
        <v>1760</v>
      </c>
      <c r="B679" s="8" t="n">
        <v>99.80889</v>
      </c>
      <c r="C679" s="9" t="n">
        <f aca="false">IF(AND(ISNUMBER(B679),ISNUMBER(B678),B678&lt;&gt;0),B679/B678-1,"")</f>
        <v>-0.000506762025984542</v>
      </c>
    </row>
    <row r="680" customFormat="false" ht="15" hidden="false" customHeight="false" outlineLevel="0" collapsed="false">
      <c r="A680" s="7" t="s">
        <v>1761</v>
      </c>
      <c r="B680" s="8" t="n">
        <v>99.888322</v>
      </c>
      <c r="C680" s="9" t="n">
        <f aca="false">IF(AND(ISNUMBER(B680),ISNUMBER(B679),B679&lt;&gt;0),B680/B679-1,"")</f>
        <v>0.000795840931604452</v>
      </c>
    </row>
    <row r="681" customFormat="false" ht="15" hidden="false" customHeight="false" outlineLevel="0" collapsed="false">
      <c r="A681" s="7" t="s">
        <v>1762</v>
      </c>
      <c r="B681" s="8" t="n">
        <v>99.948456</v>
      </c>
      <c r="C681" s="9" t="n">
        <f aca="false">IF(AND(ISNUMBER(B681),ISNUMBER(B680),B680&lt;&gt;0),B681/B680-1,"")</f>
        <v>0.000602012315313427</v>
      </c>
    </row>
    <row r="682" customFormat="false" ht="15" hidden="false" customHeight="false" outlineLevel="0" collapsed="false">
      <c r="A682" s="7" t="s">
        <v>1763</v>
      </c>
      <c r="B682" s="8" t="n">
        <v>99.938262</v>
      </c>
      <c r="C682" s="9" t="n">
        <f aca="false">IF(AND(ISNUMBER(B682),ISNUMBER(B681),B681&lt;&gt;0),B682/B681-1,"")</f>
        <v>-0.000101992571050813</v>
      </c>
    </row>
    <row r="683" customFormat="false" ht="15" hidden="false" customHeight="false" outlineLevel="0" collapsed="false">
      <c r="A683" s="7" t="s">
        <v>1764</v>
      </c>
      <c r="B683" s="8" t="n">
        <v>100.028857</v>
      </c>
      <c r="C683" s="9" t="n">
        <f aca="false">IF(AND(ISNUMBER(B683),ISNUMBER(B682),B682&lt;&gt;0),B683/B682-1,"")</f>
        <v>0.00090650966093464</v>
      </c>
    </row>
    <row r="684" customFormat="false" ht="15" hidden="false" customHeight="false" outlineLevel="0" collapsed="false">
      <c r="A684" s="7" t="s">
        <v>1765</v>
      </c>
      <c r="B684" s="8" t="n">
        <v>99.998248</v>
      </c>
      <c r="C684" s="9" t="n">
        <f aca="false">IF(AND(ISNUMBER(B684),ISNUMBER(B683),B683&lt;&gt;0),B684/B683-1,"")</f>
        <v>-0.000306001697090275</v>
      </c>
    </row>
    <row r="685" customFormat="false" ht="15" hidden="false" customHeight="false" outlineLevel="0" collapsed="false">
      <c r="A685" s="7" t="s">
        <v>1766</v>
      </c>
      <c r="B685" s="8" t="n">
        <v>100.024628</v>
      </c>
      <c r="C685" s="9" t="n">
        <f aca="false">IF(AND(ISNUMBER(B685),ISNUMBER(B684),B684&lt;&gt;0),B685/B684-1,"")</f>
        <v>0.000263804621857044</v>
      </c>
    </row>
    <row r="686" customFormat="false" ht="15" hidden="false" customHeight="false" outlineLevel="0" collapsed="false">
      <c r="A686" s="7" t="s">
        <v>1767</v>
      </c>
      <c r="B686" s="8" t="n">
        <v>100.089436</v>
      </c>
      <c r="C686" s="9" t="n">
        <f aca="false">IF(AND(ISNUMBER(B686),ISNUMBER(B685),B685&lt;&gt;0),B686/B685-1,"")</f>
        <v>0.000647920430156379</v>
      </c>
    </row>
    <row r="687" customFormat="false" ht="15" hidden="false" customHeight="false" outlineLevel="0" collapsed="false">
      <c r="A687" s="7" t="s">
        <v>1768</v>
      </c>
      <c r="B687" s="8" t="n">
        <v>100.025688</v>
      </c>
      <c r="C687" s="9" t="n">
        <f aca="false">IF(AND(ISNUMBER(B687),ISNUMBER(B686),B686&lt;&gt;0),B687/B686-1,"")</f>
        <v>-0.000636910372838972</v>
      </c>
    </row>
    <row r="688" customFormat="false" ht="15" hidden="false" customHeight="false" outlineLevel="0" collapsed="false">
      <c r="A688" s="7" t="s">
        <v>1769</v>
      </c>
      <c r="B688" s="8" t="n">
        <v>99.92918</v>
      </c>
      <c r="C688" s="9" t="n">
        <f aca="false">IF(AND(ISNUMBER(B688),ISNUMBER(B687),B687&lt;&gt;0),B688/B687-1,"")</f>
        <v>-0.000964832153916295</v>
      </c>
    </row>
    <row r="689" customFormat="false" ht="15" hidden="false" customHeight="false" outlineLevel="0" collapsed="false">
      <c r="A689" s="7" t="s">
        <v>1770</v>
      </c>
      <c r="B689" s="8" t="n">
        <v>99.87591</v>
      </c>
      <c r="C689" s="9" t="n">
        <f aca="false">IF(AND(ISNUMBER(B689),ISNUMBER(B688),B688&lt;&gt;0),B689/B688-1,"")</f>
        <v>-0.000533077525503578</v>
      </c>
    </row>
    <row r="690" customFormat="false" ht="15" hidden="false" customHeight="false" outlineLevel="0" collapsed="false">
      <c r="A690" s="7" t="s">
        <v>1771</v>
      </c>
      <c r="B690" s="8" t="n">
        <v>99.881694</v>
      </c>
      <c r="C690" s="9" t="n">
        <f aca="false">IF(AND(ISNUMBER(B690),ISNUMBER(B689),B689&lt;&gt;0),B690/B689-1,"")</f>
        <v>5.79118628305508E-005</v>
      </c>
    </row>
    <row r="691" customFormat="false" ht="15" hidden="false" customHeight="false" outlineLevel="0" collapsed="false">
      <c r="A691" s="7" t="s">
        <v>1772</v>
      </c>
      <c r="B691" s="8" t="n">
        <v>99.862021</v>
      </c>
      <c r="C691" s="9" t="n">
        <f aca="false">IF(AND(ISNUMBER(B691),ISNUMBER(B690),B690&lt;&gt;0),B691/B690-1,"")</f>
        <v>-0.000196963019069352</v>
      </c>
    </row>
    <row r="692" customFormat="false" ht="15" hidden="false" customHeight="false" outlineLevel="0" collapsed="false">
      <c r="A692" s="7" t="s">
        <v>1773</v>
      </c>
      <c r="B692" s="8" t="n">
        <v>99.876089</v>
      </c>
      <c r="C692" s="9" t="n">
        <f aca="false">IF(AND(ISNUMBER(B692),ISNUMBER(B691),B691&lt;&gt;0),B692/B691-1,"")</f>
        <v>0.000140874377056566</v>
      </c>
    </row>
    <row r="693" customFormat="false" ht="15" hidden="false" customHeight="false" outlineLevel="0" collapsed="false">
      <c r="A693" s="7" t="s">
        <v>1774</v>
      </c>
      <c r="B693" s="8" t="n">
        <v>99.929266</v>
      </c>
      <c r="C693" s="9" t="n">
        <f aca="false">IF(AND(ISNUMBER(B693),ISNUMBER(B692),B692&lt;&gt;0),B693/B692-1,"")</f>
        <v>0.000532429739013907</v>
      </c>
    </row>
    <row r="694" customFormat="false" ht="15" hidden="false" customHeight="false" outlineLevel="0" collapsed="false">
      <c r="A694" s="7" t="s">
        <v>1775</v>
      </c>
      <c r="B694" s="8" t="n">
        <v>99.961197</v>
      </c>
      <c r="C694" s="9" t="n">
        <f aca="false">IF(AND(ISNUMBER(B694),ISNUMBER(B693),B693&lt;&gt;0),B694/B693-1,"")</f>
        <v>0.000319536020608746</v>
      </c>
    </row>
    <row r="695" customFormat="false" ht="15" hidden="false" customHeight="false" outlineLevel="0" collapsed="false">
      <c r="A695" s="7" t="s">
        <v>1776</v>
      </c>
      <c r="B695" s="8" t="n">
        <v>99.959297</v>
      </c>
      <c r="C695" s="9" t="n">
        <f aca="false">IF(AND(ISNUMBER(B695),ISNUMBER(B694),B694&lt;&gt;0),B695/B694-1,"")</f>
        <v>-1.90073754318121E-005</v>
      </c>
    </row>
    <row r="696" customFormat="false" ht="15" hidden="false" customHeight="false" outlineLevel="0" collapsed="false">
      <c r="A696" s="7" t="s">
        <v>1777</v>
      </c>
      <c r="B696" s="8" t="n">
        <v>100.04928</v>
      </c>
      <c r="C696" s="9" t="n">
        <f aca="false">IF(AND(ISNUMBER(B696),ISNUMBER(B695),B695&lt;&gt;0),B696/B695-1,"")</f>
        <v>0.000900196406943499</v>
      </c>
    </row>
    <row r="697" customFormat="false" ht="15" hidden="false" customHeight="false" outlineLevel="0" collapsed="false">
      <c r="A697" s="7" t="s">
        <v>1778</v>
      </c>
      <c r="B697" s="8" t="n">
        <v>100.069612</v>
      </c>
      <c r="C697" s="9" t="n">
        <f aca="false">IF(AND(ISNUMBER(B697),ISNUMBER(B696),B696&lt;&gt;0),B697/B696-1,"")</f>
        <v>0.000203219853256442</v>
      </c>
    </row>
    <row r="698" customFormat="false" ht="15" hidden="false" customHeight="false" outlineLevel="0" collapsed="false">
      <c r="A698" s="7" t="s">
        <v>1779</v>
      </c>
      <c r="B698" s="8" t="n">
        <v>100.16758</v>
      </c>
      <c r="C698" s="9" t="n">
        <f aca="false">IF(AND(ISNUMBER(B698),ISNUMBER(B697),B697&lt;&gt;0),B698/B697-1,"")</f>
        <v>0.00097899849956451</v>
      </c>
    </row>
    <row r="699" customFormat="false" ht="15" hidden="false" customHeight="false" outlineLevel="0" collapsed="false">
      <c r="A699" s="7" t="s">
        <v>1780</v>
      </c>
      <c r="B699" s="8" t="n">
        <v>100.174671</v>
      </c>
      <c r="C699" s="9" t="n">
        <f aca="false">IF(AND(ISNUMBER(B699),ISNUMBER(B698),B698&lt;&gt;0),B699/B698-1,"")</f>
        <v>7.07913678257288E-005</v>
      </c>
    </row>
    <row r="700" customFormat="false" ht="15" hidden="false" customHeight="false" outlineLevel="0" collapsed="false">
      <c r="A700" s="7" t="s">
        <v>1781</v>
      </c>
      <c r="B700" s="8" t="n">
        <v>100.143709</v>
      </c>
      <c r="C700" s="9" t="n">
        <f aca="false">IF(AND(ISNUMBER(B700),ISNUMBER(B699),B699&lt;&gt;0),B700/B699-1,"")</f>
        <v>-0.000309080126651984</v>
      </c>
    </row>
    <row r="701" customFormat="false" ht="15" hidden="false" customHeight="false" outlineLevel="0" collapsed="false">
      <c r="A701" s="7" t="s">
        <v>1782</v>
      </c>
      <c r="B701" s="8" t="n">
        <v>100.318445</v>
      </c>
      <c r="C701" s="9" t="n">
        <f aca="false">IF(AND(ISNUMBER(B701),ISNUMBER(B700),B700&lt;&gt;0),B701/B700-1,"")</f>
        <v>0.00174485248993528</v>
      </c>
    </row>
    <row r="702" customFormat="false" ht="15" hidden="false" customHeight="false" outlineLevel="0" collapsed="false">
      <c r="A702" s="7" t="s">
        <v>1783</v>
      </c>
      <c r="B702" s="8" t="n">
        <v>100.389405</v>
      </c>
      <c r="C702" s="9" t="n">
        <f aca="false">IF(AND(ISNUMBER(B702),ISNUMBER(B701),B701&lt;&gt;0),B702/B701-1,"")</f>
        <v>0.000707347487294063</v>
      </c>
    </row>
    <row r="703" customFormat="false" ht="15" hidden="false" customHeight="false" outlineLevel="0" collapsed="false">
      <c r="A703" s="7" t="s">
        <v>1784</v>
      </c>
      <c r="B703" s="8" t="n">
        <v>100.424392</v>
      </c>
      <c r="C703" s="9" t="n">
        <f aca="false">IF(AND(ISNUMBER(B703),ISNUMBER(B702),B702&lt;&gt;0),B703/B702-1,"")</f>
        <v>0.000348512873445062</v>
      </c>
    </row>
    <row r="704" customFormat="false" ht="15" hidden="false" customHeight="false" outlineLevel="0" collapsed="false">
      <c r="A704" s="7" t="s">
        <v>1785</v>
      </c>
      <c r="B704" s="8" t="n">
        <v>100.426618</v>
      </c>
      <c r="C704" s="9" t="n">
        <f aca="false">IF(AND(ISNUMBER(B704),ISNUMBER(B703),B703&lt;&gt;0),B704/B703-1,"")</f>
        <v>2.21659295682741E-005</v>
      </c>
    </row>
    <row r="705" customFormat="false" ht="15" hidden="false" customHeight="false" outlineLevel="0" collapsed="false">
      <c r="A705" s="7" t="s">
        <v>1786</v>
      </c>
      <c r="B705" s="8" t="n">
        <v>100.29031</v>
      </c>
      <c r="C705" s="9" t="n">
        <f aca="false">IF(AND(ISNUMBER(B705),ISNUMBER(B704),B704&lt;&gt;0),B705/B704-1,"")</f>
        <v>-0.00135728955843162</v>
      </c>
    </row>
    <row r="706" customFormat="false" ht="15" hidden="false" customHeight="false" outlineLevel="0" collapsed="false">
      <c r="A706" s="7" t="s">
        <v>1787</v>
      </c>
      <c r="B706" s="8" t="n">
        <v>100.335512</v>
      </c>
      <c r="C706" s="9" t="n">
        <f aca="false">IF(AND(ISNUMBER(B706),ISNUMBER(B705),B705&lt;&gt;0),B706/B705-1,"")</f>
        <v>0.000450711539329962</v>
      </c>
    </row>
    <row r="707" customFormat="false" ht="15" hidden="false" customHeight="false" outlineLevel="0" collapsed="false">
      <c r="A707" s="7" t="s">
        <v>1788</v>
      </c>
      <c r="B707" s="8" t="n">
        <v>100.349869</v>
      </c>
      <c r="C707" s="9" t="n">
        <f aca="false">IF(AND(ISNUMBER(B707),ISNUMBER(B706),B706&lt;&gt;0),B707/B706-1,"")</f>
        <v>0.000143089916160521</v>
      </c>
    </row>
    <row r="708" customFormat="false" ht="15" hidden="false" customHeight="false" outlineLevel="0" collapsed="false">
      <c r="A708" s="7" t="s">
        <v>1789</v>
      </c>
      <c r="B708" s="8" t="n">
        <v>100.333622</v>
      </c>
      <c r="C708" s="9" t="n">
        <f aca="false">IF(AND(ISNUMBER(B708),ISNUMBER(B707),B707&lt;&gt;0),B708/B707-1,"")</f>
        <v>-0.000161903549669717</v>
      </c>
    </row>
    <row r="709" customFormat="false" ht="15" hidden="false" customHeight="false" outlineLevel="0" collapsed="false">
      <c r="A709" s="7" t="s">
        <v>1790</v>
      </c>
      <c r="B709" s="8" t="n">
        <v>100.354566</v>
      </c>
      <c r="C709" s="9" t="n">
        <f aca="false">IF(AND(ISNUMBER(B709),ISNUMBER(B708),B708&lt;&gt;0),B709/B708-1,"")</f>
        <v>0.00020874358547518</v>
      </c>
    </row>
    <row r="710" customFormat="false" ht="15" hidden="false" customHeight="false" outlineLevel="0" collapsed="false">
      <c r="A710" s="7" t="s">
        <v>1791</v>
      </c>
      <c r="B710" s="8" t="n">
        <v>100.388024</v>
      </c>
      <c r="C710" s="9" t="n">
        <f aca="false">IF(AND(ISNUMBER(B710),ISNUMBER(B709),B709&lt;&gt;0),B710/B709-1,"")</f>
        <v>0.000333397884456854</v>
      </c>
    </row>
    <row r="711" customFormat="false" ht="15" hidden="false" customHeight="false" outlineLevel="0" collapsed="false">
      <c r="A711" s="7" t="s">
        <v>1792</v>
      </c>
      <c r="B711" s="8" t="n">
        <v>100.385589</v>
      </c>
      <c r="C711" s="9" t="n">
        <f aca="false">IF(AND(ISNUMBER(B711),ISNUMBER(B710),B710&lt;&gt;0),B711/B710-1,"")</f>
        <v>-2.42558813590144E-005</v>
      </c>
    </row>
    <row r="712" customFormat="false" ht="15" hidden="false" customHeight="false" outlineLevel="0" collapsed="false">
      <c r="A712" s="7" t="s">
        <v>1793</v>
      </c>
      <c r="B712" s="8" t="n">
        <v>100.404647</v>
      </c>
      <c r="C712" s="9" t="n">
        <f aca="false">IF(AND(ISNUMBER(B712),ISNUMBER(B711),B711&lt;&gt;0),B712/B711-1,"")</f>
        <v>0.00018984796712207</v>
      </c>
    </row>
    <row r="713" customFormat="false" ht="15" hidden="false" customHeight="false" outlineLevel="0" collapsed="false">
      <c r="A713" s="7" t="s">
        <v>1794</v>
      </c>
      <c r="B713" s="8" t="n">
        <v>100.409526</v>
      </c>
      <c r="C713" s="9" t="n">
        <f aca="false">IF(AND(ISNUMBER(B713),ISNUMBER(B712),B712&lt;&gt;0),B713/B712-1,"")</f>
        <v>4.85933683926909E-005</v>
      </c>
    </row>
    <row r="714" customFormat="false" ht="15" hidden="false" customHeight="false" outlineLevel="0" collapsed="false">
      <c r="A714" s="7" t="s">
        <v>1795</v>
      </c>
      <c r="B714" s="8" t="n">
        <v>100.362665</v>
      </c>
      <c r="C714" s="9" t="n">
        <f aca="false">IF(AND(ISNUMBER(B714),ISNUMBER(B713),B713&lt;&gt;0),B714/B713-1,"")</f>
        <v>-0.000466698747288108</v>
      </c>
    </row>
    <row r="715" customFormat="false" ht="15" hidden="false" customHeight="false" outlineLevel="0" collapsed="false">
      <c r="A715" s="7" t="s">
        <v>1796</v>
      </c>
      <c r="B715" s="8" t="n">
        <v>100.380651</v>
      </c>
      <c r="C715" s="9" t="n">
        <f aca="false">IF(AND(ISNUMBER(B715),ISNUMBER(B714),B714&lt;&gt;0),B715/B714-1,"")</f>
        <v>0.000179210067807523</v>
      </c>
    </row>
    <row r="716" customFormat="false" ht="15" hidden="false" customHeight="false" outlineLevel="0" collapsed="false">
      <c r="A716" s="7" t="s">
        <v>1797</v>
      </c>
      <c r="B716" s="8" t="n">
        <v>100.61159</v>
      </c>
      <c r="C716" s="9" t="n">
        <f aca="false">IF(AND(ISNUMBER(B716),ISNUMBER(B715),B715&lt;&gt;0),B716/B715-1,"")</f>
        <v>0.00230063261892988</v>
      </c>
    </row>
    <row r="717" customFormat="false" ht="15" hidden="false" customHeight="false" outlineLevel="0" collapsed="false">
      <c r="A717" s="7" t="s">
        <v>1798</v>
      </c>
      <c r="B717" s="8" t="n">
        <v>100.588461</v>
      </c>
      <c r="C717" s="9" t="n">
        <f aca="false">IF(AND(ISNUMBER(B717),ISNUMBER(B716),B716&lt;&gt;0),B717/B716-1,"")</f>
        <v>-0.000229884052125762</v>
      </c>
    </row>
    <row r="718" customFormat="false" ht="15" hidden="false" customHeight="false" outlineLevel="0" collapsed="false">
      <c r="A718" s="7" t="s">
        <v>1799</v>
      </c>
      <c r="B718" s="8" t="n">
        <v>100.584414</v>
      </c>
      <c r="C718" s="9" t="n">
        <f aca="false">IF(AND(ISNUMBER(B718),ISNUMBER(B717),B717&lt;&gt;0),B718/B717-1,"")</f>
        <v>-4.02332430555763E-005</v>
      </c>
    </row>
    <row r="719" customFormat="false" ht="15" hidden="false" customHeight="false" outlineLevel="0" collapsed="false">
      <c r="A719" s="7" t="s">
        <v>1800</v>
      </c>
      <c r="B719" s="8" t="n">
        <v>100.614744</v>
      </c>
      <c r="C719" s="9" t="n">
        <f aca="false">IF(AND(ISNUMBER(B719),ISNUMBER(B718),B718&lt;&gt;0),B719/B718-1,"")</f>
        <v>0.000301537771050686</v>
      </c>
    </row>
    <row r="720" customFormat="false" ht="15" hidden="false" customHeight="false" outlineLevel="0" collapsed="false">
      <c r="A720" s="7" t="s">
        <v>1801</v>
      </c>
      <c r="B720" s="8" t="n">
        <v>100.602213</v>
      </c>
      <c r="C720" s="9" t="n">
        <f aca="false">IF(AND(ISNUMBER(B720),ISNUMBER(B719),B719&lt;&gt;0),B720/B719-1,"")</f>
        <v>-0.000124544370952218</v>
      </c>
    </row>
    <row r="721" customFormat="false" ht="15" hidden="false" customHeight="false" outlineLevel="0" collapsed="false">
      <c r="A721" s="7" t="s">
        <v>1802</v>
      </c>
      <c r="B721" s="8" t="n">
        <v>100.809884</v>
      </c>
      <c r="C721" s="9" t="n">
        <f aca="false">IF(AND(ISNUMBER(B721),ISNUMBER(B720),B720&lt;&gt;0),B721/B720-1,"")</f>
        <v>0.00206427864563974</v>
      </c>
    </row>
    <row r="722" customFormat="false" ht="15" hidden="false" customHeight="false" outlineLevel="0" collapsed="false">
      <c r="A722" s="7" t="s">
        <v>1803</v>
      </c>
      <c r="B722" s="8" t="n">
        <v>100.76083</v>
      </c>
      <c r="C722" s="9" t="n">
        <f aca="false">IF(AND(ISNUMBER(B722),ISNUMBER(B721),B721&lt;&gt;0),B722/B721-1,"")</f>
        <v>-0.00048659911165061</v>
      </c>
    </row>
    <row r="723" customFormat="false" ht="15" hidden="false" customHeight="false" outlineLevel="0" collapsed="false">
      <c r="A723" s="7" t="s">
        <v>1804</v>
      </c>
      <c r="B723" s="8" t="n">
        <v>100.789447</v>
      </c>
      <c r="C723" s="9" t="n">
        <f aca="false">IF(AND(ISNUMBER(B723),ISNUMBER(B722),B722&lt;&gt;0),B723/B722-1,"")</f>
        <v>0.00028400917300897</v>
      </c>
    </row>
    <row r="724" customFormat="false" ht="15" hidden="false" customHeight="false" outlineLevel="0" collapsed="false">
      <c r="A724" s="7" t="s">
        <v>1805</v>
      </c>
      <c r="B724" s="8" t="n">
        <v>100.826902</v>
      </c>
      <c r="C724" s="9" t="n">
        <f aca="false">IF(AND(ISNUMBER(B724),ISNUMBER(B723),B723&lt;&gt;0),B724/B723-1,"")</f>
        <v>0.000371616286375831</v>
      </c>
    </row>
    <row r="725" customFormat="false" ht="15" hidden="false" customHeight="false" outlineLevel="0" collapsed="false">
      <c r="A725" s="7" t="s">
        <v>1806</v>
      </c>
      <c r="B725" s="8" t="n">
        <v>100.701981</v>
      </c>
      <c r="C725" s="9" t="n">
        <f aca="false">IF(AND(ISNUMBER(B725),ISNUMBER(B724),B724&lt;&gt;0),B725/B724-1,"")</f>
        <v>-0.0012389649738519</v>
      </c>
    </row>
    <row r="726" customFormat="false" ht="15" hidden="false" customHeight="false" outlineLevel="0" collapsed="false">
      <c r="A726" s="7" t="s">
        <v>1807</v>
      </c>
      <c r="B726" s="8" t="n">
        <v>100.733758</v>
      </c>
      <c r="C726" s="9" t="n">
        <f aca="false">IF(AND(ISNUMBER(B726),ISNUMBER(B725),B725&lt;&gt;0),B726/B725-1,"")</f>
        <v>0.00031555486480439</v>
      </c>
    </row>
    <row r="727" customFormat="false" ht="15" hidden="false" customHeight="false" outlineLevel="0" collapsed="false">
      <c r="A727" s="7" t="s">
        <v>1808</v>
      </c>
      <c r="B727" s="8" t="n">
        <v>100.906388</v>
      </c>
      <c r="C727" s="9" t="n">
        <f aca="false">IF(AND(ISNUMBER(B727),ISNUMBER(B726),B726&lt;&gt;0),B727/B726-1,"")</f>
        <v>0.00171372540275927</v>
      </c>
    </row>
    <row r="728" customFormat="false" ht="15" hidden="false" customHeight="false" outlineLevel="0" collapsed="false">
      <c r="A728" s="7" t="s">
        <v>1809</v>
      </c>
      <c r="B728" s="8" t="n">
        <v>100.915713</v>
      </c>
      <c r="C728" s="9" t="n">
        <f aca="false">IF(AND(ISNUMBER(B728),ISNUMBER(B727),B727&lt;&gt;0),B728/B727-1,"")</f>
        <v>9.24123852297232E-005</v>
      </c>
    </row>
    <row r="729" customFormat="false" ht="15" hidden="false" customHeight="false" outlineLevel="0" collapsed="false">
      <c r="A729" s="7" t="s">
        <v>1810</v>
      </c>
      <c r="B729" s="8" t="n">
        <v>100.743835</v>
      </c>
      <c r="C729" s="9" t="n">
        <f aca="false">IF(AND(ISNUMBER(B729),ISNUMBER(B728),B728&lt;&gt;0),B729/B728-1,"")</f>
        <v>-0.00170318372521427</v>
      </c>
    </row>
    <row r="730" customFormat="false" ht="15" hidden="false" customHeight="false" outlineLevel="0" collapsed="false">
      <c r="A730" s="7" t="s">
        <v>1811</v>
      </c>
      <c r="B730" s="8" t="n">
        <v>100.772819</v>
      </c>
      <c r="C730" s="9" t="n">
        <f aca="false">IF(AND(ISNUMBER(B730),ISNUMBER(B729),B729&lt;&gt;0),B730/B729-1,"")</f>
        <v>0.000287699986803114</v>
      </c>
    </row>
    <row r="731" customFormat="false" ht="15" hidden="false" customHeight="false" outlineLevel="0" collapsed="false">
      <c r="A731" s="7" t="s">
        <v>1812</v>
      </c>
      <c r="B731" s="8" t="n">
        <v>100.674574</v>
      </c>
      <c r="C731" s="9" t="n">
        <f aca="false">IF(AND(ISNUMBER(B731),ISNUMBER(B730),B730&lt;&gt;0),B731/B730-1,"")</f>
        <v>-0.000974915666495213</v>
      </c>
    </row>
    <row r="732" customFormat="false" ht="15" hidden="false" customHeight="false" outlineLevel="0" collapsed="false">
      <c r="A732" s="7" t="s">
        <v>1813</v>
      </c>
      <c r="B732" s="8" t="n">
        <v>100.45264</v>
      </c>
      <c r="C732" s="9" t="n">
        <f aca="false">IF(AND(ISNUMBER(B732),ISNUMBER(B731),B731&lt;&gt;0),B732/B731-1,"")</f>
        <v>-0.00220446922377848</v>
      </c>
    </row>
    <row r="733" customFormat="false" ht="15" hidden="false" customHeight="false" outlineLevel="0" collapsed="false">
      <c r="A733" s="7" t="s">
        <v>1814</v>
      </c>
      <c r="B733" s="8" t="n">
        <v>100.464271</v>
      </c>
      <c r="C733" s="9" t="n">
        <f aca="false">IF(AND(ISNUMBER(B733),ISNUMBER(B732),B732&lt;&gt;0),B733/B732-1,"")</f>
        <v>0.00011578590667205</v>
      </c>
    </row>
    <row r="734" customFormat="false" ht="15" hidden="false" customHeight="false" outlineLevel="0" collapsed="false">
      <c r="A734" s="7" t="s">
        <v>1815</v>
      </c>
      <c r="B734" s="8" t="n">
        <v>100.620626</v>
      </c>
      <c r="C734" s="9" t="n">
        <f aca="false">IF(AND(ISNUMBER(B734),ISNUMBER(B733),B733&lt;&gt;0),B734/B733-1,"")</f>
        <v>0.00155632443697318</v>
      </c>
    </row>
    <row r="735" customFormat="false" ht="15" hidden="false" customHeight="false" outlineLevel="0" collapsed="false">
      <c r="A735" s="7" t="s">
        <v>1816</v>
      </c>
      <c r="B735" s="8" t="n">
        <v>100.706936</v>
      </c>
      <c r="C735" s="9" t="n">
        <f aca="false">IF(AND(ISNUMBER(B735),ISNUMBER(B734),B734&lt;&gt;0),B735/B734-1,"")</f>
        <v>0.00085777641653717</v>
      </c>
    </row>
    <row r="736" customFormat="false" ht="15" hidden="false" customHeight="false" outlineLevel="0" collapsed="false">
      <c r="A736" s="7" t="s">
        <v>1817</v>
      </c>
      <c r="B736" s="8" t="n">
        <v>100.799451</v>
      </c>
      <c r="C736" s="9" t="n">
        <f aca="false">IF(AND(ISNUMBER(B736),ISNUMBER(B735),B735&lt;&gt;0),B736/B735-1,"")</f>
        <v>0.000918655692195847</v>
      </c>
    </row>
    <row r="737" customFormat="false" ht="15" hidden="false" customHeight="false" outlineLevel="0" collapsed="false">
      <c r="A737" s="7" t="s">
        <v>1818</v>
      </c>
      <c r="B737" s="8" t="n">
        <v>100.834241</v>
      </c>
      <c r="C737" s="9" t="n">
        <f aca="false">IF(AND(ISNUMBER(B737),ISNUMBER(B736),B736&lt;&gt;0),B737/B736-1,"")</f>
        <v>0.000345140768673424</v>
      </c>
    </row>
    <row r="738" customFormat="false" ht="15" hidden="false" customHeight="false" outlineLevel="0" collapsed="false">
      <c r="A738" s="7" t="s">
        <v>1819</v>
      </c>
      <c r="B738" s="8" t="n">
        <v>100.848818</v>
      </c>
      <c r="C738" s="9" t="n">
        <f aca="false">IF(AND(ISNUMBER(B738),ISNUMBER(B737),B737&lt;&gt;0),B738/B737-1,"")</f>
        <v>0.00014456398794116</v>
      </c>
    </row>
    <row r="739" customFormat="false" ht="15" hidden="false" customHeight="false" outlineLevel="0" collapsed="false">
      <c r="A739" s="7" t="s">
        <v>1820</v>
      </c>
      <c r="B739" s="8" t="n">
        <v>100.851728</v>
      </c>
      <c r="C739" s="9" t="n">
        <f aca="false">IF(AND(ISNUMBER(B739),ISNUMBER(B738),B738&lt;&gt;0),B739/B738-1,"")</f>
        <v>2.88550729468096E-005</v>
      </c>
    </row>
    <row r="740" customFormat="false" ht="15" hidden="false" customHeight="false" outlineLevel="0" collapsed="false">
      <c r="A740" s="7" t="s">
        <v>1821</v>
      </c>
      <c r="B740" s="8" t="n">
        <v>100.80502</v>
      </c>
      <c r="C740" s="9" t="n">
        <f aca="false">IF(AND(ISNUMBER(B740),ISNUMBER(B739),B739&lt;&gt;0),B740/B739-1,"")</f>
        <v>-0.000463135346575272</v>
      </c>
    </row>
    <row r="741" customFormat="false" ht="15" hidden="false" customHeight="false" outlineLevel="0" collapsed="false">
      <c r="A741" s="7" t="s">
        <v>1822</v>
      </c>
      <c r="B741" s="8" t="n">
        <v>100.748874</v>
      </c>
      <c r="C741" s="9" t="n">
        <f aca="false">IF(AND(ISNUMBER(B741),ISNUMBER(B740),B740&lt;&gt;0),B741/B740-1,"")</f>
        <v>-0.000556976229953654</v>
      </c>
    </row>
    <row r="742" customFormat="false" ht="15" hidden="false" customHeight="false" outlineLevel="0" collapsed="false">
      <c r="A742" s="7" t="s">
        <v>1823</v>
      </c>
      <c r="B742" s="8" t="n">
        <v>100.788598</v>
      </c>
      <c r="C742" s="9" t="n">
        <f aca="false">IF(AND(ISNUMBER(B742),ISNUMBER(B741),B741&lt;&gt;0),B742/B741-1,"")</f>
        <v>0.000394287285036876</v>
      </c>
    </row>
    <row r="743" customFormat="false" ht="15" hidden="false" customHeight="false" outlineLevel="0" collapsed="false">
      <c r="A743" s="7" t="s">
        <v>1824</v>
      </c>
      <c r="B743" s="8" t="n">
        <v>100.385803</v>
      </c>
      <c r="C743" s="9" t="n">
        <f aca="false">IF(AND(ISNUMBER(B743),ISNUMBER(B742),B742&lt;&gt;0),B743/B742-1,"")</f>
        <v>-0.00399643419982876</v>
      </c>
    </row>
    <row r="744" customFormat="false" ht="15" hidden="false" customHeight="false" outlineLevel="0" collapsed="false">
      <c r="A744" s="7" t="s">
        <v>1825</v>
      </c>
      <c r="B744" s="8" t="n">
        <v>100.319316</v>
      </c>
      <c r="C744" s="9" t="n">
        <f aca="false">IF(AND(ISNUMBER(B744),ISNUMBER(B743),B743&lt;&gt;0),B744/B743-1,"")</f>
        <v>-0.000662314769748762</v>
      </c>
    </row>
    <row r="745" customFormat="false" ht="15" hidden="false" customHeight="false" outlineLevel="0" collapsed="false">
      <c r="A745" s="7" t="s">
        <v>1826</v>
      </c>
      <c r="B745" s="8" t="n">
        <v>100.421852</v>
      </c>
      <c r="C745" s="9" t="n">
        <f aca="false">IF(AND(ISNUMBER(B745),ISNUMBER(B744),B744&lt;&gt;0),B745/B744-1,"")</f>
        <v>0.00102209628303296</v>
      </c>
    </row>
    <row r="746" customFormat="false" ht="15" hidden="false" customHeight="false" outlineLevel="0" collapsed="false">
      <c r="A746" s="7" t="s">
        <v>1827</v>
      </c>
      <c r="B746" s="8" t="n">
        <v>100.610726</v>
      </c>
      <c r="C746" s="9" t="n">
        <f aca="false">IF(AND(ISNUMBER(B746),ISNUMBER(B745),B745&lt;&gt;0),B746/B745-1,"")</f>
        <v>0.00188080578318739</v>
      </c>
    </row>
    <row r="747" customFormat="false" ht="15" hidden="false" customHeight="false" outlineLevel="0" collapsed="false">
      <c r="A747" s="7" t="s">
        <v>1828</v>
      </c>
      <c r="B747" s="8" t="n">
        <v>100.584456</v>
      </c>
      <c r="C747" s="9" t="n">
        <f aca="false">IF(AND(ISNUMBER(B747),ISNUMBER(B746),B746&lt;&gt;0),B747/B746-1,"")</f>
        <v>-0.000261105361668901</v>
      </c>
    </row>
    <row r="748" customFormat="false" ht="15" hidden="false" customHeight="false" outlineLevel="0" collapsed="false">
      <c r="A748" s="7" t="s">
        <v>1829</v>
      </c>
      <c r="B748" s="8" t="n">
        <v>100.619461</v>
      </c>
      <c r="C748" s="9" t="n">
        <f aca="false">IF(AND(ISNUMBER(B748),ISNUMBER(B747),B747&lt;&gt;0),B748/B747-1,"")</f>
        <v>0.000348015999609208</v>
      </c>
    </row>
    <row r="749" customFormat="false" ht="15" hidden="false" customHeight="false" outlineLevel="0" collapsed="false">
      <c r="A749" s="7" t="s">
        <v>1830</v>
      </c>
      <c r="B749" s="8" t="n">
        <v>100.739989</v>
      </c>
      <c r="C749" s="9" t="n">
        <f aca="false">IF(AND(ISNUMBER(B749),ISNUMBER(B748),B748&lt;&gt;0),B749/B748-1,"")</f>
        <v>0.00119785972616171</v>
      </c>
    </row>
    <row r="750" customFormat="false" ht="15" hidden="false" customHeight="false" outlineLevel="0" collapsed="false">
      <c r="A750" s="7" t="s">
        <v>1831</v>
      </c>
      <c r="B750" s="8" t="n">
        <v>100.754346</v>
      </c>
      <c r="C750" s="9" t="n">
        <f aca="false">IF(AND(ISNUMBER(B750),ISNUMBER(B749),B749&lt;&gt;0),B750/B749-1,"")</f>
        <v>0.000142515401704069</v>
      </c>
    </row>
    <row r="751" customFormat="false" ht="15" hidden="false" customHeight="false" outlineLevel="0" collapsed="false">
      <c r="A751" s="7" t="s">
        <v>1832</v>
      </c>
      <c r="B751" s="8" t="n">
        <v>100.624551</v>
      </c>
      <c r="C751" s="9" t="n">
        <f aca="false">IF(AND(ISNUMBER(B751),ISNUMBER(B750),B750&lt;&gt;0),B751/B750-1,"")</f>
        <v>-0.00128823227139008</v>
      </c>
    </row>
    <row r="752" customFormat="false" ht="15" hidden="false" customHeight="false" outlineLevel="0" collapsed="false">
      <c r="A752" s="7" t="s">
        <v>1833</v>
      </c>
      <c r="B752" s="8" t="n">
        <v>100.63262</v>
      </c>
      <c r="C752" s="9" t="n">
        <f aca="false">IF(AND(ISNUMBER(B752),ISNUMBER(B751),B751&lt;&gt;0),B752/B751-1,"")</f>
        <v>8.01891776889274E-005</v>
      </c>
    </row>
    <row r="753" customFormat="false" ht="15" hidden="false" customHeight="false" outlineLevel="0" collapsed="false">
      <c r="A753" s="7" t="s">
        <v>1834</v>
      </c>
      <c r="B753" s="8" t="n">
        <v>100.567577</v>
      </c>
      <c r="C753" s="9" t="n">
        <f aca="false">IF(AND(ISNUMBER(B753),ISNUMBER(B752),B752&lt;&gt;0),B753/B752-1,"")</f>
        <v>-0.00064634111682671</v>
      </c>
    </row>
    <row r="754" customFormat="false" ht="15" hidden="false" customHeight="false" outlineLevel="0" collapsed="false">
      <c r="A754" s="7" t="s">
        <v>1835</v>
      </c>
      <c r="B754" s="8" t="n">
        <v>100.600267</v>
      </c>
      <c r="C754" s="9" t="n">
        <f aca="false">IF(AND(ISNUMBER(B754),ISNUMBER(B753),B753&lt;&gt;0),B754/B753-1,"")</f>
        <v>0.000325055062229573</v>
      </c>
    </row>
    <row r="755" customFormat="false" ht="15" hidden="false" customHeight="false" outlineLevel="0" collapsed="false">
      <c r="A755" s="7" t="s">
        <v>1836</v>
      </c>
      <c r="B755" s="8" t="n">
        <v>100.529515</v>
      </c>
      <c r="C755" s="9" t="n">
        <f aca="false">IF(AND(ISNUMBER(B755),ISNUMBER(B754),B754&lt;&gt;0),B755/B754-1,"")</f>
        <v>-0.000703298332200286</v>
      </c>
    </row>
    <row r="756" customFormat="false" ht="15" hidden="false" customHeight="false" outlineLevel="0" collapsed="false">
      <c r="A756" s="7" t="s">
        <v>1837</v>
      </c>
      <c r="B756" s="8" t="n">
        <v>100.464943</v>
      </c>
      <c r="C756" s="9" t="n">
        <f aca="false">IF(AND(ISNUMBER(B756),ISNUMBER(B755),B755&lt;&gt;0),B756/B755-1,"")</f>
        <v>-0.000642318825471278</v>
      </c>
    </row>
    <row r="757" customFormat="false" ht="15" hidden="false" customHeight="false" outlineLevel="0" collapsed="false">
      <c r="A757" s="7" t="s">
        <v>1838</v>
      </c>
      <c r="B757" s="8" t="n">
        <v>100.436734</v>
      </c>
      <c r="C757" s="9" t="n">
        <f aca="false">IF(AND(ISNUMBER(B757),ISNUMBER(B756),B756&lt;&gt;0),B757/B756-1,"")</f>
        <v>-0.000280784512066146</v>
      </c>
    </row>
    <row r="758" customFormat="false" ht="15" hidden="false" customHeight="false" outlineLevel="0" collapsed="false">
      <c r="A758" s="7" t="s">
        <v>1839</v>
      </c>
      <c r="B758" s="8" t="n">
        <v>100.433637</v>
      </c>
      <c r="C758" s="9" t="n">
        <f aca="false">IF(AND(ISNUMBER(B758),ISNUMBER(B757),B757&lt;&gt;0),B758/B757-1,"")</f>
        <v>-3.08353316227361E-005</v>
      </c>
    </row>
    <row r="759" customFormat="false" ht="15" hidden="false" customHeight="false" outlineLevel="0" collapsed="false">
      <c r="A759" s="7" t="s">
        <v>1840</v>
      </c>
      <c r="B759" s="8" t="n">
        <v>100.520281</v>
      </c>
      <c r="C759" s="9" t="n">
        <f aca="false">IF(AND(ISNUMBER(B759),ISNUMBER(B758),B758&lt;&gt;0),B759/B758-1,"")</f>
        <v>0.000862699017859958</v>
      </c>
    </row>
    <row r="760" customFormat="false" ht="15" hidden="false" customHeight="false" outlineLevel="0" collapsed="false">
      <c r="A760" s="7" t="s">
        <v>1841</v>
      </c>
      <c r="B760" s="8" t="n">
        <v>100.421466</v>
      </c>
      <c r="C760" s="9" t="n">
        <f aca="false">IF(AND(ISNUMBER(B760),ISNUMBER(B759),B759&lt;&gt;0),B760/B759-1,"")</f>
        <v>-0.00098303545331313</v>
      </c>
    </row>
    <row r="761" customFormat="false" ht="15" hidden="false" customHeight="false" outlineLevel="0" collapsed="false">
      <c r="A761" s="7" t="s">
        <v>1842</v>
      </c>
      <c r="B761" s="8" t="n">
        <v>100.740141</v>
      </c>
      <c r="C761" s="9" t="n">
        <f aca="false">IF(AND(ISNUMBER(B761),ISNUMBER(B760),B760&lt;&gt;0),B761/B760-1,"")</f>
        <v>0.00317337530204953</v>
      </c>
    </row>
    <row r="762" customFormat="false" ht="15" hidden="false" customHeight="false" outlineLevel="0" collapsed="false">
      <c r="A762" s="7" t="s">
        <v>1843</v>
      </c>
      <c r="B762" s="8" t="n">
        <v>100.72578</v>
      </c>
      <c r="C762" s="9" t="n">
        <f aca="false">IF(AND(ISNUMBER(B762),ISNUMBER(B761),B761&lt;&gt;0),B762/B761-1,"")</f>
        <v>-0.000142554892790914</v>
      </c>
    </row>
    <row r="763" customFormat="false" ht="15" hidden="false" customHeight="false" outlineLevel="0" collapsed="false">
      <c r="A763" s="7" t="s">
        <v>1844</v>
      </c>
      <c r="B763" s="8" t="n">
        <v>100.702794</v>
      </c>
      <c r="C763" s="9" t="n">
        <f aca="false">IF(AND(ISNUMBER(B763),ISNUMBER(B762),B762&lt;&gt;0),B763/B762-1,"")</f>
        <v>-0.000228203742875022</v>
      </c>
    </row>
    <row r="764" customFormat="false" ht="15" hidden="false" customHeight="false" outlineLevel="0" collapsed="false">
      <c r="A764" s="7" t="s">
        <v>1845</v>
      </c>
      <c r="B764" s="8" t="n">
        <v>100.85905</v>
      </c>
      <c r="C764" s="9" t="n">
        <f aca="false">IF(AND(ISNUMBER(B764),ISNUMBER(B763),B763&lt;&gt;0),B764/B763-1,"")</f>
        <v>0.00155165506132837</v>
      </c>
    </row>
    <row r="765" customFormat="false" ht="15" hidden="false" customHeight="false" outlineLevel="0" collapsed="false">
      <c r="A765" s="7" t="s">
        <v>1846</v>
      </c>
      <c r="B765" s="8" t="n">
        <v>100.809635</v>
      </c>
      <c r="C765" s="9" t="n">
        <f aca="false">IF(AND(ISNUMBER(B765),ISNUMBER(B764),B764&lt;&gt;0),B765/B764-1,"")</f>
        <v>-0.000489941160460972</v>
      </c>
    </row>
    <row r="766" customFormat="false" ht="15" hidden="false" customHeight="false" outlineLevel="0" collapsed="false">
      <c r="A766" s="7" t="s">
        <v>1847</v>
      </c>
      <c r="B766" s="8" t="n">
        <v>100.834023</v>
      </c>
      <c r="C766" s="9" t="n">
        <f aca="false">IF(AND(ISNUMBER(B766),ISNUMBER(B765),B765&lt;&gt;0),B766/B765-1,"")</f>
        <v>0.000241921320318195</v>
      </c>
    </row>
    <row r="767" customFormat="false" ht="15" hidden="false" customHeight="false" outlineLevel="0" collapsed="false">
      <c r="A767" s="7" t="s">
        <v>1848</v>
      </c>
      <c r="B767" s="8" t="n">
        <v>100.80327</v>
      </c>
      <c r="C767" s="9" t="n">
        <f aca="false">IF(AND(ISNUMBER(B767),ISNUMBER(B766),B766&lt;&gt;0),B767/B766-1,"")</f>
        <v>-0.000304986343746316</v>
      </c>
    </row>
    <row r="768" customFormat="false" ht="15" hidden="false" customHeight="false" outlineLevel="0" collapsed="false">
      <c r="A768" s="7" t="s">
        <v>1849</v>
      </c>
      <c r="B768" s="8" t="n">
        <v>100.798066</v>
      </c>
      <c r="C768" s="9" t="n">
        <f aca="false">IF(AND(ISNUMBER(B768),ISNUMBER(B767),B767&lt;&gt;0),B768/B767-1,"")</f>
        <v>-5.16253093773011E-005</v>
      </c>
    </row>
    <row r="769" customFormat="false" ht="15" hidden="false" customHeight="false" outlineLevel="0" collapsed="false">
      <c r="A769" s="7" t="s">
        <v>1850</v>
      </c>
      <c r="B769" s="8" t="n">
        <v>100.823489</v>
      </c>
      <c r="C769" s="9" t="n">
        <f aca="false">IF(AND(ISNUMBER(B769),ISNUMBER(B768),B768&lt;&gt;0),B769/B768-1,"")</f>
        <v>0.000252217140753297</v>
      </c>
    </row>
    <row r="770" customFormat="false" ht="15" hidden="false" customHeight="false" outlineLevel="0" collapsed="false">
      <c r="A770" s="7" t="s">
        <v>1851</v>
      </c>
      <c r="B770" s="8" t="n">
        <v>100.852203</v>
      </c>
      <c r="C770" s="9" t="n">
        <f aca="false">IF(AND(ISNUMBER(B770),ISNUMBER(B769),B769&lt;&gt;0),B770/B769-1,"")</f>
        <v>0.000284794746589379</v>
      </c>
    </row>
    <row r="771" customFormat="false" ht="15" hidden="false" customHeight="false" outlineLevel="0" collapsed="false">
      <c r="A771" s="7" t="s">
        <v>1852</v>
      </c>
      <c r="B771" s="8" t="n">
        <v>100.765853</v>
      </c>
      <c r="C771" s="9" t="n">
        <f aca="false">IF(AND(ISNUMBER(B771),ISNUMBER(B770),B770&lt;&gt;0),B771/B770-1,"")</f>
        <v>-0.000856203408863498</v>
      </c>
    </row>
    <row r="772" customFormat="false" ht="15" hidden="false" customHeight="false" outlineLevel="0" collapsed="false">
      <c r="A772" s="7" t="s">
        <v>1853</v>
      </c>
      <c r="B772" s="8" t="n">
        <v>100.814086</v>
      </c>
      <c r="C772" s="9" t="n">
        <f aca="false">IF(AND(ISNUMBER(B772),ISNUMBER(B771),B771&lt;&gt;0),B772/B771-1,"")</f>
        <v>0.000478664136351892</v>
      </c>
    </row>
    <row r="773" customFormat="false" ht="15" hidden="false" customHeight="false" outlineLevel="0" collapsed="false">
      <c r="A773" s="7" t="s">
        <v>1854</v>
      </c>
      <c r="B773" s="8" t="n">
        <v>100.866424</v>
      </c>
      <c r="C773" s="9" t="n">
        <f aca="false">IF(AND(ISNUMBER(B773),ISNUMBER(B772),B772&lt;&gt;0),B773/B772-1,"")</f>
        <v>0.000519153642874803</v>
      </c>
    </row>
    <row r="774" customFormat="false" ht="15" hidden="false" customHeight="false" outlineLevel="0" collapsed="false">
      <c r="A774" s="7" t="s">
        <v>1855</v>
      </c>
      <c r="B774" s="8" t="n">
        <v>100.837123</v>
      </c>
      <c r="C774" s="9" t="n">
        <f aca="false">IF(AND(ISNUMBER(B774),ISNUMBER(B773),B773&lt;&gt;0),B774/B773-1,"")</f>
        <v>-0.000290493098079825</v>
      </c>
    </row>
    <row r="775" customFormat="false" ht="15" hidden="false" customHeight="false" outlineLevel="0" collapsed="false">
      <c r="A775" s="7" t="s">
        <v>1856</v>
      </c>
      <c r="B775" s="8" t="n">
        <v>100.708781</v>
      </c>
      <c r="C775" s="9" t="n">
        <f aca="false">IF(AND(ISNUMBER(B775),ISNUMBER(B774),B774&lt;&gt;0),B775/B774-1,"")</f>
        <v>-0.00127276538819943</v>
      </c>
    </row>
    <row r="776" customFormat="false" ht="15" hidden="false" customHeight="false" outlineLevel="0" collapsed="false">
      <c r="A776" s="7" t="s">
        <v>1857</v>
      </c>
      <c r="B776" s="8" t="n">
        <v>100.745592</v>
      </c>
      <c r="C776" s="9" t="n">
        <f aca="false">IF(AND(ISNUMBER(B776),ISNUMBER(B775),B775&lt;&gt;0),B776/B775-1,"")</f>
        <v>0.000365519268870962</v>
      </c>
    </row>
    <row r="777" customFormat="false" ht="15" hidden="false" customHeight="false" outlineLevel="0" collapsed="false">
      <c r="A777" s="7" t="s">
        <v>1858</v>
      </c>
      <c r="B777" s="8" t="n">
        <v>100.784544</v>
      </c>
      <c r="C777" s="9" t="n">
        <f aca="false">IF(AND(ISNUMBER(B777),ISNUMBER(B776),B776&lt;&gt;0),B777/B776-1,"")</f>
        <v>0.000386637263494416</v>
      </c>
    </row>
    <row r="778" customFormat="false" ht="15" hidden="false" customHeight="false" outlineLevel="0" collapsed="false">
      <c r="A778" s="7" t="s">
        <v>1859</v>
      </c>
      <c r="B778" s="8" t="n">
        <v>100.766786</v>
      </c>
      <c r="C778" s="9" t="n">
        <f aca="false">IF(AND(ISNUMBER(B778),ISNUMBER(B777),B777&lt;&gt;0),B778/B777-1,"")</f>
        <v>-0.000176197651893917</v>
      </c>
    </row>
    <row r="779" customFormat="false" ht="15" hidden="false" customHeight="false" outlineLevel="0" collapsed="false">
      <c r="A779" s="7" t="s">
        <v>1860</v>
      </c>
      <c r="B779" s="8" t="n">
        <v>100.609483</v>
      </c>
      <c r="C779" s="9" t="n">
        <f aca="false">IF(AND(ISNUMBER(B779),ISNUMBER(B778),B778&lt;&gt;0),B779/B778-1,"")</f>
        <v>-0.00156106001038869</v>
      </c>
    </row>
    <row r="780" customFormat="false" ht="15" hidden="false" customHeight="false" outlineLevel="0" collapsed="false">
      <c r="A780" s="7" t="s">
        <v>1861</v>
      </c>
      <c r="B780" s="8" t="n">
        <v>100.587793</v>
      </c>
      <c r="C780" s="9" t="n">
        <f aca="false">IF(AND(ISNUMBER(B780),ISNUMBER(B779),B779&lt;&gt;0),B780/B779-1,"")</f>
        <v>-0.00021558603973737</v>
      </c>
    </row>
    <row r="781" customFormat="false" ht="15" hidden="false" customHeight="false" outlineLevel="0" collapsed="false">
      <c r="A781" s="7" t="s">
        <v>1862</v>
      </c>
      <c r="B781" s="8" t="n">
        <v>100.377423</v>
      </c>
      <c r="C781" s="9" t="n">
        <f aca="false">IF(AND(ISNUMBER(B781),ISNUMBER(B780),B780&lt;&gt;0),B781/B780-1,"")</f>
        <v>-0.0020914068568938</v>
      </c>
    </row>
    <row r="782" customFormat="false" ht="15" hidden="false" customHeight="false" outlineLevel="0" collapsed="false">
      <c r="A782" s="7" t="s">
        <v>1863</v>
      </c>
      <c r="B782" s="8" t="n">
        <v>100.405246</v>
      </c>
      <c r="C782" s="9" t="n">
        <f aca="false">IF(AND(ISNUMBER(B782),ISNUMBER(B781),B781&lt;&gt;0),B782/B781-1,"")</f>
        <v>0.000277183844419104</v>
      </c>
    </row>
    <row r="783" customFormat="false" ht="15" hidden="false" customHeight="false" outlineLevel="0" collapsed="false">
      <c r="A783" s="7" t="s">
        <v>1864</v>
      </c>
      <c r="B783" s="8" t="n">
        <v>100.293107</v>
      </c>
      <c r="C783" s="9" t="n">
        <f aca="false">IF(AND(ISNUMBER(B783),ISNUMBER(B782),B782&lt;&gt;0),B783/B782-1,"")</f>
        <v>-0.00111686395350297</v>
      </c>
    </row>
    <row r="784" customFormat="false" ht="15" hidden="false" customHeight="false" outlineLevel="0" collapsed="false">
      <c r="A784" s="7" t="s">
        <v>1865</v>
      </c>
      <c r="B784" s="8" t="n">
        <v>100.302726</v>
      </c>
      <c r="C784" s="9" t="n">
        <f aca="false">IF(AND(ISNUMBER(B784),ISNUMBER(B783),B783&lt;&gt;0),B784/B783-1,"")</f>
        <v>9.59088843464073E-005</v>
      </c>
    </row>
    <row r="785" customFormat="false" ht="15" hidden="false" customHeight="false" outlineLevel="0" collapsed="false">
      <c r="A785" s="7" t="s">
        <v>1866</v>
      </c>
      <c r="B785" s="8" t="n">
        <v>100.306417</v>
      </c>
      <c r="C785" s="9" t="n">
        <f aca="false">IF(AND(ISNUMBER(B785),ISNUMBER(B784),B784&lt;&gt;0),B785/B784-1,"")</f>
        <v>3.67986010667565E-005</v>
      </c>
    </row>
    <row r="786" customFormat="false" ht="15" hidden="false" customHeight="false" outlineLevel="0" collapsed="false">
      <c r="A786" s="7" t="s">
        <v>1867</v>
      </c>
      <c r="B786" s="8" t="n">
        <v>100.241313</v>
      </c>
      <c r="C786" s="9" t="n">
        <f aca="false">IF(AND(ISNUMBER(B786),ISNUMBER(B785),B785&lt;&gt;0),B786/B785-1,"")</f>
        <v>-0.000649051196794259</v>
      </c>
    </row>
    <row r="787" customFormat="false" ht="15" hidden="false" customHeight="false" outlineLevel="0" collapsed="false">
      <c r="A787" s="7" t="s">
        <v>1868</v>
      </c>
      <c r="B787" s="8" t="n">
        <v>100.186081</v>
      </c>
      <c r="C787" s="9" t="n">
        <f aca="false">IF(AND(ISNUMBER(B787),ISNUMBER(B786),B786&lt;&gt;0),B787/B786-1,"")</f>
        <v>-0.000550990388563655</v>
      </c>
    </row>
    <row r="788" customFormat="false" ht="15" hidden="false" customHeight="false" outlineLevel="0" collapsed="false">
      <c r="A788" s="7" t="s">
        <v>1869</v>
      </c>
      <c r="B788" s="8" t="n">
        <v>100.197667</v>
      </c>
      <c r="C788" s="9" t="n">
        <f aca="false">IF(AND(ISNUMBER(B788),ISNUMBER(B787),B787&lt;&gt;0),B788/B787-1,"")</f>
        <v>0.000115644806986559</v>
      </c>
    </row>
    <row r="789" customFormat="false" ht="15" hidden="false" customHeight="false" outlineLevel="0" collapsed="false">
      <c r="A789" s="7" t="s">
        <v>1870</v>
      </c>
      <c r="B789" s="8" t="n">
        <v>100.222042</v>
      </c>
      <c r="C789" s="9" t="n">
        <f aca="false">IF(AND(ISNUMBER(B789),ISNUMBER(B788),B788&lt;&gt;0),B789/B788-1,"")</f>
        <v>0.000243269137194746</v>
      </c>
    </row>
    <row r="790" customFormat="false" ht="15" hidden="false" customHeight="false" outlineLevel="0" collapsed="false">
      <c r="A790" s="7" t="s">
        <v>1871</v>
      </c>
      <c r="B790" s="8" t="n">
        <v>100.13584</v>
      </c>
      <c r="C790" s="9" t="n">
        <f aca="false">IF(AND(ISNUMBER(B790),ISNUMBER(B789),B789&lt;&gt;0),B790/B789-1,"")</f>
        <v>-0.000860110194122798</v>
      </c>
    </row>
    <row r="791" customFormat="false" ht="15" hidden="false" customHeight="false" outlineLevel="0" collapsed="false">
      <c r="A791" s="7" t="s">
        <v>1872</v>
      </c>
      <c r="B791" s="8" t="n">
        <v>100.155352</v>
      </c>
      <c r="C791" s="9" t="n">
        <f aca="false">IF(AND(ISNUMBER(B791),ISNUMBER(B790),B790&lt;&gt;0),B791/B790-1,"")</f>
        <v>0.00019485530854868</v>
      </c>
    </row>
    <row r="792" customFormat="false" ht="15" hidden="false" customHeight="false" outlineLevel="0" collapsed="false">
      <c r="A792" s="7" t="s">
        <v>1873</v>
      </c>
      <c r="B792" s="8" t="n">
        <v>99.894545</v>
      </c>
      <c r="C792" s="9" t="n">
        <f aca="false">IF(AND(ISNUMBER(B792),ISNUMBER(B791),B791&lt;&gt;0),B792/B791-1,"")</f>
        <v>-0.00260402459571008</v>
      </c>
    </row>
    <row r="793" customFormat="false" ht="15" hidden="false" customHeight="false" outlineLevel="0" collapsed="false">
      <c r="A793" s="7" t="s">
        <v>1874</v>
      </c>
      <c r="B793" s="8" t="n">
        <v>99.893776</v>
      </c>
      <c r="C793" s="9" t="n">
        <f aca="false">IF(AND(ISNUMBER(B793),ISNUMBER(B792),B792&lt;&gt;0),B793/B792-1,"")</f>
        <v>-7.6981180503477E-006</v>
      </c>
    </row>
    <row r="794" customFormat="false" ht="15" hidden="false" customHeight="false" outlineLevel="0" collapsed="false">
      <c r="A794" s="7" t="s">
        <v>1875</v>
      </c>
      <c r="B794" s="8" t="n">
        <v>99.861526</v>
      </c>
      <c r="C794" s="9" t="n">
        <f aca="false">IF(AND(ISNUMBER(B794),ISNUMBER(B793),B793&lt;&gt;0),B794/B793-1,"")</f>
        <v>-0.000322842936681056</v>
      </c>
    </row>
    <row r="795" customFormat="false" ht="15" hidden="false" customHeight="false" outlineLevel="0" collapsed="false">
      <c r="A795" s="7" t="s">
        <v>1876</v>
      </c>
      <c r="B795" s="8" t="n">
        <v>99.874822</v>
      </c>
      <c r="C795" s="9" t="n">
        <f aca="false">IF(AND(ISNUMBER(B795),ISNUMBER(B794),B794&lt;&gt;0),B795/B794-1,"")</f>
        <v>0.000133144370335403</v>
      </c>
    </row>
    <row r="796" customFormat="false" ht="15" hidden="false" customHeight="false" outlineLevel="0" collapsed="false">
      <c r="A796" s="7" t="s">
        <v>1877</v>
      </c>
      <c r="B796" s="8" t="n">
        <v>99.82778</v>
      </c>
      <c r="C796" s="9" t="n">
        <f aca="false">IF(AND(ISNUMBER(B796),ISNUMBER(B795),B795&lt;&gt;0),B796/B795-1,"")</f>
        <v>-0.000471009600397476</v>
      </c>
    </row>
    <row r="797" customFormat="false" ht="15" hidden="false" customHeight="false" outlineLevel="0" collapsed="false">
      <c r="A797" s="7" t="s">
        <v>1878</v>
      </c>
      <c r="B797" s="8" t="n">
        <v>99.825734</v>
      </c>
      <c r="C797" s="9" t="n">
        <f aca="false">IF(AND(ISNUMBER(B797),ISNUMBER(B796),B796&lt;&gt;0),B797/B796-1,"")</f>
        <v>-2.04952970005445E-005</v>
      </c>
    </row>
    <row r="798" customFormat="false" ht="15" hidden="false" customHeight="false" outlineLevel="0" collapsed="false">
      <c r="A798" s="7" t="s">
        <v>1879</v>
      </c>
      <c r="B798" s="8" t="n">
        <v>99.762281</v>
      </c>
      <c r="C798" s="9" t="n">
        <f aca="false">IF(AND(ISNUMBER(B798),ISNUMBER(B797),B797&lt;&gt;0),B798/B797-1,"")</f>
        <v>-0.000635637700394875</v>
      </c>
    </row>
    <row r="799" customFormat="false" ht="15" hidden="false" customHeight="false" outlineLevel="0" collapsed="false">
      <c r="A799" s="7" t="s">
        <v>1880</v>
      </c>
      <c r="B799" s="8" t="n">
        <v>99.665302</v>
      </c>
      <c r="C799" s="9" t="n">
        <f aca="false">IF(AND(ISNUMBER(B799),ISNUMBER(B798),B798&lt;&gt;0),B799/B798-1,"")</f>
        <v>-0.000972100868463555</v>
      </c>
    </row>
    <row r="800" customFormat="false" ht="15" hidden="false" customHeight="false" outlineLevel="0" collapsed="false">
      <c r="A800" s="7" t="s">
        <v>1881</v>
      </c>
      <c r="B800" s="8" t="n">
        <v>99.731868</v>
      </c>
      <c r="C800" s="9" t="n">
        <f aca="false">IF(AND(ISNUMBER(B800),ISNUMBER(B799),B799&lt;&gt;0),B800/B799-1,"")</f>
        <v>0.00066789543265533</v>
      </c>
    </row>
    <row r="801" customFormat="false" ht="15" hidden="false" customHeight="false" outlineLevel="0" collapsed="false">
      <c r="A801" s="7" t="s">
        <v>1882</v>
      </c>
      <c r="B801" s="8" t="n">
        <v>99.570249</v>
      </c>
      <c r="C801" s="9" t="n">
        <f aca="false">IF(AND(ISNUMBER(B801),ISNUMBER(B800),B800&lt;&gt;0),B801/B800-1,"")</f>
        <v>-0.00162053517337113</v>
      </c>
    </row>
    <row r="802" customFormat="false" ht="15" hidden="false" customHeight="false" outlineLevel="0" collapsed="false">
      <c r="A802" s="7" t="s">
        <v>1883</v>
      </c>
      <c r="B802" s="8" t="n">
        <v>99.651377</v>
      </c>
      <c r="C802" s="9" t="n">
        <f aca="false">IF(AND(ISNUMBER(B802),ISNUMBER(B801),B801&lt;&gt;0),B802/B801-1,"")</f>
        <v>0.000814781531780495</v>
      </c>
    </row>
    <row r="803" customFormat="false" ht="15" hidden="false" customHeight="false" outlineLevel="0" collapsed="false">
      <c r="A803" s="7" t="s">
        <v>1884</v>
      </c>
      <c r="B803" s="8" t="n">
        <v>99.438302</v>
      </c>
      <c r="C803" s="9" t="n">
        <f aca="false">IF(AND(ISNUMBER(B803),ISNUMBER(B802),B802&lt;&gt;0),B803/B802-1,"")</f>
        <v>-0.00213820427187883</v>
      </c>
    </row>
    <row r="804" customFormat="false" ht="15" hidden="false" customHeight="false" outlineLevel="0" collapsed="false">
      <c r="A804" s="7" t="s">
        <v>1885</v>
      </c>
      <c r="B804" s="8" t="n">
        <v>99.529703</v>
      </c>
      <c r="C804" s="9" t="n">
        <f aca="false">IF(AND(ISNUMBER(B804),ISNUMBER(B803),B803&lt;&gt;0),B804/B803-1,"")</f>
        <v>0.000919172976224125</v>
      </c>
    </row>
    <row r="805" customFormat="false" ht="15" hidden="false" customHeight="false" outlineLevel="0" collapsed="false">
      <c r="A805" s="7" t="s">
        <v>1886</v>
      </c>
      <c r="B805" s="8" t="n">
        <v>99.423053</v>
      </c>
      <c r="C805" s="9" t="n">
        <f aca="false">IF(AND(ISNUMBER(B805),ISNUMBER(B804),B804&lt;&gt;0),B805/B804-1,"")</f>
        <v>-0.00107153941773541</v>
      </c>
    </row>
    <row r="806" customFormat="false" ht="15" hidden="false" customHeight="false" outlineLevel="0" collapsed="false">
      <c r="A806" s="7" t="s">
        <v>1887</v>
      </c>
      <c r="B806" s="8" t="n">
        <v>99.294057</v>
      </c>
      <c r="C806" s="9" t="n">
        <f aca="false">IF(AND(ISNUMBER(B806),ISNUMBER(B805),B805&lt;&gt;0),B806/B805-1,"")</f>
        <v>-0.00129744557331191</v>
      </c>
    </row>
    <row r="807" customFormat="false" ht="15" hidden="false" customHeight="false" outlineLevel="0" collapsed="false">
      <c r="A807" s="7" t="s">
        <v>1888</v>
      </c>
      <c r="B807" s="8" t="n">
        <v>99.221564</v>
      </c>
      <c r="C807" s="9" t="n">
        <f aca="false">IF(AND(ISNUMBER(B807),ISNUMBER(B806),B806&lt;&gt;0),B807/B806-1,"")</f>
        <v>-0.000730083976727802</v>
      </c>
    </row>
    <row r="808" customFormat="false" ht="15" hidden="false" customHeight="false" outlineLevel="0" collapsed="false">
      <c r="A808" s="7" t="s">
        <v>1889</v>
      </c>
      <c r="B808" s="8" t="n">
        <v>99.281487</v>
      </c>
      <c r="C808" s="9" t="n">
        <f aca="false">IF(AND(ISNUMBER(B808),ISNUMBER(B807),B807&lt;&gt;0),B808/B807-1,"")</f>
        <v>0.000603931218016163</v>
      </c>
    </row>
    <row r="809" customFormat="false" ht="15" hidden="false" customHeight="false" outlineLevel="0" collapsed="false">
      <c r="A809" s="7" t="s">
        <v>1890</v>
      </c>
      <c r="B809" s="8" t="n">
        <v>99.282057</v>
      </c>
      <c r="C809" s="9" t="n">
        <f aca="false">IF(AND(ISNUMBER(B809),ISNUMBER(B808),B808&lt;&gt;0),B809/B808-1,"")</f>
        <v>5.74125163943506E-006</v>
      </c>
    </row>
    <row r="810" customFormat="false" ht="15" hidden="false" customHeight="false" outlineLevel="0" collapsed="false">
      <c r="A810" s="7" t="s">
        <v>1891</v>
      </c>
      <c r="B810" s="8" t="n">
        <v>99.226115</v>
      </c>
      <c r="C810" s="9" t="n">
        <f aca="false">IF(AND(ISNUMBER(B810),ISNUMBER(B809),B809&lt;&gt;0),B810/B809-1,"")</f>
        <v>-0.000563465360110316</v>
      </c>
    </row>
    <row r="811" customFormat="false" ht="15" hidden="false" customHeight="false" outlineLevel="0" collapsed="false">
      <c r="A811" s="7" t="s">
        <v>1892</v>
      </c>
      <c r="B811" s="8" t="n">
        <v>99.317382</v>
      </c>
      <c r="C811" s="9" t="n">
        <f aca="false">IF(AND(ISNUMBER(B811),ISNUMBER(B810),B810&lt;&gt;0),B811/B810-1,"")</f>
        <v>0.000919788102154318</v>
      </c>
    </row>
    <row r="812" customFormat="false" ht="15" hidden="false" customHeight="false" outlineLevel="0" collapsed="false">
      <c r="A812" s="7" t="s">
        <v>1893</v>
      </c>
      <c r="B812" s="8" t="n">
        <v>99.42942</v>
      </c>
      <c r="C812" s="9" t="n">
        <f aca="false">IF(AND(ISNUMBER(B812),ISNUMBER(B811),B811&lt;&gt;0),B812/B811-1,"")</f>
        <v>0.00112808048041368</v>
      </c>
    </row>
    <row r="813" customFormat="false" ht="15" hidden="false" customHeight="false" outlineLevel="0" collapsed="false">
      <c r="A813" s="7" t="s">
        <v>1894</v>
      </c>
      <c r="B813" s="8" t="n">
        <v>99.360369</v>
      </c>
      <c r="C813" s="9" t="n">
        <f aca="false">IF(AND(ISNUMBER(B813),ISNUMBER(B812),B812&lt;&gt;0),B813/B812-1,"")</f>
        <v>-0.00069447252131194</v>
      </c>
    </row>
    <row r="814" customFormat="false" ht="15" hidden="false" customHeight="false" outlineLevel="0" collapsed="false">
      <c r="A814" s="7" t="s">
        <v>1895</v>
      </c>
      <c r="B814" s="8" t="n">
        <v>99.36814</v>
      </c>
      <c r="C814" s="9" t="n">
        <f aca="false">IF(AND(ISNUMBER(B814),ISNUMBER(B813),B813&lt;&gt;0),B814/B813-1,"")</f>
        <v>7.82102570491272E-005</v>
      </c>
    </row>
    <row r="815" customFormat="false" ht="15" hidden="false" customHeight="false" outlineLevel="0" collapsed="false">
      <c r="A815" s="7" t="s">
        <v>1896</v>
      </c>
      <c r="B815" s="8" t="n">
        <v>99.499314</v>
      </c>
      <c r="C815" s="9" t="n">
        <f aca="false">IF(AND(ISNUMBER(B815),ISNUMBER(B814),B814&lt;&gt;0),B815/B814-1,"")</f>
        <v>0.00132008106421244</v>
      </c>
    </row>
    <row r="816" customFormat="false" ht="15" hidden="false" customHeight="false" outlineLevel="0" collapsed="false">
      <c r="A816" s="7" t="s">
        <v>1897</v>
      </c>
      <c r="B816" s="8" t="n">
        <v>99.48304</v>
      </c>
      <c r="C816" s="9" t="n">
        <f aca="false">IF(AND(ISNUMBER(B816),ISNUMBER(B815),B815&lt;&gt;0),B816/B815-1,"")</f>
        <v>-0.00016355891659714</v>
      </c>
    </row>
    <row r="817" customFormat="false" ht="15" hidden="false" customHeight="false" outlineLevel="0" collapsed="false">
      <c r="A817" s="7" t="s">
        <v>1898</v>
      </c>
      <c r="B817" s="8" t="n">
        <v>99.463846</v>
      </c>
      <c r="C817" s="9" t="n">
        <f aca="false">IF(AND(ISNUMBER(B817),ISNUMBER(B816),B816&lt;&gt;0),B817/B816-1,"")</f>
        <v>-0.000192937409230765</v>
      </c>
    </row>
    <row r="818" customFormat="false" ht="15" hidden="false" customHeight="false" outlineLevel="0" collapsed="false">
      <c r="A818" s="7" t="s">
        <v>1899</v>
      </c>
      <c r="B818" s="8" t="n">
        <v>99.456872</v>
      </c>
      <c r="C818" s="9" t="n">
        <f aca="false">IF(AND(ISNUMBER(B818),ISNUMBER(B817),B817&lt;&gt;0),B818/B817-1,"")</f>
        <v>-7.01159293599041E-005</v>
      </c>
    </row>
    <row r="819" customFormat="false" ht="15" hidden="false" customHeight="false" outlineLevel="0" collapsed="false">
      <c r="A819" s="7" t="s">
        <v>1900</v>
      </c>
      <c r="B819" s="8" t="n">
        <v>99.554021</v>
      </c>
      <c r="C819" s="9" t="n">
        <f aca="false">IF(AND(ISNUMBER(B819),ISNUMBER(B818),B818&lt;&gt;0),B819/B818-1,"")</f>
        <v>0.000976795248497364</v>
      </c>
    </row>
    <row r="820" customFormat="false" ht="15" hidden="false" customHeight="false" outlineLevel="0" collapsed="false">
      <c r="A820" s="7" t="s">
        <v>1901</v>
      </c>
      <c r="B820" s="8" t="n">
        <v>99.502457</v>
      </c>
      <c r="C820" s="9" t="n">
        <f aca="false">IF(AND(ISNUMBER(B820),ISNUMBER(B819),B819&lt;&gt;0),B820/B819-1,"")</f>
        <v>-0.000517949947998586</v>
      </c>
    </row>
    <row r="821" customFormat="false" ht="15" hidden="false" customHeight="false" outlineLevel="0" collapsed="false">
      <c r="A821" s="7" t="s">
        <v>1902</v>
      </c>
      <c r="B821" s="8" t="n">
        <v>99.491268</v>
      </c>
      <c r="C821" s="9" t="n">
        <f aca="false">IF(AND(ISNUMBER(B821),ISNUMBER(B820),B820&lt;&gt;0),B821/B820-1,"")</f>
        <v>-0.000112449484538923</v>
      </c>
    </row>
    <row r="822" customFormat="false" ht="15" hidden="false" customHeight="false" outlineLevel="0" collapsed="false">
      <c r="A822" s="7" t="s">
        <v>1903</v>
      </c>
      <c r="B822" s="8" t="n">
        <v>99.282497</v>
      </c>
      <c r="C822" s="9" t="n">
        <f aca="false">IF(AND(ISNUMBER(B822),ISNUMBER(B821),B821&lt;&gt;0),B822/B821-1,"")</f>
        <v>-0.00209838515677574</v>
      </c>
    </row>
    <row r="823" customFormat="false" ht="15" hidden="false" customHeight="false" outlineLevel="0" collapsed="false">
      <c r="A823" s="7" t="s">
        <v>1904</v>
      </c>
      <c r="B823" s="8" t="n">
        <v>99.298347</v>
      </c>
      <c r="C823" s="9" t="n">
        <f aca="false">IF(AND(ISNUMBER(B823),ISNUMBER(B822),B822&lt;&gt;0),B823/B822-1,"")</f>
        <v>0.000159645460971802</v>
      </c>
    </row>
    <row r="824" customFormat="false" ht="15" hidden="false" customHeight="false" outlineLevel="0" collapsed="false">
      <c r="A824" s="7" t="s">
        <v>1905</v>
      </c>
      <c r="B824" s="8" t="n">
        <v>99.224111</v>
      </c>
      <c r="C824" s="9" t="n">
        <f aca="false">IF(AND(ISNUMBER(B824),ISNUMBER(B823),B823&lt;&gt;0),B824/B823-1,"")</f>
        <v>-0.000747605597100409</v>
      </c>
    </row>
    <row r="825" customFormat="false" ht="15" hidden="false" customHeight="false" outlineLevel="0" collapsed="false">
      <c r="A825" s="7" t="s">
        <v>1906</v>
      </c>
      <c r="B825" s="8" t="n">
        <v>99.103232</v>
      </c>
      <c r="C825" s="9" t="n">
        <f aca="false">IF(AND(ISNUMBER(B825),ISNUMBER(B824),B824&lt;&gt;0),B825/B824-1,"")</f>
        <v>-0.00121824220727951</v>
      </c>
    </row>
    <row r="826" customFormat="false" ht="15" hidden="false" customHeight="false" outlineLevel="0" collapsed="false">
      <c r="A826" s="7" t="s">
        <v>1907</v>
      </c>
      <c r="B826" s="8" t="n">
        <v>99.183889</v>
      </c>
      <c r="C826" s="9" t="n">
        <f aca="false">IF(AND(ISNUMBER(B826),ISNUMBER(B825),B825&lt;&gt;0),B826/B825-1,"")</f>
        <v>0.000813868512381077</v>
      </c>
    </row>
    <row r="827" customFormat="false" ht="15" hidden="false" customHeight="false" outlineLevel="0" collapsed="false">
      <c r="A827" s="7" t="s">
        <v>1908</v>
      </c>
      <c r="B827" s="8" t="n">
        <v>99.023387</v>
      </c>
      <c r="C827" s="9" t="n">
        <f aca="false">IF(AND(ISNUMBER(B827),ISNUMBER(B826),B826&lt;&gt;0),B827/B826-1,"")</f>
        <v>-0.00161822652467269</v>
      </c>
    </row>
    <row r="828" customFormat="false" ht="15" hidden="false" customHeight="false" outlineLevel="0" collapsed="false">
      <c r="A828" s="7" t="s">
        <v>1909</v>
      </c>
      <c r="B828" s="8" t="n">
        <v>99.024979</v>
      </c>
      <c r="C828" s="9" t="n">
        <f aca="false">IF(AND(ISNUMBER(B828),ISNUMBER(B827),B827&lt;&gt;0),B828/B827-1,"")</f>
        <v>1.6077010171367E-005</v>
      </c>
    </row>
    <row r="829" customFormat="false" ht="15" hidden="false" customHeight="false" outlineLevel="0" collapsed="false">
      <c r="A829" s="7" t="s">
        <v>1910</v>
      </c>
      <c r="B829" s="8" t="n">
        <v>99.064441</v>
      </c>
      <c r="C829" s="9" t="n">
        <f aca="false">IF(AND(ISNUMBER(B829),ISNUMBER(B828),B828&lt;&gt;0),B829/B828-1,"")</f>
        <v>0.000398505512432479</v>
      </c>
    </row>
    <row r="830" customFormat="false" ht="15" hidden="false" customHeight="false" outlineLevel="0" collapsed="false">
      <c r="A830" s="7" t="s">
        <v>1911</v>
      </c>
      <c r="B830" s="8" t="n">
        <v>99.118118</v>
      </c>
      <c r="C830" s="9" t="n">
        <f aca="false">IF(AND(ISNUMBER(B830),ISNUMBER(B829),B829&lt;&gt;0),B830/B829-1,"")</f>
        <v>0.000541839225640883</v>
      </c>
    </row>
    <row r="831" customFormat="false" ht="15" hidden="false" customHeight="false" outlineLevel="0" collapsed="false">
      <c r="A831" s="7" t="s">
        <v>1912</v>
      </c>
      <c r="B831" s="8" t="n">
        <v>99.124883</v>
      </c>
      <c r="C831" s="9" t="n">
        <f aca="false">IF(AND(ISNUMBER(B831),ISNUMBER(B830),B830&lt;&gt;0),B831/B830-1,"")</f>
        <v>6.82519012316085E-005</v>
      </c>
    </row>
    <row r="832" customFormat="false" ht="15" hidden="false" customHeight="false" outlineLevel="0" collapsed="false">
      <c r="A832" s="7" t="s">
        <v>1913</v>
      </c>
      <c r="B832" s="8" t="n">
        <v>99.05103</v>
      </c>
      <c r="C832" s="9" t="n">
        <f aca="false">IF(AND(ISNUMBER(B832),ISNUMBER(B831),B831&lt;&gt;0),B832/B831-1,"")</f>
        <v>-0.000745050059731245</v>
      </c>
    </row>
    <row r="833" customFormat="false" ht="15" hidden="false" customHeight="false" outlineLevel="0" collapsed="false">
      <c r="A833" s="7" t="s">
        <v>1914</v>
      </c>
      <c r="B833" s="8" t="n">
        <v>99.150033</v>
      </c>
      <c r="C833" s="9" t="n">
        <f aca="false">IF(AND(ISNUMBER(B833),ISNUMBER(B832),B832&lt;&gt;0),B833/B832-1,"")</f>
        <v>0.000999515098429438</v>
      </c>
    </row>
    <row r="834" customFormat="false" ht="15" hidden="false" customHeight="false" outlineLevel="0" collapsed="false">
      <c r="A834" s="7" t="s">
        <v>1915</v>
      </c>
      <c r="B834" s="8" t="n">
        <v>99.231398</v>
      </c>
      <c r="C834" s="9" t="n">
        <f aca="false">IF(AND(ISNUMBER(B834),ISNUMBER(B833),B833&lt;&gt;0),B834/B833-1,"")</f>
        <v>0.000820625042051271</v>
      </c>
    </row>
    <row r="835" customFormat="false" ht="15" hidden="false" customHeight="false" outlineLevel="0" collapsed="false">
      <c r="A835" s="7" t="s">
        <v>1916</v>
      </c>
      <c r="B835" s="8" t="n">
        <v>99.221558</v>
      </c>
      <c r="C835" s="9" t="n">
        <f aca="false">IF(AND(ISNUMBER(B835),ISNUMBER(B834),B834&lt;&gt;0),B835/B834-1,"")</f>
        <v>-9.91621623631644E-005</v>
      </c>
    </row>
    <row r="836" customFormat="false" ht="15" hidden="false" customHeight="false" outlineLevel="0" collapsed="false">
      <c r="A836" s="7" t="s">
        <v>1917</v>
      </c>
      <c r="B836" s="8" t="n">
        <v>99.146851</v>
      </c>
      <c r="C836" s="9" t="n">
        <f aca="false">IF(AND(ISNUMBER(B836),ISNUMBER(B835),B835&lt;&gt;0),B836/B835-1,"")</f>
        <v>-0.000752931132163903</v>
      </c>
    </row>
    <row r="837" customFormat="false" ht="15" hidden="false" customHeight="false" outlineLevel="0" collapsed="false">
      <c r="A837" s="7" t="s">
        <v>1918</v>
      </c>
      <c r="B837" s="8" t="n">
        <v>99.136783</v>
      </c>
      <c r="C837" s="9" t="n">
        <f aca="false">IF(AND(ISNUMBER(B837),ISNUMBER(B836),B836&lt;&gt;0),B837/B836-1,"")</f>
        <v>-0.000101546341597869</v>
      </c>
    </row>
    <row r="838" customFormat="false" ht="15" hidden="false" customHeight="false" outlineLevel="0" collapsed="false">
      <c r="A838" s="7" t="s">
        <v>1919</v>
      </c>
      <c r="B838" s="8" t="n">
        <v>99.080648</v>
      </c>
      <c r="C838" s="9" t="n">
        <f aca="false">IF(AND(ISNUMBER(B838),ISNUMBER(B837),B837&lt;&gt;0),B838/B837-1,"")</f>
        <v>-0.00056623786148069</v>
      </c>
    </row>
    <row r="839" customFormat="false" ht="15" hidden="false" customHeight="false" outlineLevel="0" collapsed="false">
      <c r="A839" s="7" t="s">
        <v>1920</v>
      </c>
      <c r="B839" s="8" t="n">
        <v>99.053214</v>
      </c>
      <c r="C839" s="9" t="n">
        <f aca="false">IF(AND(ISNUMBER(B839),ISNUMBER(B838),B838&lt;&gt;0),B839/B838-1,"")</f>
        <v>-0.000276885552867978</v>
      </c>
    </row>
    <row r="840" customFormat="false" ht="15" hidden="false" customHeight="false" outlineLevel="0" collapsed="false">
      <c r="A840" s="7" t="s">
        <v>1921</v>
      </c>
      <c r="B840" s="8" t="n">
        <v>99.045819</v>
      </c>
      <c r="C840" s="9" t="n">
        <f aca="false">IF(AND(ISNUMBER(B840),ISNUMBER(B839),B839&lt;&gt;0),B840/B839-1,"")</f>
        <v>-7.4656840514109E-005</v>
      </c>
    </row>
    <row r="841" customFormat="false" ht="15" hidden="false" customHeight="false" outlineLevel="0" collapsed="false">
      <c r="A841" s="7" t="s">
        <v>1922</v>
      </c>
      <c r="B841" s="8" t="n">
        <v>99.07676</v>
      </c>
      <c r="C841" s="9" t="n">
        <f aca="false">IF(AND(ISNUMBER(B841),ISNUMBER(B840),B840&lt;&gt;0),B841/B840-1,"")</f>
        <v>0.000312390773405502</v>
      </c>
    </row>
    <row r="842" customFormat="false" ht="15" hidden="false" customHeight="false" outlineLevel="0" collapsed="false">
      <c r="A842" s="7" t="s">
        <v>1923</v>
      </c>
      <c r="B842" s="8" t="n">
        <v>99.141585</v>
      </c>
      <c r="C842" s="9" t="n">
        <f aca="false">IF(AND(ISNUMBER(B842),ISNUMBER(B841),B841&lt;&gt;0),B842/B841-1,"")</f>
        <v>0.000654290673211433</v>
      </c>
    </row>
    <row r="843" customFormat="false" ht="15" hidden="false" customHeight="false" outlineLevel="0" collapsed="false">
      <c r="A843" s="7" t="s">
        <v>1924</v>
      </c>
      <c r="B843" s="8" t="n">
        <v>99.083869</v>
      </c>
      <c r="C843" s="9" t="n">
        <f aca="false">IF(AND(ISNUMBER(B843),ISNUMBER(B842),B842&lt;&gt;0),B843/B842-1,"")</f>
        <v>-0.000582157325808352</v>
      </c>
    </row>
    <row r="844" customFormat="false" ht="15" hidden="false" customHeight="false" outlineLevel="0" collapsed="false">
      <c r="A844" s="7" t="s">
        <v>1925</v>
      </c>
      <c r="B844" s="8" t="n">
        <v>99.173209</v>
      </c>
      <c r="C844" s="9" t="n">
        <f aca="false">IF(AND(ISNUMBER(B844),ISNUMBER(B843),B843&lt;&gt;0),B844/B843-1,"")</f>
        <v>0.000901660390350667</v>
      </c>
    </row>
    <row r="845" customFormat="false" ht="15" hidden="false" customHeight="false" outlineLevel="0" collapsed="false">
      <c r="A845" s="7" t="s">
        <v>1926</v>
      </c>
      <c r="B845" s="8" t="n">
        <v>99.06364</v>
      </c>
      <c r="C845" s="9" t="n">
        <f aca="false">IF(AND(ISNUMBER(B845),ISNUMBER(B844),B844&lt;&gt;0),B845/B844-1,"")</f>
        <v>-0.00110482459027816</v>
      </c>
    </row>
    <row r="846" customFormat="false" ht="15" hidden="false" customHeight="false" outlineLevel="0" collapsed="false">
      <c r="A846" s="7" t="s">
        <v>1927</v>
      </c>
      <c r="B846" s="8" t="n">
        <v>99.056068</v>
      </c>
      <c r="C846" s="9" t="n">
        <f aca="false">IF(AND(ISNUMBER(B846),ISNUMBER(B845),B845&lt;&gt;0),B846/B845-1,"")</f>
        <v>-7.64357134465099E-005</v>
      </c>
    </row>
    <row r="847" customFormat="false" ht="15" hidden="false" customHeight="false" outlineLevel="0" collapsed="false">
      <c r="A847" s="7" t="s">
        <v>1928</v>
      </c>
      <c r="B847" s="8" t="n">
        <v>99.126542</v>
      </c>
      <c r="C847" s="9" t="n">
        <f aca="false">IF(AND(ISNUMBER(B847),ISNUMBER(B846),B846&lt;&gt;0),B847/B846-1,"")</f>
        <v>0.00071145565761821</v>
      </c>
    </row>
    <row r="848" customFormat="false" ht="15" hidden="false" customHeight="false" outlineLevel="0" collapsed="false">
      <c r="A848" s="7" t="s">
        <v>1929</v>
      </c>
      <c r="B848" s="8" t="n">
        <v>99.110692</v>
      </c>
      <c r="C848" s="9" t="n">
        <f aca="false">IF(AND(ISNUMBER(B848),ISNUMBER(B847),B847&lt;&gt;0),B848/B847-1,"")</f>
        <v>-0.000159896629905676</v>
      </c>
    </row>
    <row r="849" customFormat="false" ht="15" hidden="false" customHeight="false" outlineLevel="0" collapsed="false">
      <c r="A849" s="7" t="s">
        <v>1930</v>
      </c>
      <c r="B849" s="8" t="n">
        <v>99.120919</v>
      </c>
      <c r="C849" s="9" t="n">
        <f aca="false">IF(AND(ISNUMBER(B849),ISNUMBER(B848),B848&lt;&gt;0),B849/B848-1,"")</f>
        <v>0.000103187656080639</v>
      </c>
    </row>
    <row r="850" customFormat="false" ht="15" hidden="false" customHeight="false" outlineLevel="0" collapsed="false">
      <c r="A850" s="7" t="s">
        <v>1931</v>
      </c>
      <c r="B850" s="8" t="n">
        <v>99.151946</v>
      </c>
      <c r="C850" s="9" t="n">
        <f aca="false">IF(AND(ISNUMBER(B850),ISNUMBER(B849),B849&lt;&gt;0),B850/B849-1,"")</f>
        <v>0.000313021714417161</v>
      </c>
    </row>
    <row r="851" customFormat="false" ht="15" hidden="false" customHeight="false" outlineLevel="0" collapsed="false">
      <c r="A851" s="7" t="s">
        <v>1932</v>
      </c>
      <c r="B851" s="8" t="n">
        <v>99.223057</v>
      </c>
      <c r="C851" s="9" t="n">
        <f aca="false">IF(AND(ISNUMBER(B851),ISNUMBER(B850),B850&lt;&gt;0),B851/B850-1,"")</f>
        <v>0.000717192176944215</v>
      </c>
    </row>
    <row r="852" customFormat="false" ht="15" hidden="false" customHeight="false" outlineLevel="0" collapsed="false">
      <c r="A852" s="7" t="s">
        <v>1933</v>
      </c>
      <c r="B852" s="8" t="n">
        <v>99.279761</v>
      </c>
      <c r="C852" s="9" t="n">
        <f aca="false">IF(AND(ISNUMBER(B852),ISNUMBER(B851),B851&lt;&gt;0),B852/B851-1,"")</f>
        <v>0.000571480074434749</v>
      </c>
    </row>
    <row r="853" customFormat="false" ht="15" hidden="false" customHeight="false" outlineLevel="0" collapsed="false">
      <c r="A853" s="7" t="s">
        <v>1934</v>
      </c>
      <c r="B853" s="8" t="n">
        <v>99.493663</v>
      </c>
      <c r="C853" s="9" t="n">
        <f aca="false">IF(AND(ISNUMBER(B853),ISNUMBER(B852),B852&lt;&gt;0),B853/B852-1,"")</f>
        <v>0.00215453782166142</v>
      </c>
    </row>
    <row r="854" customFormat="false" ht="15" hidden="false" customHeight="false" outlineLevel="0" collapsed="false">
      <c r="A854" s="7" t="s">
        <v>1935</v>
      </c>
      <c r="B854" s="8" t="n">
        <v>99.474733</v>
      </c>
      <c r="C854" s="9" t="n">
        <f aca="false">IF(AND(ISNUMBER(B854),ISNUMBER(B853),B853&lt;&gt;0),B854/B853-1,"")</f>
        <v>-0.000190263373859301</v>
      </c>
    </row>
    <row r="855" customFormat="false" ht="15" hidden="false" customHeight="false" outlineLevel="0" collapsed="false">
      <c r="A855" s="7" t="s">
        <v>1936</v>
      </c>
      <c r="B855" s="8" t="n">
        <v>99.535903</v>
      </c>
      <c r="C855" s="9" t="n">
        <f aca="false">IF(AND(ISNUMBER(B855),ISNUMBER(B854),B854&lt;&gt;0),B855/B854-1,"")</f>
        <v>0.000614930024491756</v>
      </c>
    </row>
    <row r="856" customFormat="false" ht="15" hidden="false" customHeight="false" outlineLevel="0" collapsed="false">
      <c r="A856" s="7" t="s">
        <v>1937</v>
      </c>
      <c r="B856" s="8" t="n">
        <v>99.551924</v>
      </c>
      <c r="C856" s="9" t="n">
        <f aca="false">IF(AND(ISNUMBER(B856),ISNUMBER(B855),B855&lt;&gt;0),B856/B855-1,"")</f>
        <v>0.000160956996592354</v>
      </c>
    </row>
    <row r="857" customFormat="false" ht="15" hidden="false" customHeight="false" outlineLevel="0" collapsed="false">
      <c r="A857" s="7" t="s">
        <v>1938</v>
      </c>
      <c r="B857" s="8" t="n">
        <v>99.601974</v>
      </c>
      <c r="C857" s="9" t="n">
        <f aca="false">IF(AND(ISNUMBER(B857),ISNUMBER(B856),B856&lt;&gt;0),B857/B856-1,"")</f>
        <v>0.00050275271425182</v>
      </c>
    </row>
    <row r="858" customFormat="false" ht="15" hidden="false" customHeight="false" outlineLevel="0" collapsed="false">
      <c r="A858" s="7" t="s">
        <v>1939</v>
      </c>
      <c r="B858" s="8" t="n">
        <v>99.536687</v>
      </c>
      <c r="C858" s="9" t="n">
        <f aca="false">IF(AND(ISNUMBER(B858),ISNUMBER(B857),B857&lt;&gt;0),B858/B857-1,"")</f>
        <v>-0.000655478976752</v>
      </c>
    </row>
    <row r="859" customFormat="false" ht="15" hidden="false" customHeight="false" outlineLevel="0" collapsed="false">
      <c r="A859" s="7" t="s">
        <v>1940</v>
      </c>
      <c r="B859" s="8" t="n">
        <v>99.572182</v>
      </c>
      <c r="C859" s="9" t="n">
        <f aca="false">IF(AND(ISNUMBER(B859),ISNUMBER(B858),B858&lt;&gt;0),B859/B858-1,"")</f>
        <v>0.000356602184278021</v>
      </c>
    </row>
    <row r="860" customFormat="false" ht="15" hidden="false" customHeight="false" outlineLevel="0" collapsed="false">
      <c r="A860" s="7" t="s">
        <v>1941</v>
      </c>
      <c r="B860" s="8" t="n">
        <v>99.565481</v>
      </c>
      <c r="C860" s="9" t="n">
        <f aca="false">IF(AND(ISNUMBER(B860),ISNUMBER(B859),B859&lt;&gt;0),B860/B859-1,"")</f>
        <v>-6.72979125835305E-005</v>
      </c>
    </row>
    <row r="861" customFormat="false" ht="15" hidden="false" customHeight="false" outlineLevel="0" collapsed="false">
      <c r="A861" s="7" t="s">
        <v>1942</v>
      </c>
      <c r="B861" s="8" t="n">
        <v>99.586639</v>
      </c>
      <c r="C861" s="9" t="n">
        <f aca="false">IF(AND(ISNUMBER(B861),ISNUMBER(B860),B860&lt;&gt;0),B861/B860-1,"")</f>
        <v>0.000212503367507555</v>
      </c>
    </row>
    <row r="862" customFormat="false" ht="15" hidden="false" customHeight="false" outlineLevel="0" collapsed="false">
      <c r="A862" s="7" t="s">
        <v>1943</v>
      </c>
      <c r="B862" s="8" t="n">
        <v>99.517619</v>
      </c>
      <c r="C862" s="9" t="n">
        <f aca="false">IF(AND(ISNUMBER(B862),ISNUMBER(B861),B861&lt;&gt;0),B862/B861-1,"")</f>
        <v>-0.000693064859835335</v>
      </c>
    </row>
    <row r="863" customFormat="false" ht="15" hidden="false" customHeight="false" outlineLevel="0" collapsed="false">
      <c r="A863" s="7" t="s">
        <v>1944</v>
      </c>
      <c r="B863" s="8" t="n">
        <v>99.523086</v>
      </c>
      <c r="C863" s="9" t="n">
        <f aca="false">IF(AND(ISNUMBER(B863),ISNUMBER(B862),B862&lt;&gt;0),B863/B862-1,"")</f>
        <v>5.49349959830803E-005</v>
      </c>
    </row>
    <row r="864" customFormat="false" ht="15" hidden="false" customHeight="false" outlineLevel="0" collapsed="false">
      <c r="A864" s="7" t="s">
        <v>1945</v>
      </c>
      <c r="B864" s="8" t="n">
        <v>99.766289</v>
      </c>
      <c r="C864" s="9" t="n">
        <f aca="false">IF(AND(ISNUMBER(B864),ISNUMBER(B863),B863&lt;&gt;0),B864/B863-1,"")</f>
        <v>0.00244368427241093</v>
      </c>
    </row>
    <row r="865" customFormat="false" ht="15" hidden="false" customHeight="false" outlineLevel="0" collapsed="false">
      <c r="A865" s="7" t="s">
        <v>1946</v>
      </c>
      <c r="B865" s="8" t="n">
        <v>99.694664</v>
      </c>
      <c r="C865" s="9" t="n">
        <f aca="false">IF(AND(ISNUMBER(B865),ISNUMBER(B864),B864&lt;&gt;0),B865/B864-1,"")</f>
        <v>-0.000717927876419222</v>
      </c>
    </row>
    <row r="866" customFormat="false" ht="15" hidden="false" customHeight="false" outlineLevel="0" collapsed="false">
      <c r="A866" s="7" t="s">
        <v>1947</v>
      </c>
      <c r="B866" s="8" t="n">
        <v>99.741755</v>
      </c>
      <c r="C866" s="9" t="n">
        <f aca="false">IF(AND(ISNUMBER(B866),ISNUMBER(B865),B865&lt;&gt;0),B866/B865-1,"")</f>
        <v>0.000472352261501108</v>
      </c>
    </row>
    <row r="867" customFormat="false" ht="15" hidden="false" customHeight="false" outlineLevel="0" collapsed="false">
      <c r="A867" s="7" t="s">
        <v>1948</v>
      </c>
      <c r="B867" s="8" t="n">
        <v>99.730897</v>
      </c>
      <c r="C867" s="9" t="n">
        <f aca="false">IF(AND(ISNUMBER(B867),ISNUMBER(B866),B866&lt;&gt;0),B867/B866-1,"")</f>
        <v>-0.000108861128421123</v>
      </c>
    </row>
    <row r="868" customFormat="false" ht="15" hidden="false" customHeight="false" outlineLevel="0" collapsed="false">
      <c r="A868" s="7" t="s">
        <v>1949</v>
      </c>
      <c r="B868" s="8" t="n">
        <v>99.603476</v>
      </c>
      <c r="C868" s="9" t="n">
        <f aca="false">IF(AND(ISNUMBER(B868),ISNUMBER(B867),B867&lt;&gt;0),B868/B867-1,"")</f>
        <v>-0.00127764818960763</v>
      </c>
    </row>
    <row r="869" customFormat="false" ht="15" hidden="false" customHeight="false" outlineLevel="0" collapsed="false">
      <c r="A869" s="7" t="s">
        <v>1950</v>
      </c>
      <c r="B869" s="8" t="n">
        <v>99.641054</v>
      </c>
      <c r="C869" s="9" t="n">
        <f aca="false">IF(AND(ISNUMBER(B869),ISNUMBER(B868),B868&lt;&gt;0),B869/B868-1,"")</f>
        <v>0.000377275989845938</v>
      </c>
    </row>
    <row r="870" customFormat="false" ht="15" hidden="false" customHeight="false" outlineLevel="0" collapsed="false">
      <c r="A870" s="7" t="s">
        <v>1951</v>
      </c>
      <c r="B870" s="8" t="n">
        <v>99.799648</v>
      </c>
      <c r="C870" s="9" t="n">
        <f aca="false">IF(AND(ISNUMBER(B870),ISNUMBER(B869),B869&lt;&gt;0),B870/B869-1,"")</f>
        <v>0.00159165317540699</v>
      </c>
    </row>
    <row r="871" customFormat="false" ht="15" hidden="false" customHeight="false" outlineLevel="0" collapsed="false">
      <c r="A871" s="7" t="s">
        <v>1952</v>
      </c>
      <c r="B871" s="8" t="n">
        <v>99.854027</v>
      </c>
      <c r="C871" s="9" t="n">
        <f aca="false">IF(AND(ISNUMBER(B871),ISNUMBER(B870),B870&lt;&gt;0),B871/B870-1,"")</f>
        <v>0.000544881681346254</v>
      </c>
    </row>
    <row r="872" customFormat="false" ht="15" hidden="false" customHeight="false" outlineLevel="0" collapsed="false">
      <c r="A872" s="7" t="s">
        <v>1953</v>
      </c>
      <c r="B872" s="8" t="n">
        <v>99.784143</v>
      </c>
      <c r="C872" s="9" t="n">
        <f aca="false">IF(AND(ISNUMBER(B872),ISNUMBER(B871),B871&lt;&gt;0),B872/B871-1,"")</f>
        <v>-0.000699861608986496</v>
      </c>
    </row>
    <row r="873" customFormat="false" ht="15" hidden="false" customHeight="false" outlineLevel="0" collapsed="false">
      <c r="A873" s="7" t="s">
        <v>1954</v>
      </c>
      <c r="B873" s="8" t="n">
        <v>99.69584</v>
      </c>
      <c r="C873" s="9" t="n">
        <f aca="false">IF(AND(ISNUMBER(B873),ISNUMBER(B872),B872&lt;&gt;0),B873/B872-1,"")</f>
        <v>-0.000884940205379103</v>
      </c>
    </row>
    <row r="874" customFormat="false" ht="15" hidden="false" customHeight="false" outlineLevel="0" collapsed="false">
      <c r="A874" s="7" t="s">
        <v>1955</v>
      </c>
      <c r="B874" s="8" t="n">
        <v>99.655023</v>
      </c>
      <c r="C874" s="9" t="n">
        <f aca="false">IF(AND(ISNUMBER(B874),ISNUMBER(B873),B873&lt;&gt;0),B874/B873-1,"")</f>
        <v>-0.000409415277508152</v>
      </c>
    </row>
    <row r="875" customFormat="false" ht="15" hidden="false" customHeight="false" outlineLevel="0" collapsed="false">
      <c r="A875" s="7" t="s">
        <v>1956</v>
      </c>
      <c r="B875" s="8" t="n">
        <v>99.685763</v>
      </c>
      <c r="C875" s="9" t="n">
        <f aca="false">IF(AND(ISNUMBER(B875),ISNUMBER(B874),B874&lt;&gt;0),B875/B874-1,"")</f>
        <v>0.000308464130302832</v>
      </c>
    </row>
    <row r="876" customFormat="false" ht="15" hidden="false" customHeight="false" outlineLevel="0" collapsed="false">
      <c r="A876" s="7" t="s">
        <v>1957</v>
      </c>
      <c r="B876" s="8" t="n">
        <v>99.759277</v>
      </c>
      <c r="C876" s="9" t="n">
        <f aca="false">IF(AND(ISNUMBER(B876),ISNUMBER(B875),B875&lt;&gt;0),B876/B875-1,"")</f>
        <v>0.000737457363896521</v>
      </c>
    </row>
    <row r="877" customFormat="false" ht="15" hidden="false" customHeight="false" outlineLevel="0" collapsed="false">
      <c r="A877" s="7" t="s">
        <v>1958</v>
      </c>
      <c r="B877" s="8" t="n">
        <v>99.764484</v>
      </c>
      <c r="C877" s="9" t="n">
        <f aca="false">IF(AND(ISNUMBER(B877),ISNUMBER(B876),B876&lt;&gt;0),B877/B876-1,"")</f>
        <v>5.21956469270446E-005</v>
      </c>
    </row>
    <row r="878" customFormat="false" ht="15" hidden="false" customHeight="false" outlineLevel="0" collapsed="false">
      <c r="A878" s="7" t="s">
        <v>1959</v>
      </c>
      <c r="B878" s="8" t="n">
        <v>99.796089</v>
      </c>
      <c r="C878" s="9" t="n">
        <f aca="false">IF(AND(ISNUMBER(B878),ISNUMBER(B877),B877&lt;&gt;0),B878/B877-1,"")</f>
        <v>0.000316796105515937</v>
      </c>
    </row>
    <row r="879" customFormat="false" ht="15" hidden="false" customHeight="false" outlineLevel="0" collapsed="false">
      <c r="A879" s="7" t="s">
        <v>1960</v>
      </c>
      <c r="B879" s="8" t="n">
        <v>99.749022</v>
      </c>
      <c r="C879" s="9" t="n">
        <f aca="false">IF(AND(ISNUMBER(B879),ISNUMBER(B878),B878&lt;&gt;0),B879/B878-1,"")</f>
        <v>-0.000471631708933939</v>
      </c>
    </row>
    <row r="880" customFormat="false" ht="15" hidden="false" customHeight="false" outlineLevel="0" collapsed="false">
      <c r="A880" s="7" t="s">
        <v>1961</v>
      </c>
      <c r="B880" s="8" t="n">
        <v>99.64954</v>
      </c>
      <c r="C880" s="9" t="n">
        <f aca="false">IF(AND(ISNUMBER(B880),ISNUMBER(B879),B879&lt;&gt;0),B880/B879-1,"")</f>
        <v>-0.000997323061473154</v>
      </c>
    </row>
    <row r="881" customFormat="false" ht="15" hidden="false" customHeight="false" outlineLevel="0" collapsed="false">
      <c r="A881" s="7" t="s">
        <v>1962</v>
      </c>
      <c r="B881" s="8" t="n">
        <v>99.685539</v>
      </c>
      <c r="C881" s="9" t="n">
        <f aca="false">IF(AND(ISNUMBER(B881),ISNUMBER(B880),B880&lt;&gt;0),B881/B880-1,"")</f>
        <v>0.000361256057980874</v>
      </c>
    </row>
    <row r="882" customFormat="false" ht="15" hidden="false" customHeight="false" outlineLevel="0" collapsed="false">
      <c r="A882" s="7" t="s">
        <v>1963</v>
      </c>
      <c r="B882" s="8" t="n">
        <v>99.803334</v>
      </c>
      <c r="C882" s="9" t="n">
        <f aca="false">IF(AND(ISNUMBER(B882),ISNUMBER(B881),B881&lt;&gt;0),B882/B881-1,"")</f>
        <v>0.00118166587833768</v>
      </c>
    </row>
    <row r="883" customFormat="false" ht="15" hidden="false" customHeight="false" outlineLevel="0" collapsed="false">
      <c r="A883" s="7" t="s">
        <v>1964</v>
      </c>
      <c r="B883" s="8" t="n">
        <v>99.756979</v>
      </c>
      <c r="C883" s="9" t="n">
        <f aca="false">IF(AND(ISNUMBER(B883),ISNUMBER(B882),B882&lt;&gt;0),B883/B882-1,"")</f>
        <v>-0.00046446344167228</v>
      </c>
    </row>
    <row r="884" customFormat="false" ht="15" hidden="false" customHeight="false" outlineLevel="0" collapsed="false">
      <c r="A884" s="7" t="s">
        <v>1965</v>
      </c>
      <c r="B884" s="8" t="n">
        <v>99.741247</v>
      </c>
      <c r="C884" s="9" t="n">
        <f aca="false">IF(AND(ISNUMBER(B884),ISNUMBER(B883),B883&lt;&gt;0),B884/B883-1,"")</f>
        <v>-0.000157703252020136</v>
      </c>
    </row>
    <row r="885" customFormat="false" ht="15" hidden="false" customHeight="false" outlineLevel="0" collapsed="false">
      <c r="A885" s="7" t="s">
        <v>1966</v>
      </c>
      <c r="B885" s="8" t="n">
        <v>99.827769</v>
      </c>
      <c r="C885" s="9" t="n">
        <f aca="false">IF(AND(ISNUMBER(B885),ISNUMBER(B884),B884&lt;&gt;0),B885/B884-1,"")</f>
        <v>0.000867464590652345</v>
      </c>
    </row>
    <row r="886" customFormat="false" ht="15" hidden="false" customHeight="false" outlineLevel="0" collapsed="false">
      <c r="A886" s="7" t="s">
        <v>1967</v>
      </c>
      <c r="B886" s="8" t="n">
        <v>99.86528</v>
      </c>
      <c r="C886" s="9" t="n">
        <f aca="false">IF(AND(ISNUMBER(B886),ISNUMBER(B885),B885&lt;&gt;0),B886/B885-1,"")</f>
        <v>0.000375757170332003</v>
      </c>
    </row>
    <row r="887" customFormat="false" ht="15" hidden="false" customHeight="false" outlineLevel="0" collapsed="false">
      <c r="A887" s="7" t="s">
        <v>1968</v>
      </c>
      <c r="B887" s="8" t="n">
        <v>99.857397</v>
      </c>
      <c r="C887" s="9" t="n">
        <f aca="false">IF(AND(ISNUMBER(B887),ISNUMBER(B886),B886&lt;&gt;0),B887/B886-1,"")</f>
        <v>-7.8936343041236E-005</v>
      </c>
    </row>
    <row r="888" customFormat="false" ht="15" hidden="false" customHeight="false" outlineLevel="0" collapsed="false">
      <c r="A888" s="7" t="s">
        <v>1969</v>
      </c>
      <c r="B888" s="8" t="n">
        <v>99.857688</v>
      </c>
      <c r="C888" s="9" t="n">
        <f aca="false">IF(AND(ISNUMBER(B888),ISNUMBER(B887),B887&lt;&gt;0),B888/B887-1,"")</f>
        <v>2.91415567321707E-006</v>
      </c>
    </row>
    <row r="889" customFormat="false" ht="15" hidden="false" customHeight="false" outlineLevel="0" collapsed="false">
      <c r="A889" s="7" t="s">
        <v>1970</v>
      </c>
      <c r="B889" s="8" t="n">
        <v>99.832299</v>
      </c>
      <c r="C889" s="9" t="n">
        <f aca="false">IF(AND(ISNUMBER(B889),ISNUMBER(B888),B888&lt;&gt;0),B889/B888-1,"")</f>
        <v>-0.000254251830865471</v>
      </c>
    </row>
    <row r="890" customFormat="false" ht="15" hidden="false" customHeight="false" outlineLevel="0" collapsed="false">
      <c r="A890" s="7" t="s">
        <v>1971</v>
      </c>
      <c r="B890" s="8" t="n">
        <v>99.725327</v>
      </c>
      <c r="C890" s="9" t="n">
        <f aca="false">IF(AND(ISNUMBER(B890),ISNUMBER(B889),B889&lt;&gt;0),B890/B889-1,"")</f>
        <v>-0.00107151694463148</v>
      </c>
    </row>
    <row r="891" customFormat="false" ht="15" hidden="false" customHeight="false" outlineLevel="0" collapsed="false">
      <c r="A891" s="7" t="s">
        <v>1972</v>
      </c>
      <c r="B891" s="8" t="n">
        <v>99.614735</v>
      </c>
      <c r="C891" s="9" t="n">
        <f aca="false">IF(AND(ISNUMBER(B891),ISNUMBER(B890),B890&lt;&gt;0),B891/B890-1,"")</f>
        <v>-0.00110896603026422</v>
      </c>
    </row>
    <row r="892" customFormat="false" ht="15" hidden="false" customHeight="false" outlineLevel="0" collapsed="false">
      <c r="A892" s="7" t="s">
        <v>1973</v>
      </c>
      <c r="B892" s="8" t="n">
        <v>99.642759</v>
      </c>
      <c r="C892" s="9" t="n">
        <f aca="false">IF(AND(ISNUMBER(B892),ISNUMBER(B891),B891&lt;&gt;0),B892/B891-1,"")</f>
        <v>0.000281323842300951</v>
      </c>
    </row>
    <row r="893" customFormat="false" ht="15" hidden="false" customHeight="false" outlineLevel="0" collapsed="false">
      <c r="A893" s="7" t="s">
        <v>1974</v>
      </c>
      <c r="B893" s="8" t="n">
        <v>99.597555</v>
      </c>
      <c r="C893" s="9" t="n">
        <f aca="false">IF(AND(ISNUMBER(B893),ISNUMBER(B892),B892&lt;&gt;0),B893/B892-1,"")</f>
        <v>-0.000453660661885125</v>
      </c>
    </row>
    <row r="894" customFormat="false" ht="15" hidden="false" customHeight="false" outlineLevel="0" collapsed="false">
      <c r="A894" s="7" t="s">
        <v>1975</v>
      </c>
      <c r="B894" s="8" t="n">
        <v>99.656725</v>
      </c>
      <c r="C894" s="9" t="n">
        <f aca="false">IF(AND(ISNUMBER(B894),ISNUMBER(B893),B893&lt;&gt;0),B894/B893-1,"")</f>
        <v>0.000594090889078469</v>
      </c>
    </row>
    <row r="895" customFormat="false" ht="15" hidden="false" customHeight="false" outlineLevel="0" collapsed="false">
      <c r="A895" s="7" t="s">
        <v>1976</v>
      </c>
      <c r="B895" s="8" t="n">
        <v>99.622942</v>
      </c>
      <c r="C895" s="9" t="n">
        <f aca="false">IF(AND(ISNUMBER(B895),ISNUMBER(B894),B894&lt;&gt;0),B895/B894-1,"")</f>
        <v>-0.000338993680556898</v>
      </c>
    </row>
    <row r="896" customFormat="false" ht="15" hidden="false" customHeight="false" outlineLevel="0" collapsed="false">
      <c r="A896" s="7" t="s">
        <v>1977</v>
      </c>
      <c r="B896" s="8" t="n">
        <v>99.568265</v>
      </c>
      <c r="C896" s="9" t="n">
        <f aca="false">IF(AND(ISNUMBER(B896),ISNUMBER(B895),B895&lt;&gt;0),B896/B895-1,"")</f>
        <v>-0.000548839443027083</v>
      </c>
    </row>
    <row r="897" customFormat="false" ht="15" hidden="false" customHeight="false" outlineLevel="0" collapsed="false">
      <c r="A897" s="7" t="s">
        <v>1978</v>
      </c>
      <c r="B897" s="8" t="n">
        <v>99.50005</v>
      </c>
      <c r="C897" s="9" t="n">
        <f aca="false">IF(AND(ISNUMBER(B897),ISNUMBER(B896),B896&lt;&gt;0),B897/B896-1,"")</f>
        <v>-0.000685107850377786</v>
      </c>
    </row>
    <row r="898" customFormat="false" ht="15" hidden="false" customHeight="false" outlineLevel="0" collapsed="false">
      <c r="A898" s="7" t="s">
        <v>1979</v>
      </c>
      <c r="B898" s="8" t="n">
        <v>99.567735</v>
      </c>
      <c r="C898" s="9" t="n">
        <f aca="false">IF(AND(ISNUMBER(B898),ISNUMBER(B897),B897&lt;&gt;0),B898/B897-1,"")</f>
        <v>0.000680250914446789</v>
      </c>
    </row>
    <row r="899" customFormat="false" ht="15" hidden="false" customHeight="false" outlineLevel="0" collapsed="false">
      <c r="A899" s="7" t="s">
        <v>1980</v>
      </c>
      <c r="B899" s="8" t="n">
        <v>99.279362</v>
      </c>
      <c r="C899" s="9" t="n">
        <f aca="false">IF(AND(ISNUMBER(B899),ISNUMBER(B898),B898&lt;&gt;0),B899/B898-1,"")</f>
        <v>-0.00289624947278344</v>
      </c>
    </row>
    <row r="900" customFormat="false" ht="15" hidden="false" customHeight="false" outlineLevel="0" collapsed="false">
      <c r="A900" s="7" t="s">
        <v>1981</v>
      </c>
      <c r="B900" s="8" t="n">
        <v>99.20255</v>
      </c>
      <c r="C900" s="9" t="n">
        <f aca="false">IF(AND(ISNUMBER(B900),ISNUMBER(B899),B899&lt;&gt;0),B900/B899-1,"")</f>
        <v>-0.000773695544095121</v>
      </c>
    </row>
    <row r="901" customFormat="false" ht="15" hidden="false" customHeight="false" outlineLevel="0" collapsed="false">
      <c r="A901" s="7" t="s">
        <v>1982</v>
      </c>
      <c r="B901" s="8" t="n">
        <v>99.056224</v>
      </c>
      <c r="C901" s="9" t="n">
        <f aca="false">IF(AND(ISNUMBER(B901),ISNUMBER(B900),B900&lt;&gt;0),B901/B900-1,"")</f>
        <v>-0.00147502256746423</v>
      </c>
    </row>
    <row r="902" customFormat="false" ht="15" hidden="false" customHeight="false" outlineLevel="0" collapsed="false">
      <c r="A902" s="7" t="s">
        <v>1983</v>
      </c>
      <c r="B902" s="8" t="n">
        <v>98.96753</v>
      </c>
      <c r="C902" s="9" t="n">
        <f aca="false">IF(AND(ISNUMBER(B902),ISNUMBER(B901),B901&lt;&gt;0),B902/B901-1,"")</f>
        <v>-0.000895390480460945</v>
      </c>
    </row>
    <row r="903" customFormat="false" ht="15" hidden="false" customHeight="false" outlineLevel="0" collapsed="false">
      <c r="A903" s="7" t="s">
        <v>1984</v>
      </c>
      <c r="B903" s="8" t="n">
        <v>99.00685</v>
      </c>
      <c r="C903" s="9" t="n">
        <f aca="false">IF(AND(ISNUMBER(B903),ISNUMBER(B902),B902&lt;&gt;0),B903/B902-1,"")</f>
        <v>0.000397302024209401</v>
      </c>
    </row>
    <row r="904" customFormat="false" ht="15" hidden="false" customHeight="false" outlineLevel="0" collapsed="false">
      <c r="A904" s="7" t="s">
        <v>1985</v>
      </c>
      <c r="B904" s="8" t="n">
        <v>99.049855</v>
      </c>
      <c r="C904" s="9" t="n">
        <f aca="false">IF(AND(ISNUMBER(B904),ISNUMBER(B903),B903&lt;&gt;0),B904/B903-1,"")</f>
        <v>0.000434363884923128</v>
      </c>
    </row>
    <row r="905" customFormat="false" ht="15" hidden="false" customHeight="false" outlineLevel="0" collapsed="false">
      <c r="A905" s="7" t="s">
        <v>1986</v>
      </c>
      <c r="B905" s="8" t="n">
        <v>99.073786</v>
      </c>
      <c r="C905" s="9" t="n">
        <f aca="false">IF(AND(ISNUMBER(B905),ISNUMBER(B904),B904&lt;&gt;0),B905/B904-1,"")</f>
        <v>0.000241605603561901</v>
      </c>
    </row>
    <row r="906" customFormat="false" ht="15" hidden="false" customHeight="false" outlineLevel="0" collapsed="false">
      <c r="A906" s="7" t="s">
        <v>1987</v>
      </c>
      <c r="B906" s="8" t="n">
        <v>99.082007</v>
      </c>
      <c r="C906" s="9" t="n">
        <f aca="false">IF(AND(ISNUMBER(B906),ISNUMBER(B905),B905&lt;&gt;0),B906/B905-1,"")</f>
        <v>8.2978559030833E-005</v>
      </c>
    </row>
    <row r="907" customFormat="false" ht="15" hidden="false" customHeight="false" outlineLevel="0" collapsed="false">
      <c r="A907" s="7" t="s">
        <v>1988</v>
      </c>
      <c r="B907" s="8" t="n">
        <v>99.124754</v>
      </c>
      <c r="C907" s="9" t="n">
        <f aca="false">IF(AND(ISNUMBER(B907),ISNUMBER(B906),B906&lt;&gt;0),B907/B906-1,"")</f>
        <v>0.000431430501806274</v>
      </c>
    </row>
    <row r="908" customFormat="false" ht="15" hidden="false" customHeight="false" outlineLevel="0" collapsed="false">
      <c r="A908" s="7" t="s">
        <v>1989</v>
      </c>
      <c r="B908" s="8" t="n">
        <v>99.143297</v>
      </c>
      <c r="C908" s="9" t="n">
        <f aca="false">IF(AND(ISNUMBER(B908),ISNUMBER(B907),B907&lt;&gt;0),B908/B907-1,"")</f>
        <v>0.000187067299052268</v>
      </c>
    </row>
    <row r="909" customFormat="false" ht="15" hidden="false" customHeight="false" outlineLevel="0" collapsed="false">
      <c r="A909" s="7" t="s">
        <v>1990</v>
      </c>
      <c r="B909" s="8" t="n">
        <v>99.18679</v>
      </c>
      <c r="C909" s="9" t="n">
        <f aca="false">IF(AND(ISNUMBER(B909),ISNUMBER(B908),B908&lt;&gt;0),B909/B908-1,"")</f>
        <v>0.000438688255445019</v>
      </c>
    </row>
    <row r="910" customFormat="false" ht="15" hidden="false" customHeight="false" outlineLevel="0" collapsed="false">
      <c r="A910" s="7" t="s">
        <v>1991</v>
      </c>
      <c r="B910" s="8" t="n">
        <v>99.271292</v>
      </c>
      <c r="C910" s="9" t="n">
        <f aca="false">IF(AND(ISNUMBER(B910),ISNUMBER(B909),B909&lt;&gt;0),B910/B909-1,"")</f>
        <v>0.000851948127366553</v>
      </c>
    </row>
    <row r="911" customFormat="false" ht="15" hidden="false" customHeight="false" outlineLevel="0" collapsed="false">
      <c r="A911" s="7" t="s">
        <v>1992</v>
      </c>
      <c r="B911" s="8" t="n">
        <v>99.288356</v>
      </c>
      <c r="C911" s="9" t="n">
        <f aca="false">IF(AND(ISNUMBER(B911),ISNUMBER(B910),B910&lt;&gt;0),B911/B910-1,"")</f>
        <v>0.00017189259509176</v>
      </c>
    </row>
    <row r="912" customFormat="false" ht="15" hidden="false" customHeight="false" outlineLevel="0" collapsed="false">
      <c r="A912" s="7" t="s">
        <v>1993</v>
      </c>
      <c r="B912" s="8" t="n">
        <v>99.334216</v>
      </c>
      <c r="C912" s="9" t="n">
        <f aca="false">IF(AND(ISNUMBER(B912),ISNUMBER(B911),B911&lt;&gt;0),B912/B911-1,"")</f>
        <v>0.000461886991058647</v>
      </c>
    </row>
    <row r="913" customFormat="false" ht="15" hidden="false" customHeight="false" outlineLevel="0" collapsed="false">
      <c r="A913" s="7" t="s">
        <v>1994</v>
      </c>
      <c r="B913" s="8" t="n">
        <v>99.315836</v>
      </c>
      <c r="C913" s="9" t="n">
        <f aca="false">IF(AND(ISNUMBER(B913),ISNUMBER(B912),B912&lt;&gt;0),B913/B912-1,"")</f>
        <v>-0.00018503191287067</v>
      </c>
    </row>
    <row r="914" customFormat="false" ht="15" hidden="false" customHeight="false" outlineLevel="0" collapsed="false">
      <c r="A914" s="7" t="s">
        <v>1995</v>
      </c>
      <c r="B914" s="8" t="n">
        <v>99.217296</v>
      </c>
      <c r="C914" s="9" t="n">
        <f aca="false">IF(AND(ISNUMBER(B914),ISNUMBER(B913),B913&lt;&gt;0),B914/B913-1,"")</f>
        <v>-0.000992188194438581</v>
      </c>
    </row>
    <row r="915" customFormat="false" ht="15" hidden="false" customHeight="false" outlineLevel="0" collapsed="false">
      <c r="A915" s="7" t="s">
        <v>1996</v>
      </c>
      <c r="B915" s="8" t="n">
        <v>99.44358</v>
      </c>
      <c r="C915" s="9" t="n">
        <f aca="false">IF(AND(ISNUMBER(B915),ISNUMBER(B914),B914&lt;&gt;0),B915/B914-1,"")</f>
        <v>0.00228069106015538</v>
      </c>
    </row>
    <row r="916" customFormat="false" ht="15" hidden="false" customHeight="false" outlineLevel="0" collapsed="false">
      <c r="A916" s="7" t="s">
        <v>1997</v>
      </c>
      <c r="B916" s="8" t="n">
        <v>99.532712</v>
      </c>
      <c r="C916" s="9" t="n">
        <f aca="false">IF(AND(ISNUMBER(B916),ISNUMBER(B915),B915&lt;&gt;0),B916/B915-1,"")</f>
        <v>0.000896307232704174</v>
      </c>
    </row>
    <row r="917" customFormat="false" ht="15" hidden="false" customHeight="false" outlineLevel="0" collapsed="false">
      <c r="A917" s="7" t="s">
        <v>1998</v>
      </c>
      <c r="B917" s="8" t="n">
        <v>99.506271</v>
      </c>
      <c r="C917" s="9" t="n">
        <f aca="false">IF(AND(ISNUMBER(B917),ISNUMBER(B916),B916&lt;&gt;0),B917/B916-1,"")</f>
        <v>-0.0002656513569127</v>
      </c>
    </row>
    <row r="918" customFormat="false" ht="15" hidden="false" customHeight="false" outlineLevel="0" collapsed="false">
      <c r="A918" s="7" t="s">
        <v>1999</v>
      </c>
      <c r="B918" s="8" t="n">
        <v>99.563487</v>
      </c>
      <c r="C918" s="9" t="n">
        <f aca="false">IF(AND(ISNUMBER(B918),ISNUMBER(B917),B917&lt;&gt;0),B918/B917-1,"")</f>
        <v>0.000574998936499149</v>
      </c>
    </row>
    <row r="919" customFormat="false" ht="15" hidden="false" customHeight="false" outlineLevel="0" collapsed="false">
      <c r="A919" s="7" t="s">
        <v>2000</v>
      </c>
      <c r="B919" s="8" t="n">
        <v>99.535043</v>
      </c>
      <c r="C919" s="9" t="n">
        <f aca="false">IF(AND(ISNUMBER(B919),ISNUMBER(B918),B918&lt;&gt;0),B919/B918-1,"")</f>
        <v>-0.000285687061161166</v>
      </c>
    </row>
    <row r="920" customFormat="false" ht="15" hidden="false" customHeight="false" outlineLevel="0" collapsed="false">
      <c r="A920" s="7" t="s">
        <v>2001</v>
      </c>
      <c r="B920" s="8" t="n">
        <v>99.384109</v>
      </c>
      <c r="C920" s="9" t="n">
        <f aca="false">IF(AND(ISNUMBER(B920),ISNUMBER(B919),B919&lt;&gt;0),B920/B919-1,"")</f>
        <v>-0.00151639056407504</v>
      </c>
    </row>
    <row r="921" customFormat="false" ht="15" hidden="false" customHeight="false" outlineLevel="0" collapsed="false">
      <c r="A921" s="7" t="s">
        <v>2002</v>
      </c>
      <c r="B921" s="8" t="n">
        <v>99.400051</v>
      </c>
      <c r="C921" s="9" t="n">
        <f aca="false">IF(AND(ISNUMBER(B921),ISNUMBER(B920),B920&lt;&gt;0),B921/B920-1,"")</f>
        <v>0.000160407938053941</v>
      </c>
    </row>
    <row r="922" customFormat="false" ht="15" hidden="false" customHeight="false" outlineLevel="0" collapsed="false">
      <c r="A922" s="7" t="s">
        <v>2003</v>
      </c>
      <c r="B922" s="8" t="n">
        <v>99.454333</v>
      </c>
      <c r="C922" s="9" t="n">
        <f aca="false">IF(AND(ISNUMBER(B922),ISNUMBER(B921),B921&lt;&gt;0),B922/B921-1,"")</f>
        <v>0.000546096299286702</v>
      </c>
    </row>
    <row r="923" customFormat="false" ht="15" hidden="false" customHeight="false" outlineLevel="0" collapsed="false">
      <c r="A923" s="7" t="s">
        <v>2004</v>
      </c>
      <c r="B923" s="8" t="n">
        <v>99.500252</v>
      </c>
      <c r="C923" s="9" t="n">
        <f aca="false">IF(AND(ISNUMBER(B923),ISNUMBER(B922),B922&lt;&gt;0),B923/B922-1,"")</f>
        <v>0.000461709395808807</v>
      </c>
    </row>
    <row r="924" customFormat="false" ht="15" hidden="false" customHeight="false" outlineLevel="0" collapsed="false">
      <c r="A924" s="7" t="s">
        <v>2005</v>
      </c>
      <c r="B924" s="8" t="n">
        <v>99.424489</v>
      </c>
      <c r="C924" s="9" t="n">
        <f aca="false">IF(AND(ISNUMBER(B924),ISNUMBER(B923),B923&lt;&gt;0),B924/B923-1,"")</f>
        <v>-0.000761435257470633</v>
      </c>
    </row>
    <row r="925" customFormat="false" ht="15" hidden="false" customHeight="false" outlineLevel="0" collapsed="false">
      <c r="A925" s="7" t="s">
        <v>2006</v>
      </c>
      <c r="B925" s="8" t="n">
        <v>99.547512</v>
      </c>
      <c r="C925" s="9" t="n">
        <f aca="false">IF(AND(ISNUMBER(B925),ISNUMBER(B924),B924&lt;&gt;0),B925/B924-1,"")</f>
        <v>0.00123735109164103</v>
      </c>
    </row>
    <row r="926" customFormat="false" ht="15" hidden="false" customHeight="false" outlineLevel="0" collapsed="false">
      <c r="A926" s="7" t="s">
        <v>2007</v>
      </c>
      <c r="B926" s="8" t="n">
        <v>99.579714</v>
      </c>
      <c r="C926" s="9" t="n">
        <f aca="false">IF(AND(ISNUMBER(B926),ISNUMBER(B925),B925&lt;&gt;0),B926/B925-1,"")</f>
        <v>0.000323483725037654</v>
      </c>
    </row>
    <row r="927" customFormat="false" ht="15" hidden="false" customHeight="false" outlineLevel="0" collapsed="false">
      <c r="A927" s="7" t="s">
        <v>2008</v>
      </c>
      <c r="B927" s="8" t="n">
        <v>99.670367</v>
      </c>
      <c r="C927" s="9" t="n">
        <f aca="false">IF(AND(ISNUMBER(B927),ISNUMBER(B926),B926&lt;&gt;0),B927/B926-1,"")</f>
        <v>0.000910356099235177</v>
      </c>
    </row>
    <row r="928" customFormat="false" ht="15" hidden="false" customHeight="false" outlineLevel="0" collapsed="false">
      <c r="A928" s="7" t="s">
        <v>2009</v>
      </c>
      <c r="B928" s="8" t="n">
        <v>99.778013</v>
      </c>
      <c r="C928" s="9" t="n">
        <f aca="false">IF(AND(ISNUMBER(B928),ISNUMBER(B927),B927&lt;&gt;0),B928/B927-1,"")</f>
        <v>0.00108002010266506</v>
      </c>
    </row>
    <row r="929" customFormat="false" ht="15" hidden="false" customHeight="false" outlineLevel="0" collapsed="false">
      <c r="A929" s="7" t="s">
        <v>2010</v>
      </c>
      <c r="B929" s="8" t="n">
        <v>99.932881</v>
      </c>
      <c r="C929" s="9" t="n">
        <f aca="false">IF(AND(ISNUMBER(B929),ISNUMBER(B928),B928&lt;&gt;0),B929/B928-1,"")</f>
        <v>0.00155212551687112</v>
      </c>
    </row>
    <row r="930" customFormat="false" ht="15" hidden="false" customHeight="false" outlineLevel="0" collapsed="false">
      <c r="A930" s="7" t="s">
        <v>2011</v>
      </c>
      <c r="B930" s="8" t="n">
        <v>100.059495</v>
      </c>
      <c r="C930" s="9" t="n">
        <f aca="false">IF(AND(ISNUMBER(B930),ISNUMBER(B929),B929&lt;&gt;0),B930/B929-1,"")</f>
        <v>0.00126699039128075</v>
      </c>
    </row>
    <row r="931" customFormat="false" ht="15" hidden="false" customHeight="false" outlineLevel="0" collapsed="false">
      <c r="A931" s="7" t="s">
        <v>2012</v>
      </c>
      <c r="B931" s="8" t="n">
        <v>99.950408</v>
      </c>
      <c r="C931" s="9" t="n">
        <f aca="false">IF(AND(ISNUMBER(B931),ISNUMBER(B930),B930&lt;&gt;0),B931/B930-1,"")</f>
        <v>-0.00109022137279424</v>
      </c>
    </row>
    <row r="932" customFormat="false" ht="15" hidden="false" customHeight="false" outlineLevel="0" collapsed="false">
      <c r="A932" s="7" t="s">
        <v>2013</v>
      </c>
      <c r="B932" s="8" t="n">
        <v>99.899603</v>
      </c>
      <c r="C932" s="9" t="n">
        <f aca="false">IF(AND(ISNUMBER(B932),ISNUMBER(B931),B931&lt;&gt;0),B932/B931-1,"")</f>
        <v>-0.000508302077166123</v>
      </c>
    </row>
    <row r="933" customFormat="false" ht="15" hidden="false" customHeight="false" outlineLevel="0" collapsed="false">
      <c r="A933" s="7" t="s">
        <v>2014</v>
      </c>
      <c r="B933" s="8" t="n">
        <v>99.867437</v>
      </c>
      <c r="C933" s="9" t="n">
        <f aca="false">IF(AND(ISNUMBER(B933),ISNUMBER(B932),B932&lt;&gt;0),B933/B932-1,"")</f>
        <v>-0.000321983261535097</v>
      </c>
    </row>
    <row r="934" customFormat="false" ht="15" hidden="false" customHeight="false" outlineLevel="0" collapsed="false">
      <c r="A934" s="7" t="s">
        <v>2015</v>
      </c>
      <c r="B934" s="8" t="n">
        <v>99.881187</v>
      </c>
      <c r="C934" s="9" t="n">
        <f aca="false">IF(AND(ISNUMBER(B934),ISNUMBER(B933),B933&lt;&gt;0),B934/B933-1,"")</f>
        <v>0.000137682516073712</v>
      </c>
    </row>
    <row r="935" customFormat="false" ht="15" hidden="false" customHeight="false" outlineLevel="0" collapsed="false">
      <c r="A935" s="7" t="s">
        <v>2016</v>
      </c>
      <c r="B935" s="8" t="n">
        <v>99.828587</v>
      </c>
      <c r="C935" s="9" t="n">
        <f aca="false">IF(AND(ISNUMBER(B935),ISNUMBER(B934),B934&lt;&gt;0),B935/B934-1,"")</f>
        <v>-0.000526625699792671</v>
      </c>
    </row>
    <row r="936" customFormat="false" ht="15" hidden="false" customHeight="false" outlineLevel="0" collapsed="false">
      <c r="A936" s="7" t="s">
        <v>2017</v>
      </c>
      <c r="B936" s="8" t="n">
        <v>99.85291</v>
      </c>
      <c r="C936" s="9" t="n">
        <f aca="false">IF(AND(ISNUMBER(B936),ISNUMBER(B935),B935&lt;&gt;0),B936/B935-1,"")</f>
        <v>0.000243647643735523</v>
      </c>
    </row>
    <row r="937" customFormat="false" ht="15" hidden="false" customHeight="false" outlineLevel="0" collapsed="false">
      <c r="A937" s="7" t="s">
        <v>2018</v>
      </c>
      <c r="B937" s="8" t="n">
        <v>99.812629</v>
      </c>
      <c r="C937" s="9" t="n">
        <f aca="false">IF(AND(ISNUMBER(B937),ISNUMBER(B936),B936&lt;&gt;0),B937/B936-1,"")</f>
        <v>-0.000403403366010968</v>
      </c>
    </row>
    <row r="938" customFormat="false" ht="15" hidden="false" customHeight="false" outlineLevel="0" collapsed="false">
      <c r="A938" s="7" t="s">
        <v>2019</v>
      </c>
      <c r="B938" s="8" t="n">
        <v>99.770369</v>
      </c>
      <c r="C938" s="9" t="n">
        <f aca="false">IF(AND(ISNUMBER(B938),ISNUMBER(B937),B937&lt;&gt;0),B938/B937-1,"")</f>
        <v>-0.00042339331629071</v>
      </c>
    </row>
    <row r="939" customFormat="false" ht="15" hidden="false" customHeight="false" outlineLevel="0" collapsed="false">
      <c r="A939" s="7" t="s">
        <v>2020</v>
      </c>
      <c r="B939" s="8" t="n">
        <v>99.77727</v>
      </c>
      <c r="C939" s="9" t="n">
        <f aca="false">IF(AND(ISNUMBER(B939),ISNUMBER(B938),B938&lt;&gt;0),B939/B938-1,"")</f>
        <v>6.91688330831664E-005</v>
      </c>
    </row>
    <row r="940" customFormat="false" ht="15" hidden="false" customHeight="false" outlineLevel="0" collapsed="false">
      <c r="A940" s="7" t="s">
        <v>2021</v>
      </c>
      <c r="B940" s="8" t="n">
        <v>99.81741</v>
      </c>
      <c r="C940" s="9" t="n">
        <f aca="false">IF(AND(ISNUMBER(B940),ISNUMBER(B939),B939&lt;&gt;0),B940/B939-1,"")</f>
        <v>0.000402296033956473</v>
      </c>
    </row>
    <row r="941" customFormat="false" ht="15" hidden="false" customHeight="false" outlineLevel="0" collapsed="false">
      <c r="A941" s="7" t="s">
        <v>2022</v>
      </c>
      <c r="B941" s="8" t="n">
        <v>99.800607</v>
      </c>
      <c r="C941" s="9" t="n">
        <f aca="false">IF(AND(ISNUMBER(B941),ISNUMBER(B940),B940&lt;&gt;0),B941/B940-1,"")</f>
        <v>-0.000168337367198679</v>
      </c>
    </row>
    <row r="942" customFormat="false" ht="15" hidden="false" customHeight="false" outlineLevel="0" collapsed="false">
      <c r="A942" s="7" t="s">
        <v>2023</v>
      </c>
      <c r="B942" s="8" t="n">
        <v>99.852916</v>
      </c>
      <c r="C942" s="9" t="n">
        <f aca="false">IF(AND(ISNUMBER(B942),ISNUMBER(B941),B941&lt;&gt;0),B942/B941-1,"")</f>
        <v>0.000524135088677324</v>
      </c>
    </row>
    <row r="943" customFormat="false" ht="15" hidden="false" customHeight="false" outlineLevel="0" collapsed="false">
      <c r="A943" s="7" t="s">
        <v>2024</v>
      </c>
      <c r="B943" s="8" t="n">
        <v>99.722794</v>
      </c>
      <c r="C943" s="9" t="n">
        <f aca="false">IF(AND(ISNUMBER(B943),ISNUMBER(B942),B942&lt;&gt;0),B943/B942-1,"")</f>
        <v>-0.00130313670559201</v>
      </c>
    </row>
    <row r="944" customFormat="false" ht="15" hidden="false" customHeight="false" outlineLevel="0" collapsed="false">
      <c r="A944" s="7" t="s">
        <v>2025</v>
      </c>
      <c r="B944" s="8" t="n">
        <v>99.704617</v>
      </c>
      <c r="C944" s="9" t="n">
        <f aca="false">IF(AND(ISNUMBER(B944),ISNUMBER(B943),B943&lt;&gt;0),B944/B943-1,"")</f>
        <v>-0.000182275278007071</v>
      </c>
    </row>
    <row r="945" customFormat="false" ht="15" hidden="false" customHeight="false" outlineLevel="0" collapsed="false">
      <c r="A945" s="7" t="s">
        <v>2026</v>
      </c>
      <c r="B945" s="8" t="n">
        <v>99.71956</v>
      </c>
      <c r="C945" s="9" t="n">
        <f aca="false">IF(AND(ISNUMBER(B945),ISNUMBER(B944),B944&lt;&gt;0),B945/B944-1,"")</f>
        <v>0.000149872698472997</v>
      </c>
    </row>
    <row r="946" customFormat="false" ht="15" hidden="false" customHeight="false" outlineLevel="0" collapsed="false">
      <c r="A946" s="7" t="s">
        <v>2027</v>
      </c>
      <c r="B946" s="8" t="n">
        <v>99.696125</v>
      </c>
      <c r="C946" s="9" t="n">
        <f aca="false">IF(AND(ISNUMBER(B946),ISNUMBER(B945),B945&lt;&gt;0),B946/B945-1,"")</f>
        <v>-0.00023500905940621</v>
      </c>
    </row>
    <row r="947" customFormat="false" ht="15" hidden="false" customHeight="false" outlineLevel="0" collapsed="false">
      <c r="A947" s="7" t="s">
        <v>2028</v>
      </c>
      <c r="B947" s="8" t="n">
        <v>99.690894</v>
      </c>
      <c r="C947" s="9" t="n">
        <f aca="false">IF(AND(ISNUMBER(B947),ISNUMBER(B946),B946&lt;&gt;0),B947/B946-1,"")</f>
        <v>-5.24694415153792E-005</v>
      </c>
    </row>
    <row r="948" customFormat="false" ht="15" hidden="false" customHeight="false" outlineLevel="0" collapsed="false">
      <c r="A948" s="7" t="s">
        <v>2029</v>
      </c>
      <c r="B948" s="8" t="n">
        <v>99.693221</v>
      </c>
      <c r="C948" s="9" t="n">
        <f aca="false">IF(AND(ISNUMBER(B948),ISNUMBER(B947),B947&lt;&gt;0),B948/B947-1,"")</f>
        <v>2.33421519921784E-005</v>
      </c>
    </row>
    <row r="949" customFormat="false" ht="15" hidden="false" customHeight="false" outlineLevel="0" collapsed="false">
      <c r="A949" s="7" t="s">
        <v>2030</v>
      </c>
      <c r="B949" s="8" t="n">
        <v>99.650445</v>
      </c>
      <c r="C949" s="9" t="n">
        <f aca="false">IF(AND(ISNUMBER(B949),ISNUMBER(B948),B948&lt;&gt;0),B949/B948-1,"")</f>
        <v>-0.000429076316031396</v>
      </c>
    </row>
    <row r="950" customFormat="false" ht="15" hidden="false" customHeight="false" outlineLevel="0" collapsed="false">
      <c r="A950" s="7" t="s">
        <v>2031</v>
      </c>
      <c r="B950" s="8" t="n">
        <v>99.541589</v>
      </c>
      <c r="C950" s="9" t="n">
        <f aca="false">IF(AND(ISNUMBER(B950),ISNUMBER(B949),B949&lt;&gt;0),B950/B949-1,"")</f>
        <v>-0.00109237846353827</v>
      </c>
    </row>
    <row r="951" customFormat="false" ht="15" hidden="false" customHeight="false" outlineLevel="0" collapsed="false">
      <c r="A951" s="7" t="s">
        <v>2032</v>
      </c>
      <c r="B951" s="8" t="n">
        <v>99.29704</v>
      </c>
      <c r="C951" s="9" t="n">
        <f aca="false">IF(AND(ISNUMBER(B951),ISNUMBER(B950),B950&lt;&gt;0),B951/B950-1,"")</f>
        <v>-0.00245675202150941</v>
      </c>
    </row>
    <row r="952" customFormat="false" ht="15" hidden="false" customHeight="false" outlineLevel="0" collapsed="false">
      <c r="A952" s="7" t="s">
        <v>2033</v>
      </c>
      <c r="B952" s="8" t="n">
        <v>99.273834</v>
      </c>
      <c r="C952" s="9" t="n">
        <f aca="false">IF(AND(ISNUMBER(B952),ISNUMBER(B951),B951&lt;&gt;0),B952/B951-1,"")</f>
        <v>-0.000233702837466265</v>
      </c>
    </row>
    <row r="953" customFormat="false" ht="15" hidden="false" customHeight="false" outlineLevel="0" collapsed="false">
      <c r="A953" s="7" t="s">
        <v>2034</v>
      </c>
      <c r="B953" s="8" t="n">
        <v>99.369221</v>
      </c>
      <c r="C953" s="9" t="n">
        <f aca="false">IF(AND(ISNUMBER(B953),ISNUMBER(B952),B952&lt;&gt;0),B953/B952-1,"")</f>
        <v>0.000960847346743954</v>
      </c>
    </row>
    <row r="954" customFormat="false" ht="15" hidden="false" customHeight="false" outlineLevel="0" collapsed="false">
      <c r="A954" s="7" t="s">
        <v>2035</v>
      </c>
      <c r="B954" s="8" t="n">
        <v>99.154276</v>
      </c>
      <c r="C954" s="9" t="n">
        <f aca="false">IF(AND(ISNUMBER(B954),ISNUMBER(B953),B953&lt;&gt;0),B954/B953-1,"")</f>
        <v>-0.00216309434487771</v>
      </c>
    </row>
    <row r="955" customFormat="false" ht="15" hidden="false" customHeight="false" outlineLevel="0" collapsed="false">
      <c r="A955" s="7" t="s">
        <v>2036</v>
      </c>
      <c r="B955" s="8" t="n">
        <v>99.251956</v>
      </c>
      <c r="C955" s="9" t="n">
        <f aca="false">IF(AND(ISNUMBER(B955),ISNUMBER(B954),B954&lt;&gt;0),B955/B954-1,"")</f>
        <v>0.000985131493471902</v>
      </c>
    </row>
    <row r="956" customFormat="false" ht="15" hidden="false" customHeight="false" outlineLevel="0" collapsed="false">
      <c r="A956" s="7" t="s">
        <v>2037</v>
      </c>
      <c r="B956" s="8" t="n">
        <v>99.254053</v>
      </c>
      <c r="C956" s="9" t="n">
        <f aca="false">IF(AND(ISNUMBER(B956),ISNUMBER(B955),B955&lt;&gt;0),B956/B955-1,"")</f>
        <v>2.11280470885367E-005</v>
      </c>
    </row>
    <row r="957" customFormat="false" ht="15" hidden="false" customHeight="false" outlineLevel="0" collapsed="false">
      <c r="A957" s="7" t="s">
        <v>2038</v>
      </c>
      <c r="B957" s="8" t="n">
        <v>99.080313</v>
      </c>
      <c r="C957" s="9" t="n">
        <f aca="false">IF(AND(ISNUMBER(B957),ISNUMBER(B956),B956&lt;&gt;0),B957/B956-1,"")</f>
        <v>-0.00175045748509628</v>
      </c>
    </row>
    <row r="958" customFormat="false" ht="15" hidden="false" customHeight="false" outlineLevel="0" collapsed="false">
      <c r="A958" s="7" t="s">
        <v>2039</v>
      </c>
      <c r="B958" s="8" t="n">
        <v>99.028775</v>
      </c>
      <c r="C958" s="9" t="n">
        <f aca="false">IF(AND(ISNUMBER(B958),ISNUMBER(B957),B957&lt;&gt;0),B958/B957-1,"")</f>
        <v>-0.000520163879579316</v>
      </c>
    </row>
    <row r="959" customFormat="false" ht="15" hidden="false" customHeight="false" outlineLevel="0" collapsed="false">
      <c r="A959" s="7" t="s">
        <v>2040</v>
      </c>
      <c r="B959" s="8" t="n">
        <v>98.951858</v>
      </c>
      <c r="C959" s="9" t="n">
        <f aca="false">IF(AND(ISNUMBER(B959),ISNUMBER(B958),B958&lt;&gt;0),B959/B958-1,"")</f>
        <v>-0.000776713637021143</v>
      </c>
    </row>
    <row r="960" customFormat="false" ht="15" hidden="false" customHeight="false" outlineLevel="0" collapsed="false">
      <c r="A960" s="7" t="s">
        <v>2041</v>
      </c>
      <c r="B960" s="8" t="n">
        <v>99.033949</v>
      </c>
      <c r="C960" s="9" t="n">
        <f aca="false">IF(AND(ISNUMBER(B960),ISNUMBER(B959),B959&lt;&gt;0),B960/B959-1,"")</f>
        <v>0.000829605443083192</v>
      </c>
    </row>
    <row r="961" customFormat="false" ht="15" hidden="false" customHeight="false" outlineLevel="0" collapsed="false">
      <c r="A961" s="7" t="s">
        <v>2042</v>
      </c>
      <c r="B961" s="8" t="n">
        <v>98.984331</v>
      </c>
      <c r="C961" s="9" t="n">
        <f aca="false">IF(AND(ISNUMBER(B961),ISNUMBER(B960),B960&lt;&gt;0),B961/B960-1,"")</f>
        <v>-0.000501020109780814</v>
      </c>
    </row>
    <row r="962" customFormat="false" ht="15" hidden="false" customHeight="false" outlineLevel="0" collapsed="false">
      <c r="A962" s="7" t="s">
        <v>2043</v>
      </c>
      <c r="B962" s="8" t="n">
        <v>98.952721</v>
      </c>
      <c r="C962" s="9" t="n">
        <f aca="false">IF(AND(ISNUMBER(B962),ISNUMBER(B961),B961&lt;&gt;0),B962/B961-1,"")</f>
        <v>-0.000319343472655276</v>
      </c>
    </row>
    <row r="963" customFormat="false" ht="15" hidden="false" customHeight="false" outlineLevel="0" collapsed="false">
      <c r="A963" s="7" t="s">
        <v>2044</v>
      </c>
      <c r="B963" s="8" t="n">
        <v>98.759416</v>
      </c>
      <c r="C963" s="9" t="n">
        <f aca="false">IF(AND(ISNUMBER(B963),ISNUMBER(B962),B962&lt;&gt;0),B963/B962-1,"")</f>
        <v>-0.00195350868623401</v>
      </c>
    </row>
    <row r="964" customFormat="false" ht="15" hidden="false" customHeight="false" outlineLevel="0" collapsed="false">
      <c r="A964" s="7" t="s">
        <v>2045</v>
      </c>
      <c r="B964" s="8" t="n">
        <v>98.704991</v>
      </c>
      <c r="C964" s="9" t="n">
        <f aca="false">IF(AND(ISNUMBER(B964),ISNUMBER(B963),B963&lt;&gt;0),B964/B963-1,"")</f>
        <v>-0.000551086693343694</v>
      </c>
    </row>
    <row r="965" customFormat="false" ht="15" hidden="false" customHeight="false" outlineLevel="0" collapsed="false">
      <c r="A965" s="7" t="s">
        <v>2046</v>
      </c>
      <c r="B965" s="8" t="n">
        <v>98.625257</v>
      </c>
      <c r="C965" s="9" t="n">
        <f aca="false">IF(AND(ISNUMBER(B965),ISNUMBER(B964),B964&lt;&gt;0),B965/B964-1,"")</f>
        <v>-0.000807801096907035</v>
      </c>
    </row>
    <row r="966" customFormat="false" ht="15" hidden="false" customHeight="false" outlineLevel="0" collapsed="false">
      <c r="A966" s="7" t="s">
        <v>2047</v>
      </c>
      <c r="B966" s="8" t="n">
        <v>98.740404</v>
      </c>
      <c r="C966" s="9" t="n">
        <f aca="false">IF(AND(ISNUMBER(B966),ISNUMBER(B965),B965&lt;&gt;0),B966/B965-1,"")</f>
        <v>0.00116752040504187</v>
      </c>
    </row>
    <row r="967" customFormat="false" ht="15" hidden="false" customHeight="false" outlineLevel="0" collapsed="false">
      <c r="A967" s="7" t="s">
        <v>2048</v>
      </c>
      <c r="B967" s="8" t="n">
        <v>98.693645</v>
      </c>
      <c r="C967" s="9" t="n">
        <f aca="false">IF(AND(ISNUMBER(B967),ISNUMBER(B966),B966&lt;&gt;0),B967/B966-1,"")</f>
        <v>-0.000473554878304916</v>
      </c>
    </row>
    <row r="968" customFormat="false" ht="15" hidden="false" customHeight="false" outlineLevel="0" collapsed="false">
      <c r="A968" s="7" t="s">
        <v>2049</v>
      </c>
      <c r="B968" s="8" t="n">
        <v>98.567859</v>
      </c>
      <c r="C968" s="9" t="n">
        <f aca="false">IF(AND(ISNUMBER(B968),ISNUMBER(B967),B967&lt;&gt;0),B968/B967-1,"")</f>
        <v>-0.0012745096201483</v>
      </c>
    </row>
    <row r="969" customFormat="false" ht="15" hidden="false" customHeight="false" outlineLevel="0" collapsed="false">
      <c r="A969" s="7" t="s">
        <v>2050</v>
      </c>
      <c r="B969" s="8" t="n">
        <v>98.60712</v>
      </c>
      <c r="C969" s="9" t="n">
        <f aca="false">IF(AND(ISNUMBER(B969),ISNUMBER(B968),B968&lt;&gt;0),B969/B968-1,"")</f>
        <v>0.000398314424177482</v>
      </c>
    </row>
    <row r="970" customFormat="false" ht="15" hidden="false" customHeight="false" outlineLevel="0" collapsed="false">
      <c r="A970" s="7" t="s">
        <v>2051</v>
      </c>
      <c r="B970" s="8" t="n">
        <v>98.093081</v>
      </c>
      <c r="C970" s="9" t="n">
        <f aca="false">IF(AND(ISNUMBER(B970),ISNUMBER(B969),B969&lt;&gt;0),B970/B969-1,"")</f>
        <v>-0.00521300084618637</v>
      </c>
    </row>
    <row r="971" customFormat="false" ht="15" hidden="false" customHeight="false" outlineLevel="0" collapsed="false">
      <c r="A971" s="7" t="s">
        <v>2052</v>
      </c>
      <c r="B971" s="8" t="n">
        <v>98.063519</v>
      </c>
      <c r="C971" s="9" t="n">
        <f aca="false">IF(AND(ISNUMBER(B971),ISNUMBER(B970),B970&lt;&gt;0),B971/B970-1,"")</f>
        <v>-0.000301366821172655</v>
      </c>
    </row>
    <row r="972" customFormat="false" ht="15" hidden="false" customHeight="false" outlineLevel="0" collapsed="false">
      <c r="A972" s="7" t="s">
        <v>2053</v>
      </c>
      <c r="B972" s="8" t="n">
        <v>98.086381</v>
      </c>
      <c r="C972" s="9" t="n">
        <f aca="false">IF(AND(ISNUMBER(B972),ISNUMBER(B971),B971&lt;&gt;0),B972/B971-1,"")</f>
        <v>0.000233134607376284</v>
      </c>
    </row>
    <row r="973" customFormat="false" ht="15" hidden="false" customHeight="false" outlineLevel="0" collapsed="false">
      <c r="A973" s="7" t="s">
        <v>2054</v>
      </c>
      <c r="B973" s="8" t="n">
        <v>98.030838</v>
      </c>
      <c r="C973" s="9" t="n">
        <f aca="false">IF(AND(ISNUMBER(B973),ISNUMBER(B972),B972&lt;&gt;0),B973/B972-1,"")</f>
        <v>-0.000566266177156605</v>
      </c>
    </row>
    <row r="974" customFormat="false" ht="15" hidden="false" customHeight="false" outlineLevel="0" collapsed="false">
      <c r="A974" s="7" t="s">
        <v>2055</v>
      </c>
      <c r="B974" s="8" t="n">
        <v>98.073549</v>
      </c>
      <c r="C974" s="9" t="n">
        <f aca="false">IF(AND(ISNUMBER(B974),ISNUMBER(B973),B973&lt;&gt;0),B974/B973-1,"")</f>
        <v>0.000435689430707376</v>
      </c>
    </row>
    <row r="975" customFormat="false" ht="15" hidden="false" customHeight="false" outlineLevel="0" collapsed="false">
      <c r="A975" s="7" t="s">
        <v>2056</v>
      </c>
      <c r="B975" s="8" t="n">
        <v>97.931041</v>
      </c>
      <c r="C975" s="9" t="n">
        <f aca="false">IF(AND(ISNUMBER(B975),ISNUMBER(B974),B974&lt;&gt;0),B975/B974-1,"")</f>
        <v>-0.00145307273421913</v>
      </c>
    </row>
    <row r="976" customFormat="false" ht="15" hidden="false" customHeight="false" outlineLevel="0" collapsed="false">
      <c r="A976" s="7" t="s">
        <v>2057</v>
      </c>
      <c r="B976" s="8" t="n">
        <v>97.974161</v>
      </c>
      <c r="C976" s="9" t="n">
        <f aca="false">IF(AND(ISNUMBER(B976),ISNUMBER(B975),B975&lt;&gt;0),B976/B975-1,"")</f>
        <v>0.000440309829852659</v>
      </c>
    </row>
    <row r="977" customFormat="false" ht="15" hidden="false" customHeight="false" outlineLevel="0" collapsed="false">
      <c r="A977" s="7" t="s">
        <v>2058</v>
      </c>
      <c r="B977" s="8" t="n">
        <v>97.998228</v>
      </c>
      <c r="C977" s="9" t="n">
        <f aca="false">IF(AND(ISNUMBER(B977),ISNUMBER(B976),B976&lt;&gt;0),B977/B976-1,"")</f>
        <v>0.000245646400585109</v>
      </c>
    </row>
    <row r="978" customFormat="false" ht="15" hidden="false" customHeight="false" outlineLevel="0" collapsed="false">
      <c r="A978" s="7" t="s">
        <v>2059</v>
      </c>
      <c r="B978" s="8" t="n">
        <v>98.028583</v>
      </c>
      <c r="C978" s="9" t="n">
        <f aca="false">IF(AND(ISNUMBER(B978),ISNUMBER(B977),B977&lt;&gt;0),B978/B977-1,"")</f>
        <v>0.000309750498753925</v>
      </c>
    </row>
    <row r="979" customFormat="false" ht="15" hidden="false" customHeight="false" outlineLevel="0" collapsed="false">
      <c r="A979" s="7" t="s">
        <v>2060</v>
      </c>
      <c r="B979" s="8" t="n">
        <v>98.03749</v>
      </c>
      <c r="C979" s="9" t="n">
        <f aca="false">IF(AND(ISNUMBER(B979),ISNUMBER(B978),B978&lt;&gt;0),B979/B978-1,"")</f>
        <v>9.08612542120935E-005</v>
      </c>
    </row>
    <row r="980" customFormat="false" ht="15" hidden="false" customHeight="false" outlineLevel="0" collapsed="false">
      <c r="A980" s="7" t="s">
        <v>2061</v>
      </c>
      <c r="B980" s="8" t="n">
        <v>98.047314</v>
      </c>
      <c r="C980" s="9" t="n">
        <f aca="false">IF(AND(ISNUMBER(B980),ISNUMBER(B979),B979&lt;&gt;0),B980/B979-1,"")</f>
        <v>0.000100206563835803</v>
      </c>
    </row>
    <row r="981" customFormat="false" ht="15" hidden="false" customHeight="false" outlineLevel="0" collapsed="false">
      <c r="A981" s="7" t="s">
        <v>2062</v>
      </c>
      <c r="B981" s="8" t="n">
        <v>98.045284</v>
      </c>
      <c r="C981" s="9" t="n">
        <f aca="false">IF(AND(ISNUMBER(B981),ISNUMBER(B980),B980&lt;&gt;0),B981/B980-1,"")</f>
        <v>-2.07042897677479E-005</v>
      </c>
    </row>
    <row r="982" customFormat="false" ht="15" hidden="false" customHeight="false" outlineLevel="0" collapsed="false">
      <c r="A982" s="7" t="s">
        <v>2063</v>
      </c>
      <c r="B982" s="8" t="n">
        <v>98.041516</v>
      </c>
      <c r="C982" s="9" t="n">
        <f aca="false">IF(AND(ISNUMBER(B982),ISNUMBER(B981),B981&lt;&gt;0),B982/B981-1,"")</f>
        <v>-3.84312212303728E-005</v>
      </c>
    </row>
    <row r="983" customFormat="false" ht="15" hidden="false" customHeight="false" outlineLevel="0" collapsed="false">
      <c r="A983" s="7" t="s">
        <v>2064</v>
      </c>
      <c r="B983" s="8" t="n">
        <v>98.205522</v>
      </c>
      <c r="C983" s="9" t="n">
        <f aca="false">IF(AND(ISNUMBER(B983),ISNUMBER(B982),B982&lt;&gt;0),B983/B982-1,"")</f>
        <v>0.00167282195024399</v>
      </c>
    </row>
    <row r="984" customFormat="false" ht="15" hidden="false" customHeight="false" outlineLevel="0" collapsed="false">
      <c r="A984" s="7" t="s">
        <v>2065</v>
      </c>
      <c r="B984" s="8" t="n">
        <v>98.206687</v>
      </c>
      <c r="C984" s="9" t="n">
        <f aca="false">IF(AND(ISNUMBER(B984),ISNUMBER(B983),B983&lt;&gt;0),B984/B983-1,"")</f>
        <v>1.18628767127316E-005</v>
      </c>
    </row>
    <row r="985" customFormat="false" ht="15" hidden="false" customHeight="false" outlineLevel="0" collapsed="false">
      <c r="A985" s="7" t="s">
        <v>2066</v>
      </c>
      <c r="B985" s="8" t="n">
        <v>98.173403</v>
      </c>
      <c r="C985" s="9" t="n">
        <f aca="false">IF(AND(ISNUMBER(B985),ISNUMBER(B984),B984&lt;&gt;0),B985/B984-1,"")</f>
        <v>-0.000338917858007104</v>
      </c>
    </row>
    <row r="986" customFormat="false" ht="15" hidden="false" customHeight="false" outlineLevel="0" collapsed="false">
      <c r="A986" s="7" t="s">
        <v>2067</v>
      </c>
      <c r="B986" s="8" t="n">
        <v>98.216733</v>
      </c>
      <c r="C986" s="9" t="n">
        <f aca="false">IF(AND(ISNUMBER(B986),ISNUMBER(B985),B985&lt;&gt;0),B986/B985-1,"")</f>
        <v>0.000441361903284587</v>
      </c>
    </row>
    <row r="987" customFormat="false" ht="15" hidden="false" customHeight="false" outlineLevel="0" collapsed="false">
      <c r="A987" s="7" t="s">
        <v>2068</v>
      </c>
      <c r="B987" s="8" t="n">
        <v>98.123592</v>
      </c>
      <c r="C987" s="9" t="n">
        <f aca="false">IF(AND(ISNUMBER(B987),ISNUMBER(B986),B986&lt;&gt;0),B987/B986-1,"")</f>
        <v>-0.000948321097180127</v>
      </c>
    </row>
    <row r="988" customFormat="false" ht="15" hidden="false" customHeight="false" outlineLevel="0" collapsed="false">
      <c r="A988" s="7" t="s">
        <v>2069</v>
      </c>
      <c r="B988" s="8" t="n">
        <v>98.050122</v>
      </c>
      <c r="C988" s="9" t="n">
        <f aca="false">IF(AND(ISNUMBER(B988),ISNUMBER(B987),B987&lt;&gt;0),B988/B987-1,"")</f>
        <v>-0.0007487495973445</v>
      </c>
    </row>
    <row r="989" customFormat="false" ht="15" hidden="false" customHeight="false" outlineLevel="0" collapsed="false">
      <c r="A989" s="7" t="s">
        <v>2070</v>
      </c>
      <c r="B989" s="8" t="n">
        <v>98.063301</v>
      </c>
      <c r="C989" s="9" t="n">
        <f aca="false">IF(AND(ISNUMBER(B989),ISNUMBER(B988),B988&lt;&gt;0),B989/B988-1,"")</f>
        <v>0.000134410847545841</v>
      </c>
    </row>
    <row r="990" customFormat="false" ht="15" hidden="false" customHeight="false" outlineLevel="0" collapsed="false">
      <c r="A990" s="7" t="s">
        <v>2071</v>
      </c>
      <c r="B990" s="8" t="n">
        <v>98.024193</v>
      </c>
      <c r="C990" s="9" t="n">
        <f aca="false">IF(AND(ISNUMBER(B990),ISNUMBER(B989),B989&lt;&gt;0),B990/B989-1,"")</f>
        <v>-0.000398803625833444</v>
      </c>
    </row>
    <row r="991" customFormat="false" ht="15" hidden="false" customHeight="false" outlineLevel="0" collapsed="false">
      <c r="A991" s="7" t="s">
        <v>2072</v>
      </c>
      <c r="B991" s="8" t="n">
        <v>98.01178</v>
      </c>
      <c r="C991" s="9" t="n">
        <f aca="false">IF(AND(ISNUMBER(B991),ISNUMBER(B990),B990&lt;&gt;0),B991/B990-1,"")</f>
        <v>-0.000126632003999205</v>
      </c>
    </row>
    <row r="992" customFormat="false" ht="15" hidden="false" customHeight="false" outlineLevel="0" collapsed="false">
      <c r="A992" s="7" t="s">
        <v>2073</v>
      </c>
      <c r="B992" s="8" t="n">
        <v>98.036476</v>
      </c>
      <c r="C992" s="9" t="n">
        <f aca="false">IF(AND(ISNUMBER(B992),ISNUMBER(B991),B991&lt;&gt;0),B992/B991-1,"")</f>
        <v>0.000251969712212086</v>
      </c>
    </row>
    <row r="993" customFormat="false" ht="15" hidden="false" customHeight="false" outlineLevel="0" collapsed="false">
      <c r="A993" s="7" t="s">
        <v>2074</v>
      </c>
      <c r="B993" s="8" t="n">
        <v>97.896385</v>
      </c>
      <c r="C993" s="9" t="n">
        <f aca="false">IF(AND(ISNUMBER(B993),ISNUMBER(B992),B992&lt;&gt;0),B993/B992-1,"")</f>
        <v>-0.00142896813222859</v>
      </c>
    </row>
    <row r="994" customFormat="false" ht="15" hidden="false" customHeight="false" outlineLevel="0" collapsed="false">
      <c r="A994" s="7" t="s">
        <v>2075</v>
      </c>
      <c r="B994" s="8" t="n">
        <v>97.834539</v>
      </c>
      <c r="C994" s="9" t="n">
        <f aca="false">IF(AND(ISNUMBER(B994),ISNUMBER(B993),B993&lt;&gt;0),B994/B993-1,"")</f>
        <v>-0.000631749578904106</v>
      </c>
    </row>
    <row r="995" customFormat="false" ht="15" hidden="false" customHeight="false" outlineLevel="0" collapsed="false">
      <c r="A995" s="7" t="s">
        <v>2076</v>
      </c>
      <c r="B995" s="8" t="n">
        <v>97.781242</v>
      </c>
      <c r="C995" s="9" t="n">
        <f aca="false">IF(AND(ISNUMBER(B995),ISNUMBER(B994),B994&lt;&gt;0),B995/B994-1,"")</f>
        <v>-0.000544766710660394</v>
      </c>
    </row>
    <row r="996" customFormat="false" ht="15" hidden="false" customHeight="false" outlineLevel="0" collapsed="false">
      <c r="A996" s="7" t="s">
        <v>2077</v>
      </c>
      <c r="B996" s="8" t="n">
        <v>97.752185</v>
      </c>
      <c r="C996" s="9" t="n">
        <f aca="false">IF(AND(ISNUMBER(B996),ISNUMBER(B995),B995&lt;&gt;0),B996/B995-1,"")</f>
        <v>-0.00029716333527452</v>
      </c>
    </row>
    <row r="997" customFormat="false" ht="15" hidden="false" customHeight="false" outlineLevel="0" collapsed="false">
      <c r="A997" s="7" t="s">
        <v>2078</v>
      </c>
      <c r="B997" s="8" t="n">
        <v>97.722153</v>
      </c>
      <c r="C997" s="9" t="n">
        <f aca="false">IF(AND(ISNUMBER(B997),ISNUMBER(B996),B996&lt;&gt;0),B997/B996-1,"")</f>
        <v>-0.00030722586917098</v>
      </c>
    </row>
    <row r="998" customFormat="false" ht="15" hidden="false" customHeight="false" outlineLevel="0" collapsed="false">
      <c r="A998" s="7" t="s">
        <v>2079</v>
      </c>
      <c r="B998" s="8" t="n">
        <v>97.632216</v>
      </c>
      <c r="C998" s="9" t="n">
        <f aca="false">IF(AND(ISNUMBER(B998),ISNUMBER(B997),B997&lt;&gt;0),B998/B997-1,"")</f>
        <v>-0.000920333795756734</v>
      </c>
    </row>
    <row r="999" customFormat="false" ht="15" hidden="false" customHeight="false" outlineLevel="0" collapsed="false">
      <c r="A999" s="7" t="s">
        <v>2080</v>
      </c>
      <c r="B999" s="8" t="n">
        <v>97.684878</v>
      </c>
      <c r="C999" s="9" t="n">
        <f aca="false">IF(AND(ISNUMBER(B999),ISNUMBER(B998),B998&lt;&gt;0),B999/B998-1,"")</f>
        <v>0.000539391628681329</v>
      </c>
    </row>
    <row r="1000" customFormat="false" ht="15" hidden="false" customHeight="false" outlineLevel="0" collapsed="false">
      <c r="A1000" s="7" t="s">
        <v>2081</v>
      </c>
      <c r="B1000" s="8" t="n">
        <v>97.79523</v>
      </c>
      <c r="C1000" s="9" t="n">
        <f aca="false">IF(AND(ISNUMBER(B1000),ISNUMBER(B999),B999&lt;&gt;0),B1000/B999-1,"")</f>
        <v>0.00112967331545422</v>
      </c>
    </row>
    <row r="1001" customFormat="false" ht="15" hidden="false" customHeight="false" outlineLevel="0" collapsed="false">
      <c r="A1001" s="7" t="s">
        <v>2082</v>
      </c>
      <c r="B1001" s="8" t="n">
        <v>97.844185</v>
      </c>
      <c r="C1001" s="9" t="n">
        <f aca="false">IF(AND(ISNUMBER(B1001),ISNUMBER(B1000),B1000&lt;&gt;0),B1001/B1000-1,"")</f>
        <v>0.000500586787310464</v>
      </c>
    </row>
    <row r="1002" customFormat="false" ht="15" hidden="false" customHeight="false" outlineLevel="0" collapsed="false">
      <c r="A1002" s="7" t="s">
        <v>2083</v>
      </c>
      <c r="B1002" s="8" t="n">
        <v>97.865657</v>
      </c>
      <c r="C1002" s="9" t="n">
        <f aca="false">IF(AND(ISNUMBER(B1002),ISNUMBER(B1001),B1001&lt;&gt;0),B1002/B1001-1,"")</f>
        <v>0.000219450956640888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5"/>
    <col collapsed="false" customWidth="true" hidden="false" outlineLevel="0" max="3" min="3" style="0" width="50"/>
  </cols>
  <sheetData>
    <row r="1" customFormat="false" ht="24" hidden="false" customHeight="true" outlineLevel="0" collapsed="false">
      <c r="A1" s="1" t="s">
        <v>2084</v>
      </c>
      <c r="B1" s="2"/>
      <c r="C1" s="2"/>
      <c r="D1" s="2"/>
      <c r="E1" s="2"/>
      <c r="F1" s="2"/>
    </row>
    <row r="3" customFormat="false" ht="15" hidden="false" customHeight="false" outlineLevel="0" collapsed="false">
      <c r="A3" s="0" t="s">
        <v>1028</v>
      </c>
      <c r="B3" s="10" t="n">
        <v>0.05</v>
      </c>
    </row>
    <row r="5" customFormat="false" ht="15" hidden="false" customHeight="false" outlineLevel="0" collapsed="false">
      <c r="A5" s="5" t="s">
        <v>2085</v>
      </c>
      <c r="B5" s="5" t="s">
        <v>1031</v>
      </c>
    </row>
    <row r="6" customFormat="false" ht="15" hidden="false" customHeight="false" outlineLevel="0" collapsed="false">
      <c r="A6" s="11" t="s">
        <v>1037</v>
      </c>
      <c r="B6" s="12" t="n">
        <f aca="false">COUNT(ETH_Data!$C$3:$C$1002)</f>
        <v>1000</v>
      </c>
    </row>
    <row r="7" customFormat="false" ht="15" hidden="false" customHeight="false" outlineLevel="0" collapsed="false">
      <c r="A7" s="11" t="s">
        <v>1039</v>
      </c>
      <c r="B7" s="15" t="n">
        <f aca="false">AVERAGE(ETH_Data!$C$3:$C$1002)</f>
        <v>-2.1115048911847E-005</v>
      </c>
    </row>
    <row r="8" customFormat="false" ht="15" hidden="false" customHeight="false" outlineLevel="0" collapsed="false">
      <c r="A8" s="11" t="s">
        <v>1041</v>
      </c>
      <c r="B8" s="9" t="n">
        <f aca="false">STDEV(ETH_Data!$C$3:$C$1002)</f>
        <v>0.000958906563150208</v>
      </c>
    </row>
    <row r="9" customFormat="false" ht="15" hidden="false" customHeight="false" outlineLevel="0" collapsed="false">
      <c r="A9" s="11" t="s">
        <v>1045</v>
      </c>
      <c r="B9" s="16" t="n">
        <f aca="false">SKEW(ETH_Data!$C$3:$C$1002)</f>
        <v>0.307510745807462</v>
      </c>
    </row>
    <row r="10" customFormat="false" ht="15" hidden="false" customHeight="false" outlineLevel="0" collapsed="false">
      <c r="A10" s="11" t="s">
        <v>1046</v>
      </c>
      <c r="B10" s="16" t="n">
        <f aca="false">KURT(ETH_Data!$C$3:$C$1002)</f>
        <v>8.73702210702707</v>
      </c>
    </row>
    <row r="11" customFormat="false" ht="15" hidden="false" customHeight="false" outlineLevel="0" collapsed="false">
      <c r="A11" s="11" t="s">
        <v>2086</v>
      </c>
      <c r="B11" s="22" t="n">
        <f aca="false">B6/6*(B9^2+B10^2/4)</f>
        <v>3196.4086139095</v>
      </c>
    </row>
    <row r="12" customFormat="false" ht="15" hidden="false" customHeight="false" outlineLevel="0" collapsed="false">
      <c r="A12" s="11" t="s">
        <v>2087</v>
      </c>
      <c r="B12" s="21" t="n">
        <f aca="false">CHIDIST(B11,2)</f>
        <v>0</v>
      </c>
    </row>
    <row r="13" customFormat="false" ht="15" hidden="false" customHeight="false" outlineLevel="0" collapsed="false">
      <c r="A13" s="6" t="s">
        <v>2088</v>
      </c>
      <c r="B13" s="23" t="str">
        <f aca="false">IF(B12&gt;B3,"Fail to reject normality","Reject normality")</f>
        <v>Reject normality</v>
      </c>
    </row>
    <row r="15" customFormat="false" ht="15" hidden="false" customHeight="false" outlineLevel="0" collapsed="false">
      <c r="A15" s="5" t="s">
        <v>2089</v>
      </c>
      <c r="B15" s="5" t="s">
        <v>1031</v>
      </c>
    </row>
    <row r="16" customFormat="false" ht="15" hidden="false" customHeight="false" outlineLevel="0" collapsed="false">
      <c r="A16" s="11" t="s">
        <v>2090</v>
      </c>
      <c r="B16" s="24" t="n">
        <v>0.8123</v>
      </c>
      <c r="C16" s="11" t="s">
        <v>2091</v>
      </c>
    </row>
    <row r="17" customFormat="false" ht="15" hidden="false" customHeight="false" outlineLevel="0" collapsed="false">
      <c r="A17" s="11" t="s">
        <v>2092</v>
      </c>
      <c r="B17" s="25" t="n">
        <v>1.2E-030</v>
      </c>
    </row>
    <row r="18" customFormat="false" ht="15" hidden="false" customHeight="false" outlineLevel="0" collapsed="false">
      <c r="A18" s="11" t="s">
        <v>2093</v>
      </c>
      <c r="B18" s="26" t="n">
        <v>5000</v>
      </c>
    </row>
    <row r="20" customFormat="false" ht="15" hidden="false" customHeight="false" outlineLevel="0" collapsed="false">
      <c r="A20" s="6" t="s">
        <v>2094</v>
      </c>
      <c r="B20" s="23" t="str">
        <f aca="false">IF(B17&gt;B3,"Fail to reject H0: returns look normal","Reject H0: returns are NOT normally distributed")</f>
        <v>Reject H0: returns are NOT normally distributed</v>
      </c>
    </row>
    <row r="21" customFormat="false" ht="15" hidden="false" customHeight="false" outlineLevel="0" collapsed="false">
      <c r="A21" s="11" t="s">
        <v>2095</v>
      </c>
      <c r="B21" s="11" t="str">
        <f aca="false">IF(B18&gt;5000,"n &gt; 5000: SciPy p-value may be inaccurate; subsample or also use normaltest/Jarque-Bera","n within reliable range")</f>
        <v>n within reliable range</v>
      </c>
    </row>
    <row r="23" customFormat="false" ht="15" hidden="false" customHeight="false" outlineLevel="0" collapsed="false">
      <c r="A23" s="11" t="s">
        <v>2096</v>
      </c>
    </row>
  </sheetData>
  <dataValidations count="2">
    <dataValidation allowBlank="false" error="Alpha must be between 0.001 and 0.5" errorStyle="stop" operator="between" showDropDown="false" showErrorMessage="true" showInputMessage="false" sqref="B3" type="decimal">
      <formula1>0.001</formula1>
      <formula2>0.5</formula2>
    </dataValidation>
    <dataValidation allowBlank="false" error="Must be between 0 and 1" errorStyle="stop" operator="between" showDropDown="false" showErrorMessage="true" showInputMessage="false" sqref="B16:B17"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2026-10-09T12:26:28Z</dcterms:created>
  <dc:creator>openpyxl</dc:creator>
  <dc:description/>
  <dc:language>en-US</dc:language>
  <cp:lastModifiedBy/>
  <dcterms:modified xsi:type="dcterms:W3CDTF">2026-10-09T12:26:31Z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